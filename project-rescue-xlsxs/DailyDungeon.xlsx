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DungeonInfoTable" sheetId="1" r:id="rId5"/>
    <sheet state="visible" name="GoldDungeonStageTable" sheetId="2" r:id="rId6"/>
    <sheet state="visible" name="GoldDungeonRewardTable" sheetId="3" r:id="rId7"/>
    <sheet state="visible" name="ExpDungeonStageTable" sheetId="4" r:id="rId8"/>
    <sheet state="visible" name="ExpDungeonRewardTable" sheetId="5" r:id="rId9"/>
    <sheet state="visible" name="TraitDungeonStageTable" sheetId="6" r:id="rId10"/>
    <sheet state="visible" name="TraitDungeonRewardTable" sheetId="7" r:id="rId11"/>
    <sheet state="visible" name="RelicDungeonStageTable" sheetId="8" r:id="rId12"/>
    <sheet state="visible" name="RelicDungeonRewardTable" sheetId="9" r:id="rId13"/>
    <sheet state="visible" name="OopartsDungeonStageTable" sheetId="10" r:id="rId14"/>
    <sheet state="visible" name="OopartsDungeonRewardTable" sheetId="11" r:id="rId1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">
      <text>
        <t xml:space="preserve">특정 직군의 캐릭터
특정 속성
을 데리고 가면 추가로 상승되는 버프</t>
      </text>
    </comment>
    <comment authorId="0" ref="J1">
      <text>
        <t xml:space="preserve">단계별 버프 증가 수치 값
0.001=0.1%
0.01=1%
0.1=10%
1=100%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1">
      <text>
        <t xml:space="preserve">Ch01_Stage1_1
챕터01_스테이지1_구간1
ex. 10챕터 3스테이지 50구간
Ch10_Stage3_50.Asset</t>
      </text>
    </comment>
    <comment authorId="0" ref="F1">
      <text>
        <t xml:space="preserve">1000=1s
</t>
      </text>
    </comment>
    <comment authorId="0" ref="L1">
      <text>
        <t xml:space="preserve">Stage 테이블에서 
Stage_Clear_Count 컬럼과 동일하게 사용
Boss만 소환 시, ClearCount = -1 이여야 정상 작동 함.</t>
      </text>
    </comment>
    <comment authorId="0" ref="N1">
      <text>
        <t xml:space="preserve">DungeonRewardTable 참고</t>
      </text>
    </comment>
    <comment authorId="0" ref="O1">
      <text>
        <t xml:space="preserve">=기본 전투력x((Rate배율)x(단계-1))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1">
      <text>
        <t xml:space="preserve">Ch01_Stage1_1
챕터01_스테이지1_구간1
ex. 10챕터 3스테이지 50구간
Ch10_Stage3_50.Asset</t>
      </text>
    </comment>
    <comment authorId="0" ref="F1">
      <text>
        <t xml:space="preserve">1000=1s
</t>
      </text>
    </comment>
    <comment authorId="0" ref="L1">
      <text>
        <t xml:space="preserve">Stage 테이블에서 
Stage_Clear_Count 컬럼과 동일하게 사용
Boss만 소환 시, ClearCount = -1 이여야 정상 작동 함.</t>
      </text>
    </comment>
    <comment authorId="0" ref="N1">
      <text>
        <t xml:space="preserve">DungeonRewardTable 참고</t>
      </text>
    </comment>
    <comment authorId="0" ref="O1">
      <text>
        <t xml:space="preserve">=기본 전투력x((Rate배율)x(단계-1))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1">
      <text>
        <t xml:space="preserve">Ch01_Stage1_1
챕터01_스테이지1_구간1
ex. 10챕터 3스테이지 50구간
Ch10_Stage3_50.Asset</t>
      </text>
    </comment>
    <comment authorId="0" ref="F1">
      <text>
        <t xml:space="preserve">1000=1s
</t>
      </text>
    </comment>
    <comment authorId="0" ref="L1">
      <text>
        <t xml:space="preserve">Stage 테이블에서 
Stage_Clear_Count 컬럼과 동일하게 사용
Boss만 소환 시, ClearCount = -1 이여야 정상 작동 함.</t>
      </text>
    </comment>
    <comment authorId="0" ref="N1">
      <text>
        <t xml:space="preserve">DungeonRewardTable 참고</t>
      </text>
    </comment>
    <comment authorId="0" ref="O1">
      <text>
        <t xml:space="preserve">=기본 전투력x((Rate배율)x(단계-1))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1">
      <text>
        <t xml:space="preserve">Ch01_Stage1_1
챕터01_스테이지1_구간1
ex. 10챕터 3스테이지 50구간
Ch10_Stage3_50.Asset</t>
      </text>
    </comment>
    <comment authorId="0" ref="F1">
      <text>
        <t xml:space="preserve">1000=1s
</t>
      </text>
    </comment>
    <comment authorId="0" ref="L1">
      <text>
        <t xml:space="preserve">Stage 테이블에서 
Stage_Clear_Count 컬럼과 동일하게 사용
Boss만 소환 시, ClearCount = -1 이여야 정상 작동 함.</t>
      </text>
    </comment>
    <comment authorId="0" ref="N1">
      <text>
        <t xml:space="preserve">DungeonRewardTable 참고</t>
      </text>
    </comment>
    <comment authorId="0" ref="O1">
      <text>
        <t xml:space="preserve">=기본 전투력x((Rate배율)x(단계-1))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1">
      <text>
        <t xml:space="preserve">Ch01_Stage1_1
챕터01_스테이지1_구간1
ex. 10챕터 3스테이지 50구간
Ch10_Stage3_50.Asset</t>
      </text>
    </comment>
    <comment authorId="0" ref="F1">
      <text>
        <t xml:space="preserve">1000=1s
</t>
      </text>
    </comment>
    <comment authorId="0" ref="L1">
      <text>
        <t xml:space="preserve">Stage 테이블에서 
Stage_Clear_Count 컬럼과 동일하게 사용
Boss만 소환 시, ClearCount = -1 이여야 정상 작동 함.</t>
      </text>
    </comment>
    <comment authorId="0" ref="N1">
      <text>
        <t xml:space="preserve">DungeonRewardTable 참고</t>
      </text>
    </comment>
    <comment authorId="0" ref="O1">
      <text>
        <t xml:space="preserve">=기본 전투력x((Rate배율)x(단계-1))
</t>
      </text>
    </comment>
  </commentList>
</comments>
</file>

<file path=xl/sharedStrings.xml><?xml version="1.0" encoding="utf-8"?>
<sst xmlns="http://schemas.openxmlformats.org/spreadsheetml/2006/main" count="1756" uniqueCount="367">
  <si>
    <t>GoldDungeonStage_Table</t>
  </si>
  <si>
    <t>GoldDungeonReward_Table</t>
  </si>
  <si>
    <t>DailyDungeonInfo_Table</t>
  </si>
  <si>
    <t>영문</t>
  </si>
  <si>
    <t>영문명</t>
  </si>
  <si>
    <t>한글명</t>
  </si>
  <si>
    <t>한글</t>
  </si>
  <si>
    <t>던전 타입</t>
  </si>
  <si>
    <t>출력 우선 순위</t>
  </si>
  <si>
    <t>보상 설정1</t>
  </si>
  <si>
    <t>던전 아이디</t>
  </si>
  <si>
    <t>던전 입장 타입</t>
  </si>
  <si>
    <t>던전 단계</t>
  </si>
  <si>
    <t>해금 조건</t>
  </si>
  <si>
    <t>보상 값 1</t>
  </si>
  <si>
    <t>입장 재화</t>
  </si>
  <si>
    <t>보상 설정2</t>
  </si>
  <si>
    <t>제한 시간</t>
  </si>
  <si>
    <t>보상 값 2</t>
  </si>
  <si>
    <t>생성 몬스터 ID</t>
  </si>
  <si>
    <t>던전 버프 ID</t>
  </si>
  <si>
    <t>보스 ID</t>
  </si>
  <si>
    <t>최초 클리어</t>
  </si>
  <si>
    <t>ExpDungeonStage_Table</t>
  </si>
  <si>
    <t>최초 보상 설정</t>
  </si>
  <si>
    <t>버프 수치 증가값</t>
  </si>
  <si>
    <t>위치 생성 가능 횟수</t>
  </si>
  <si>
    <t>입장 값</t>
  </si>
  <si>
    <t>최초 보상 값</t>
  </si>
  <si>
    <t>최대 생성 수</t>
  </si>
  <si>
    <t>무료입장 재화 타입</t>
  </si>
  <si>
    <t>다음 포인터 생성 시간</t>
  </si>
  <si>
    <t>일일 광고 입장 횟수</t>
  </si>
  <si>
    <t>일일 입장권 최대 소모 횟수</t>
  </si>
  <si>
    <t>스테이지 클리어 조건</t>
  </si>
  <si>
    <t>던전 이미지</t>
  </si>
  <si>
    <t>권장 전투력</t>
  </si>
  <si>
    <t>던전 BGM</t>
  </si>
  <si>
    <t>보상 설정</t>
  </si>
  <si>
    <t>설명</t>
  </si>
  <si>
    <t>던전 공격력 증가 값</t>
  </si>
  <si>
    <t>던전 방어력 증가 값</t>
  </si>
  <si>
    <t>던전 체력 증가 값</t>
  </si>
  <si>
    <t>몬스터 이미지</t>
  </si>
  <si>
    <t>AssetData 경로(Stage처럼 에셋만 추가하면 바뀌게)</t>
  </si>
  <si>
    <t>#프리펩 경로(안쓰게변경해야함)클라작업 시 말씀부탁</t>
  </si>
  <si>
    <t>Id</t>
  </si>
  <si>
    <t>Name</t>
  </si>
  <si>
    <t>DungeonName</t>
  </si>
  <si>
    <t>DungeonType</t>
  </si>
  <si>
    <t>Priority</t>
  </si>
  <si>
    <t>CycleType</t>
  </si>
  <si>
    <t>EnterCondition</t>
  </si>
  <si>
    <t>EnterCurrencyType</t>
  </si>
  <si>
    <t>Dungeon_Buff_ID</t>
  </si>
  <si>
    <t>RewardName</t>
  </si>
  <si>
    <t>Buff_value_rate</t>
  </si>
  <si>
    <t>RewardType1</t>
  </si>
  <si>
    <t>EnterCurrencyValue</t>
  </si>
  <si>
    <t>StageName</t>
  </si>
  <si>
    <t>RewardValue1</t>
  </si>
  <si>
    <t>FreeEnterCurrencyType</t>
  </si>
  <si>
    <t>RewardType2</t>
  </si>
  <si>
    <t>ADEnterCount</t>
  </si>
  <si>
    <t>Dungeon_Floor</t>
  </si>
  <si>
    <t>RewardValue2</t>
  </si>
  <si>
    <t>EnterCurrencyCountMax</t>
  </si>
  <si>
    <t>Time_limit</t>
  </si>
  <si>
    <t>Is_FirstClear</t>
  </si>
  <si>
    <t>SpawnIds</t>
  </si>
  <si>
    <t>DungeonImagePath</t>
  </si>
  <si>
    <t>Boss_ID</t>
  </si>
  <si>
    <t>FirstClearRewardType</t>
  </si>
  <si>
    <t>Dungeon_BGM_ID</t>
  </si>
  <si>
    <t>FirstClearRewardValue</t>
  </si>
  <si>
    <t>Description</t>
  </si>
  <si>
    <t>SpawnPointCount</t>
  </si>
  <si>
    <t>SpawnMaxCount</t>
  </si>
  <si>
    <t>SpawnNextTime</t>
  </si>
  <si>
    <t>Stage_Clear_Count</t>
  </si>
  <si>
    <t>RecommendPower</t>
  </si>
  <si>
    <t>RewardID</t>
  </si>
  <si>
    <t>Atk_Up_Percent</t>
  </si>
  <si>
    <t>Def_Up_Percent</t>
  </si>
  <si>
    <t>MHP_Up_Percent</t>
  </si>
  <si>
    <t>MonsterImagePath</t>
  </si>
  <si>
    <t>AssetDataPath</t>
  </si>
  <si>
    <t>PrefabPath</t>
  </si>
  <si>
    <t>int</t>
  </si>
  <si>
    <t>String</t>
  </si>
  <si>
    <t>enum:DungeonType</t>
  </si>
  <si>
    <t>enum:CycleType</t>
  </si>
  <si>
    <t>intArray</t>
  </si>
  <si>
    <t>enum:CurrencyType</t>
  </si>
  <si>
    <t>float</t>
  </si>
  <si>
    <t>string</t>
  </si>
  <si>
    <t>bool</t>
  </si>
  <si>
    <t>ExpDungeon1</t>
  </si>
  <si>
    <t>경험의 성소</t>
  </si>
  <si>
    <t>DungeonName.Gold</t>
  </si>
  <si>
    <t>골드 던전</t>
  </si>
  <si>
    <t>GoldDungeonReward1</t>
  </si>
  <si>
    <t>골드 던전 보상</t>
  </si>
  <si>
    <t>EXP</t>
  </si>
  <si>
    <t>Gold</t>
  </si>
  <si>
    <t>GoldDungeon1</t>
  </si>
  <si>
    <t>황금 사원</t>
  </si>
  <si>
    <t>Daily</t>
  </si>
  <si>
    <t>Dungeon_Daily_EXP02</t>
  </si>
  <si>
    <t>Bust_Bdt_Asiki</t>
  </si>
  <si>
    <t>Assets/Data/StageAssets/StageData_D_Born_dragon01_Overcast01_ExpDungeon.asset</t>
  </si>
  <si>
    <t>Assets/Prefab/Battle_BG/D_Born_dragon01_Overcast01.prefab</t>
  </si>
  <si>
    <t>ExpDungeon2</t>
  </si>
  <si>
    <t>Dungeon_Daily_Gold02</t>
  </si>
  <si>
    <t>Bust_Nero_Type01</t>
  </si>
  <si>
    <t>Assets/Data/StageAssets/StageData_D_Born_dragon01_Overcast01_GoldDungeon.asset</t>
  </si>
  <si>
    <t>Ticket_D1_gold</t>
  </si>
  <si>
    <t>None</t>
  </si>
  <si>
    <t>GoldDungeon2</t>
  </si>
  <si>
    <t>FREETicket_D1_gold</t>
  </si>
  <si>
    <t>Dungeon_Daily_Gold01</t>
  </si>
  <si>
    <t>ExpDungeon3</t>
  </si>
  <si>
    <t>DungeonName.Exp</t>
  </si>
  <si>
    <t>경험치 던전</t>
  </si>
  <si>
    <t>Ticket_D2_exp</t>
  </si>
  <si>
    <t>FREETicket_D2_exp</t>
  </si>
  <si>
    <t>ExpDungeon4</t>
  </si>
  <si>
    <t>Dungeon_Daily_EXP01</t>
  </si>
  <si>
    <t>DungeonName.Trait</t>
  </si>
  <si>
    <t>특성 던전</t>
  </si>
  <si>
    <t>Trait</t>
  </si>
  <si>
    <t>GoldDungeonReward2</t>
  </si>
  <si>
    <t>Ticket_D5_trait</t>
  </si>
  <si>
    <t>FREETicket_D5_trait</t>
  </si>
  <si>
    <t>ExpDungeon5</t>
  </si>
  <si>
    <t>Dungeon_Daily_Trait01</t>
  </si>
  <si>
    <t>DungeonName.Relic</t>
  </si>
  <si>
    <t>유물 던전</t>
  </si>
  <si>
    <t>GoldDungeon3</t>
  </si>
  <si>
    <t>Relic</t>
  </si>
  <si>
    <t>Ticket_D6_relic</t>
  </si>
  <si>
    <t>FREETicket_D6_relic</t>
  </si>
  <si>
    <t>Dungeon_Daily_Relic01</t>
  </si>
  <si>
    <t>DungeonName.Oopats</t>
  </si>
  <si>
    <t>오파츠 던전</t>
  </si>
  <si>
    <t>Ooparts</t>
  </si>
  <si>
    <t>GoldDungeonReward3</t>
  </si>
  <si>
    <t>Ticket_D7_ooparts</t>
  </si>
  <si>
    <t>FREETicket_D7_ooparts</t>
  </si>
  <si>
    <t>Dungeon_Daily_Ooparts01</t>
  </si>
  <si>
    <t>ExpDungeon6</t>
  </si>
  <si>
    <t>GoldDungeon4</t>
  </si>
  <si>
    <t>GoldDungeonReward4</t>
  </si>
  <si>
    <t>ExpDungeon7</t>
  </si>
  <si>
    <t>GoldDungeon5</t>
  </si>
  <si>
    <t>GoldDungeonReward5</t>
  </si>
  <si>
    <t>ExpDungeon8</t>
  </si>
  <si>
    <t>GoldDungeon6</t>
  </si>
  <si>
    <t>ExpDungeon9</t>
  </si>
  <si>
    <t>GoldDungeon7</t>
  </si>
  <si>
    <t>Ticket_Character_N</t>
  </si>
  <si>
    <t>ExpDungeon10</t>
  </si>
  <si>
    <t>GoldDungeonReward6</t>
  </si>
  <si>
    <t>ExpDungeon11</t>
  </si>
  <si>
    <t>GoldDungeonReward7</t>
  </si>
  <si>
    <t>GoldDungeon8</t>
  </si>
  <si>
    <t>ExpDungeon12</t>
  </si>
  <si>
    <t>GoldDungeonReward8</t>
  </si>
  <si>
    <t>ExpDungeon13</t>
  </si>
  <si>
    <t>GoldDungeonReward9</t>
  </si>
  <si>
    <t>ExpDungeon14</t>
  </si>
  <si>
    <t>GoldDungeon9</t>
  </si>
  <si>
    <t>GoldDungeonReward10</t>
  </si>
  <si>
    <t>ExpDungeon15</t>
  </si>
  <si>
    <t>GoldDungeonReward11</t>
  </si>
  <si>
    <t>GoldDungeon10</t>
  </si>
  <si>
    <t>ExpDungeon16</t>
  </si>
  <si>
    <t>GoldDungeonReward12</t>
  </si>
  <si>
    <t>ExpDungeon17</t>
  </si>
  <si>
    <t>GoldDungeonReward13</t>
  </si>
  <si>
    <t>ExpDungeon18</t>
  </si>
  <si>
    <t>GoldDungeonReward14</t>
  </si>
  <si>
    <t>ExpDungeon19</t>
  </si>
  <si>
    <t>GoldDungeon11</t>
  </si>
  <si>
    <t>ExpDungeon20</t>
  </si>
  <si>
    <t>GoldDungeonReward15</t>
  </si>
  <si>
    <t>GoldDungeonReward16</t>
  </si>
  <si>
    <t>GoldDungeon12</t>
  </si>
  <si>
    <t>GoldDungeonReward17</t>
  </si>
  <si>
    <t>GoldDungeonReward18</t>
  </si>
  <si>
    <t>GoldDungeonReward19</t>
  </si>
  <si>
    <t>GoldDungeon13</t>
  </si>
  <si>
    <t>GoldDungeonReward20</t>
  </si>
  <si>
    <t>GoldDungeon14</t>
  </si>
  <si>
    <t>GoldDungeon15</t>
  </si>
  <si>
    <t>GoldDungeon16</t>
  </si>
  <si>
    <t>GoldDungeon17</t>
  </si>
  <si>
    <t>GoldDungeon18</t>
  </si>
  <si>
    <t>GoldDungeon19</t>
  </si>
  <si>
    <t>GoldDungeon20</t>
  </si>
  <si>
    <t>ExpDungeonReward_Table</t>
  </si>
  <si>
    <t>TraitDungeonStage_Table</t>
  </si>
  <si>
    <t>ExpDungeonReward1</t>
  </si>
  <si>
    <t>경험치 던전 보상</t>
  </si>
  <si>
    <t>Exp</t>
  </si>
  <si>
    <t>ArtifactLevelUp</t>
  </si>
  <si>
    <t>ExpDungeonReward2</t>
  </si>
  <si>
    <t>ExpDungeonReward3</t>
  </si>
  <si>
    <t>ExpDungeonReward4</t>
  </si>
  <si>
    <t>ExpDungeonReward5</t>
  </si>
  <si>
    <t>TraitDungeon1</t>
  </si>
  <si>
    <t>각성의 제단</t>
  </si>
  <si>
    <t>ExpDungeonReward6</t>
  </si>
  <si>
    <t>Dungeon_Daily_Trait02</t>
  </si>
  <si>
    <t>Bust_Alexei_Type01</t>
  </si>
  <si>
    <t>Assets/Data/StageAssets/StageData_D_Born_dragon01_Overcast01_AtifactDungeon.asset</t>
  </si>
  <si>
    <t>ExpDungeonReward7</t>
  </si>
  <si>
    <t>ExpDungeonReward8</t>
  </si>
  <si>
    <t>TraitDungeon2</t>
  </si>
  <si>
    <t>ExpDungeonReward9</t>
  </si>
  <si>
    <t>ExpDungeonReward10</t>
  </si>
  <si>
    <t>Ticket_Artifact_N</t>
  </si>
  <si>
    <t>ExpDungeonReward11</t>
  </si>
  <si>
    <t>ExpDungeonReward12</t>
  </si>
  <si>
    <t>TraitDungeon3</t>
  </si>
  <si>
    <t>ExpDungeonReward13</t>
  </si>
  <si>
    <t>ExpDungeonReward14</t>
  </si>
  <si>
    <t>TraitDungeon4</t>
  </si>
  <si>
    <t>ExpDungeonReward15</t>
  </si>
  <si>
    <t>ExpDungeonReward16</t>
  </si>
  <si>
    <t>ExpDungeonReward17</t>
  </si>
  <si>
    <t>TraitDungeon5</t>
  </si>
  <si>
    <t>TraitDungeonReward_Table</t>
  </si>
  <si>
    <t>ExpDungeonReward18</t>
  </si>
  <si>
    <t>TraitDungeon6</t>
  </si>
  <si>
    <t>ExpDungeonReward19</t>
  </si>
  <si>
    <t>ExpDungeonReward20</t>
  </si>
  <si>
    <t>TraitDungeon7</t>
  </si>
  <si>
    <t>TraitDungeonReward1</t>
  </si>
  <si>
    <t>특성 던전 보상</t>
  </si>
  <si>
    <t>TraitDungeon8</t>
  </si>
  <si>
    <t>RelicDungeonStage_Table</t>
  </si>
  <si>
    <t>Trait_Cost</t>
  </si>
  <si>
    <t>TraitDungeon9</t>
  </si>
  <si>
    <t>TraitDungeon10</t>
  </si>
  <si>
    <t>TraitDungeonReward2</t>
  </si>
  <si>
    <t>TraitDungeon11</t>
  </si>
  <si>
    <t>TraitDungeon12</t>
  </si>
  <si>
    <t>TraitDungeonReward3</t>
  </si>
  <si>
    <t>RelicDungeon1</t>
  </si>
  <si>
    <t>고대 유적지</t>
  </si>
  <si>
    <t>TraitDungeonReward4</t>
  </si>
  <si>
    <t>TraitDungeon13</t>
  </si>
  <si>
    <t>TraitDungeonReward5</t>
  </si>
  <si>
    <t>Dungeon_Daily_Relic02</t>
  </si>
  <si>
    <t>Bust_Lepin</t>
  </si>
  <si>
    <t>TraitDungeon14</t>
  </si>
  <si>
    <t>TraitDungeonReward6</t>
  </si>
  <si>
    <t>RelicDungeon2</t>
  </si>
  <si>
    <t>TraitDungeon15</t>
  </si>
  <si>
    <t>TraitDungeonReward7</t>
  </si>
  <si>
    <t>RelicDungeon3</t>
  </si>
  <si>
    <t>TraitDungeonReward8</t>
  </si>
  <si>
    <t>TraitDungeon16</t>
  </si>
  <si>
    <t>TraitDungeonReward9</t>
  </si>
  <si>
    <t>RelicDungeon4</t>
  </si>
  <si>
    <t>TraitDungeonReward10</t>
  </si>
  <si>
    <t>TraitDungeon17</t>
  </si>
  <si>
    <t>RelicDungeon5</t>
  </si>
  <si>
    <t>TraitDungeonReward11</t>
  </si>
  <si>
    <t>TraitDungeonReward12</t>
  </si>
  <si>
    <t>TraitDungeon18</t>
  </si>
  <si>
    <t>RelicDungeon6</t>
  </si>
  <si>
    <t>TraitDungeonReward13</t>
  </si>
  <si>
    <t>TraitDungeon19</t>
  </si>
  <si>
    <t>TraitDungeonReward14</t>
  </si>
  <si>
    <t>RelicDungeon7</t>
  </si>
  <si>
    <t>TraitDungeonReward15</t>
  </si>
  <si>
    <t>TraitDungeon20</t>
  </si>
  <si>
    <t>RelicDungeon8</t>
  </si>
  <si>
    <t>TraitDungeonReward16</t>
  </si>
  <si>
    <t>TraitDungeonReward17</t>
  </si>
  <si>
    <t>RelicDungeon9</t>
  </si>
  <si>
    <t>TraitDungeonReward18</t>
  </si>
  <si>
    <t>TraitDungeonReward19</t>
  </si>
  <si>
    <t>RelicDungeonReward_Table</t>
  </si>
  <si>
    <t>RelicDungeon10</t>
  </si>
  <si>
    <t>TraitDungeonReward20</t>
  </si>
  <si>
    <t>RelicDungeon11</t>
  </si>
  <si>
    <t>RelicDungeon12</t>
  </si>
  <si>
    <t>RelicDungeonReward1</t>
  </si>
  <si>
    <t>유물 던전 보상</t>
  </si>
  <si>
    <t>RelicDungeon13</t>
  </si>
  <si>
    <t>Relic_Cost</t>
  </si>
  <si>
    <t>RelicDungeon14</t>
  </si>
  <si>
    <t>RelicDungeonReward2</t>
  </si>
  <si>
    <t>RelicDungeon15</t>
  </si>
  <si>
    <t>RelicDungeon16</t>
  </si>
  <si>
    <t>RelicDungeon17</t>
  </si>
  <si>
    <t>RelicDungeonReward3</t>
  </si>
  <si>
    <t>RelicDungeonReward4</t>
  </si>
  <si>
    <t>RelicDungeon18</t>
  </si>
  <si>
    <t>RelicDungeonReward5</t>
  </si>
  <si>
    <t>RelicDungeon19</t>
  </si>
  <si>
    <t>RelicDungeon20</t>
  </si>
  <si>
    <t>RelicDungeonReward6</t>
  </si>
  <si>
    <t>RelicDungeonReward7</t>
  </si>
  <si>
    <t>RelicDungeonReward8</t>
  </si>
  <si>
    <t>RelicDungeonReward9</t>
  </si>
  <si>
    <t>RelicDungeonReward10</t>
  </si>
  <si>
    <t>RelicDungeonReward11</t>
  </si>
  <si>
    <t>RelicDungeonReward12</t>
  </si>
  <si>
    <t>RelicDungeonReward13</t>
  </si>
  <si>
    <t>RelicDungeonReward14</t>
  </si>
  <si>
    <t>RelicDungeonReward15</t>
  </si>
  <si>
    <t>RelicDungeonReward16</t>
  </si>
  <si>
    <t>RelicDungeonReward17</t>
  </si>
  <si>
    <t>RelicDungeonReward18</t>
  </si>
  <si>
    <t>RelicDungeonReward19</t>
  </si>
  <si>
    <t>RelicDungeonReward20</t>
  </si>
  <si>
    <t>OopartsDungeonStage_Table</t>
  </si>
  <si>
    <t>OopartsDungeonReward_Table</t>
  </si>
  <si>
    <t>OopatrsDungeonReward1</t>
  </si>
  <si>
    <t>오파츠 던전 보상</t>
  </si>
  <si>
    <t>Ooparts_Cost</t>
  </si>
  <si>
    <t>OopartsDungeon1</t>
  </si>
  <si>
    <t>시간의 균열</t>
  </si>
  <si>
    <t>Dungeon_Daily_Oopats02</t>
  </si>
  <si>
    <t>Bust_Bdt_Wagni</t>
  </si>
  <si>
    <t>OopatrsDungeonReward2</t>
  </si>
  <si>
    <t>OopartsDungeon2</t>
  </si>
  <si>
    <t>OopatrsDungeonReward3</t>
  </si>
  <si>
    <t>OopatrsDungeonReward4</t>
  </si>
  <si>
    <t>OopatrsDungeonReward5</t>
  </si>
  <si>
    <t>OopatrsDungeonReward6</t>
  </si>
  <si>
    <t>OopartsDungeon3</t>
  </si>
  <si>
    <t>OopatrsDungeonReward7</t>
  </si>
  <si>
    <t>OopatrsDungeonReward8</t>
  </si>
  <si>
    <t>OopatrsDungeonReward9</t>
  </si>
  <si>
    <t>OopartsDungeon4</t>
  </si>
  <si>
    <t>OopatrsDungeonReward10</t>
  </si>
  <si>
    <t>OopatrsDungeonReward11</t>
  </si>
  <si>
    <t>OopatrsDungeonReward12</t>
  </si>
  <si>
    <t>OopartsDungeon5</t>
  </si>
  <si>
    <t>OopatrsDungeonReward13</t>
  </si>
  <si>
    <t>OopatrsDungeonReward14</t>
  </si>
  <si>
    <t>OopatrsDungeonReward15</t>
  </si>
  <si>
    <t>OopartsDungeon6</t>
  </si>
  <si>
    <t>OopatrsDungeonReward16</t>
  </si>
  <si>
    <t>OopatrsDungeonReward17</t>
  </si>
  <si>
    <t>OopartsDungeon7</t>
  </si>
  <si>
    <t>OopatrsDungeonReward18</t>
  </si>
  <si>
    <t>OopatrsDungeonReward19</t>
  </si>
  <si>
    <t>OopatrsDungeonReward20</t>
  </si>
  <si>
    <t>OopartsDungeon8</t>
  </si>
  <si>
    <t>OopartsDungeon9</t>
  </si>
  <si>
    <t>OopartsDungeon10</t>
  </si>
  <si>
    <t>OopartsDungeon11</t>
  </si>
  <si>
    <t>OopartsDungeon12</t>
  </si>
  <si>
    <t>OopartsDungeon13</t>
  </si>
  <si>
    <t>OopartsDungeon14</t>
  </si>
  <si>
    <t>OopartsDungeon15</t>
  </si>
  <si>
    <t>OopartsDungeon16</t>
  </si>
  <si>
    <t>OopartsDungeon17</t>
  </si>
  <si>
    <t>OopartsDungeon18</t>
  </si>
  <si>
    <t>OopartsDungeon19</t>
  </si>
  <si>
    <t>OopartsDungeon20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</si>
</sst>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</font>
    <font>
      <sz val="11.0"/>
      <color theme="1"/>
      <name val="Arial"/>
      <scheme val="minor"/>
    </font>
    <font>
      <sz val="10.0"/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2" fontId="1" numFmtId="0" xfId="0" applyAlignment="1" applyFill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0" fillId="0" fontId="4" numFmtId="0" xfId="0" applyFont="1"/>
    <xf borderId="0" fillId="0" fontId="1" numFmtId="0" xfId="0" applyFont="1"/>
    <xf borderId="0" fillId="4" fontId="5" numFmtId="0" xfId="0" applyAlignment="1" applyFill="1" applyFont="1">
      <alignment readingOrder="0"/>
    </xf>
    <xf borderId="0" fillId="4" fontId="5" numFmtId="0" xfId="0" applyAlignment="1" applyFont="1">
      <alignment readingOrder="0" vertical="bottom"/>
    </xf>
    <xf borderId="0" fillId="4" fontId="5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4" fontId="6" numFmtId="0" xfId="0" applyAlignment="1" applyFont="1">
      <alignment readingOrder="0"/>
    </xf>
    <xf borderId="0" fillId="4" fontId="5" numFmtId="0" xfId="0" applyAlignment="1" applyFont="1">
      <alignment vertical="bottom"/>
    </xf>
    <xf borderId="0" fillId="4" fontId="2" numFmtId="0" xfId="0" applyAlignment="1" applyFont="1">
      <alignment vertical="bottom"/>
    </xf>
    <xf borderId="0" fillId="5" fontId="5" numFmtId="0" xfId="0" applyAlignment="1" applyFill="1" applyFont="1">
      <alignment readingOrder="0" vertical="bottom"/>
    </xf>
    <xf borderId="0" fillId="2" fontId="5" numFmtId="0" xfId="0" applyAlignment="1" applyFont="1">
      <alignment readingOrder="0" vertical="bottom"/>
    </xf>
    <xf borderId="0" fillId="5" fontId="7" numFmtId="0" xfId="0" applyAlignment="1" applyFont="1">
      <alignment vertical="bottom"/>
    </xf>
    <xf borderId="0" fillId="5" fontId="6" numFmtId="0" xfId="0" applyAlignment="1" applyFont="1">
      <alignment readingOrder="0"/>
    </xf>
    <xf borderId="0" fillId="5" fontId="5" numFmtId="0" xfId="0" applyAlignment="1" applyFont="1">
      <alignment vertical="bottom"/>
    </xf>
    <xf borderId="0" fillId="4" fontId="6" numFmtId="0" xfId="0" applyFont="1"/>
    <xf borderId="0" fillId="5" fontId="8" numFmtId="0" xfId="0" applyAlignment="1" applyFont="1">
      <alignment readingOrder="0"/>
    </xf>
    <xf borderId="0" fillId="5" fontId="2" numFmtId="0" xfId="0" applyAlignment="1" applyFont="1">
      <alignment readingOrder="0" vertical="bottom"/>
    </xf>
    <xf borderId="0" fillId="5" fontId="5" numFmtId="0" xfId="0" applyAlignment="1" applyFont="1">
      <alignment vertical="bottom"/>
    </xf>
    <xf borderId="0" fillId="5" fontId="2" numFmtId="0" xfId="0" applyAlignment="1" applyFont="1">
      <alignment vertical="bottom"/>
    </xf>
    <xf borderId="0" fillId="5" fontId="8" numFmtId="0" xfId="0" applyFont="1"/>
    <xf borderId="0" fillId="0" fontId="8" numFmtId="0" xfId="0" applyAlignment="1" applyFont="1">
      <alignment readingOrder="0"/>
    </xf>
    <xf borderId="0" fillId="0" fontId="2" numFmtId="0" xfId="0" applyAlignment="1" applyFont="1">
      <alignment vertical="bottom"/>
    </xf>
    <xf borderId="0" fillId="2" fontId="5" numFmtId="0" xfId="0" applyAlignment="1" applyFont="1">
      <alignment vertical="bottom"/>
    </xf>
    <xf borderId="0" fillId="5" fontId="6" numFmtId="0" xfId="0" applyFont="1"/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  <xf borderId="0" fillId="0" fontId="8" numFmtId="0" xfId="0" applyAlignment="1" applyFont="1">
      <alignment horizontal="left" readingOrder="0"/>
    </xf>
    <xf borderId="0" fillId="0" fontId="8" numFmtId="0" xfId="0" applyAlignment="1" applyFont="1">
      <alignment horizontal="right" readingOrder="0"/>
    </xf>
    <xf borderId="0" fillId="0" fontId="8" numFmtId="0" xfId="0" applyAlignment="1" applyFont="1">
      <alignment horizontal="center" readingOrder="0"/>
    </xf>
    <xf borderId="0" fillId="0" fontId="2" numFmtId="49" xfId="0" applyAlignment="1" applyFont="1" applyNumberFormat="1">
      <alignment readingOrder="0" vertical="bottom"/>
    </xf>
    <xf borderId="0" fillId="0" fontId="2" numFmtId="0" xfId="0" applyAlignment="1" applyFont="1">
      <alignment horizontal="left" readingOrder="0" vertical="bottom"/>
    </xf>
    <xf borderId="0" fillId="0" fontId="8" numFmtId="0" xfId="0" applyFont="1"/>
    <xf borderId="0" fillId="2" fontId="8" numFmtId="0" xfId="0" applyAlignment="1" applyFont="1">
      <alignment readingOrder="0"/>
    </xf>
    <xf borderId="0" fillId="6" fontId="2" numFmtId="49" xfId="0" applyAlignment="1" applyFill="1" applyFont="1" applyNumberFormat="1">
      <alignment readingOrder="0" vertical="bottom"/>
    </xf>
    <xf borderId="0" fillId="0" fontId="2" numFmtId="0" xfId="0" applyAlignment="1" applyFont="1">
      <alignment horizontal="right" vertical="bottom"/>
    </xf>
    <xf borderId="0" fillId="0" fontId="8" numFmtId="2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5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6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24.38"/>
    <col customWidth="1" min="3" max="3" width="21.75"/>
    <col customWidth="1" min="4" max="4" width="22.63"/>
    <col customWidth="1" min="5" max="5" width="15.25"/>
    <col customWidth="1" min="6" max="6" width="22.25"/>
    <col customWidth="1" min="7" max="7" width="19.0"/>
    <col customWidth="1" min="8" max="8" width="23.63"/>
    <col customWidth="1" min="9" max="11" width="18.13"/>
    <col customWidth="1" min="12" max="12" width="26.25"/>
    <col customWidth="1" min="13" max="13" width="18.75"/>
    <col customWidth="1" min="14" max="14" width="22.75"/>
    <col customWidth="1" min="15" max="15" width="26.75"/>
    <col customWidth="1" min="16" max="16" width="18.38"/>
    <col customWidth="1" min="17" max="17" width="43.75"/>
  </cols>
  <sheetData>
    <row r="1" ht="102.0" customHeight="1">
      <c r="A1" s="2" t="s">
        <v>2</v>
      </c>
      <c r="B1" s="2" t="s">
        <v>4</v>
      </c>
      <c r="C1" s="2" t="s">
        <v>5</v>
      </c>
      <c r="D1" s="2" t="s">
        <v>7</v>
      </c>
      <c r="E1" s="2" t="s">
        <v>8</v>
      </c>
      <c r="F1" s="2" t="s">
        <v>11</v>
      </c>
      <c r="G1" s="2" t="s">
        <v>13</v>
      </c>
      <c r="H1" s="2" t="s">
        <v>15</v>
      </c>
      <c r="I1" s="4" t="s">
        <v>20</v>
      </c>
      <c r="J1" s="4" t="s">
        <v>25</v>
      </c>
      <c r="K1" s="2" t="s">
        <v>27</v>
      </c>
      <c r="L1" s="2" t="s">
        <v>30</v>
      </c>
      <c r="M1" s="2" t="s">
        <v>32</v>
      </c>
      <c r="N1" s="2" t="s">
        <v>33</v>
      </c>
      <c r="O1" s="2" t="s">
        <v>35</v>
      </c>
      <c r="P1" s="2" t="s">
        <v>37</v>
      </c>
      <c r="Q1" s="2" t="s">
        <v>39</v>
      </c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</row>
    <row r="2">
      <c r="A2" s="12" t="s">
        <v>46</v>
      </c>
      <c r="B2" s="12" t="s">
        <v>47</v>
      </c>
      <c r="C2" s="12" t="s">
        <v>48</v>
      </c>
      <c r="D2" s="13" t="s">
        <v>49</v>
      </c>
      <c r="E2" s="14" t="s">
        <v>50</v>
      </c>
      <c r="F2" s="13" t="s">
        <v>51</v>
      </c>
      <c r="G2" s="13" t="s">
        <v>52</v>
      </c>
      <c r="H2" s="13" t="s">
        <v>53</v>
      </c>
      <c r="I2" s="16" t="s">
        <v>54</v>
      </c>
      <c r="J2" s="16" t="s">
        <v>56</v>
      </c>
      <c r="K2" s="13" t="s">
        <v>58</v>
      </c>
      <c r="L2" s="13" t="s">
        <v>61</v>
      </c>
      <c r="M2" s="13" t="s">
        <v>63</v>
      </c>
      <c r="N2" s="13" t="s">
        <v>66</v>
      </c>
      <c r="O2" s="13" t="s">
        <v>70</v>
      </c>
      <c r="P2" s="13" t="s">
        <v>73</v>
      </c>
      <c r="Q2" s="13" t="s">
        <v>75</v>
      </c>
      <c r="R2" s="17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</row>
    <row r="3">
      <c r="A3" s="19" t="s">
        <v>88</v>
      </c>
      <c r="B3" s="19" t="s">
        <v>89</v>
      </c>
      <c r="C3" s="19" t="s">
        <v>89</v>
      </c>
      <c r="D3" s="21" t="s">
        <v>90</v>
      </c>
      <c r="E3" s="23" t="s">
        <v>88</v>
      </c>
      <c r="F3" s="19" t="s">
        <v>91</v>
      </c>
      <c r="G3" s="19" t="s">
        <v>88</v>
      </c>
      <c r="H3" s="19" t="s">
        <v>93</v>
      </c>
      <c r="I3" s="19" t="s">
        <v>88</v>
      </c>
      <c r="J3" s="19" t="s">
        <v>94</v>
      </c>
      <c r="K3" s="19" t="s">
        <v>88</v>
      </c>
      <c r="L3" s="19" t="s">
        <v>93</v>
      </c>
      <c r="M3" s="19" t="s">
        <v>88</v>
      </c>
      <c r="N3" s="19" t="s">
        <v>88</v>
      </c>
      <c r="O3" s="19" t="s">
        <v>89</v>
      </c>
      <c r="P3" s="26" t="s">
        <v>88</v>
      </c>
      <c r="Q3" s="26" t="s">
        <v>95</v>
      </c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</row>
    <row r="4">
      <c r="A4" s="30">
        <v>1.0</v>
      </c>
      <c r="B4" s="31" t="s">
        <v>99</v>
      </c>
      <c r="C4" s="30" t="s">
        <v>100</v>
      </c>
      <c r="D4" s="35" t="s">
        <v>104</v>
      </c>
      <c r="E4" s="30">
        <v>1.0</v>
      </c>
      <c r="F4" s="39" t="s">
        <v>107</v>
      </c>
      <c r="G4" s="30">
        <v>3.0100022E7</v>
      </c>
      <c r="H4" s="31" t="s">
        <v>116</v>
      </c>
      <c r="I4" s="30">
        <v>1110004.0</v>
      </c>
      <c r="J4" s="30">
        <v>0.05</v>
      </c>
      <c r="K4" s="30">
        <v>1.0</v>
      </c>
      <c r="L4" s="34" t="s">
        <v>119</v>
      </c>
      <c r="M4" s="30">
        <v>3.0</v>
      </c>
      <c r="N4" s="30">
        <v>5.0</v>
      </c>
      <c r="O4" s="30" t="s">
        <v>120</v>
      </c>
      <c r="P4" s="30">
        <v>-1.0</v>
      </c>
      <c r="Q4" s="31" t="s">
        <v>99</v>
      </c>
    </row>
    <row r="5">
      <c r="A5" s="30">
        <v>2.0</v>
      </c>
      <c r="B5" s="31" t="s">
        <v>122</v>
      </c>
      <c r="C5" s="30" t="s">
        <v>123</v>
      </c>
      <c r="D5" s="34" t="s">
        <v>103</v>
      </c>
      <c r="E5" s="30">
        <v>2.0</v>
      </c>
      <c r="F5" s="39" t="s">
        <v>107</v>
      </c>
      <c r="G5" s="30">
        <v>3.0100022E7</v>
      </c>
      <c r="H5" s="31" t="s">
        <v>124</v>
      </c>
      <c r="I5" s="30">
        <v>1110003.0</v>
      </c>
      <c r="J5" s="30">
        <v>0.05</v>
      </c>
      <c r="K5" s="30">
        <v>1.0</v>
      </c>
      <c r="L5" s="34" t="s">
        <v>125</v>
      </c>
      <c r="M5" s="30">
        <v>3.0</v>
      </c>
      <c r="N5" s="30">
        <v>5.0</v>
      </c>
      <c r="O5" s="30" t="s">
        <v>127</v>
      </c>
      <c r="P5" s="30">
        <v>-1.0</v>
      </c>
      <c r="Q5" s="31" t="s">
        <v>122</v>
      </c>
    </row>
    <row r="6">
      <c r="A6" s="30">
        <v>3.0</v>
      </c>
      <c r="B6" s="31" t="s">
        <v>128</v>
      </c>
      <c r="C6" s="30" t="s">
        <v>129</v>
      </c>
      <c r="D6" s="34" t="s">
        <v>130</v>
      </c>
      <c r="E6" s="30">
        <v>3.0</v>
      </c>
      <c r="F6" s="39" t="s">
        <v>107</v>
      </c>
      <c r="G6" s="30">
        <v>3.0100022E7</v>
      </c>
      <c r="H6" s="31" t="s">
        <v>132</v>
      </c>
      <c r="I6" s="30">
        <v>1110001.0</v>
      </c>
      <c r="J6" s="30">
        <v>0.05</v>
      </c>
      <c r="K6" s="30">
        <v>1.0</v>
      </c>
      <c r="L6" s="31" t="s">
        <v>133</v>
      </c>
      <c r="M6" s="30">
        <v>3.0</v>
      </c>
      <c r="N6" s="30">
        <v>5.0</v>
      </c>
      <c r="O6" s="30" t="s">
        <v>135</v>
      </c>
      <c r="P6" s="30">
        <v>-1.0</v>
      </c>
      <c r="Q6" s="31" t="s">
        <v>128</v>
      </c>
    </row>
    <row r="7">
      <c r="A7" s="30">
        <v>4.0</v>
      </c>
      <c r="B7" s="31" t="s">
        <v>136</v>
      </c>
      <c r="C7" s="30" t="s">
        <v>137</v>
      </c>
      <c r="D7" s="34" t="s">
        <v>139</v>
      </c>
      <c r="E7" s="30">
        <v>4.0</v>
      </c>
      <c r="F7" s="39" t="s">
        <v>107</v>
      </c>
      <c r="G7" s="30">
        <v>3.0100022E7</v>
      </c>
      <c r="H7" s="34" t="s">
        <v>140</v>
      </c>
      <c r="I7" s="30">
        <v>1110005.0</v>
      </c>
      <c r="J7" s="30">
        <v>0.05</v>
      </c>
      <c r="K7" s="30">
        <v>1.0</v>
      </c>
      <c r="L7" s="31" t="s">
        <v>141</v>
      </c>
      <c r="M7" s="30">
        <v>3.0</v>
      </c>
      <c r="N7" s="30">
        <v>5.0</v>
      </c>
      <c r="O7" s="30" t="s">
        <v>142</v>
      </c>
      <c r="P7" s="30">
        <v>-1.0</v>
      </c>
      <c r="Q7" s="31" t="s">
        <v>136</v>
      </c>
    </row>
    <row r="8">
      <c r="A8" s="30">
        <v>5.0</v>
      </c>
      <c r="B8" s="34" t="s">
        <v>143</v>
      </c>
      <c r="C8" s="30" t="s">
        <v>144</v>
      </c>
      <c r="D8" s="34" t="s">
        <v>145</v>
      </c>
      <c r="E8" s="30">
        <v>5.0</v>
      </c>
      <c r="F8" s="39" t="s">
        <v>107</v>
      </c>
      <c r="G8" s="30">
        <v>3.0100022E7</v>
      </c>
      <c r="H8" s="34" t="s">
        <v>147</v>
      </c>
      <c r="I8" s="30">
        <v>1110006.0</v>
      </c>
      <c r="J8" s="30">
        <v>0.05</v>
      </c>
      <c r="K8" s="30">
        <v>1.0</v>
      </c>
      <c r="L8" s="34" t="s">
        <v>148</v>
      </c>
      <c r="M8" s="30">
        <v>3.0</v>
      </c>
      <c r="N8" s="30">
        <v>5.0</v>
      </c>
      <c r="O8" s="30" t="s">
        <v>149</v>
      </c>
      <c r="P8" s="30">
        <v>-1.0</v>
      </c>
      <c r="Q8" s="31" t="s">
        <v>136</v>
      </c>
    </row>
    <row r="9">
      <c r="D9" s="35"/>
      <c r="L9" s="35"/>
    </row>
    <row r="10">
      <c r="D10" s="35"/>
    </row>
    <row r="11">
      <c r="D11" s="35"/>
    </row>
    <row r="12">
      <c r="D12" s="35"/>
    </row>
    <row r="13">
      <c r="D13" s="35"/>
    </row>
    <row r="14">
      <c r="D14" s="35"/>
    </row>
    <row r="15">
      <c r="D15" s="35"/>
    </row>
    <row r="16">
      <c r="D16" s="35"/>
    </row>
    <row r="17">
      <c r="D17" s="35"/>
    </row>
    <row r="18">
      <c r="D18" s="35"/>
    </row>
    <row r="19">
      <c r="D19" s="35"/>
    </row>
    <row r="20">
      <c r="D20" s="35"/>
    </row>
    <row r="21">
      <c r="D21" s="35"/>
    </row>
    <row r="24">
      <c r="A24" s="45"/>
      <c r="B24" s="35"/>
      <c r="C24" s="35"/>
      <c r="D24" s="35"/>
    </row>
    <row r="25">
      <c r="A25" s="45"/>
      <c r="B25" s="35"/>
      <c r="C25" s="35"/>
      <c r="D25" s="35"/>
    </row>
    <row r="26">
      <c r="A26" s="45"/>
      <c r="B26" s="35"/>
      <c r="C26" s="35"/>
      <c r="D26" s="35"/>
    </row>
    <row r="27">
      <c r="A27" s="45"/>
      <c r="B27" s="35"/>
      <c r="C27" s="35"/>
      <c r="D27" s="35"/>
    </row>
    <row r="28">
      <c r="A28" s="45"/>
      <c r="B28" s="35"/>
      <c r="C28" s="35"/>
      <c r="D28" s="35"/>
    </row>
    <row r="29">
      <c r="A29" s="45"/>
      <c r="B29" s="35"/>
      <c r="C29" s="35"/>
      <c r="D29" s="35"/>
    </row>
    <row r="30">
      <c r="A30" s="45"/>
      <c r="B30" s="35"/>
      <c r="C30" s="35"/>
      <c r="D30" s="35"/>
    </row>
    <row r="31">
      <c r="A31" s="45"/>
      <c r="B31" s="35"/>
      <c r="C31" s="35"/>
      <c r="D31" s="35"/>
    </row>
    <row r="32">
      <c r="A32" s="45"/>
      <c r="B32" s="35"/>
      <c r="C32" s="35"/>
      <c r="D32" s="35"/>
    </row>
    <row r="33">
      <c r="A33" s="45"/>
      <c r="B33" s="35"/>
      <c r="C33" s="35"/>
      <c r="D33" s="35"/>
    </row>
    <row r="34">
      <c r="A34" s="45"/>
      <c r="B34" s="35"/>
      <c r="C34" s="35"/>
      <c r="D34" s="35"/>
    </row>
    <row r="35">
      <c r="A35" s="45"/>
      <c r="B35" s="35"/>
      <c r="C35" s="35"/>
      <c r="D35" s="35"/>
    </row>
    <row r="36">
      <c r="A36" s="45"/>
      <c r="B36" s="35"/>
      <c r="C36" s="35"/>
      <c r="D36" s="35"/>
    </row>
    <row r="37">
      <c r="A37" s="45"/>
      <c r="B37" s="35"/>
      <c r="C37" s="35"/>
      <c r="D37" s="35"/>
    </row>
    <row r="38">
      <c r="A38" s="45"/>
      <c r="B38" s="35"/>
      <c r="C38" s="35"/>
      <c r="D38" s="35"/>
    </row>
    <row r="39">
      <c r="A39" s="45"/>
      <c r="B39" s="35"/>
      <c r="C39" s="35"/>
      <c r="D39" s="35"/>
    </row>
    <row r="40">
      <c r="A40" s="45"/>
      <c r="B40" s="35"/>
      <c r="C40" s="35"/>
      <c r="D40" s="35"/>
    </row>
  </sheetData>
  <dataValidations>
    <dataValidation type="list" allowBlank="1" showErrorMessage="1" sqref="H4:H8">
      <formula1>"Ticket_Character_SR,Coin_Artifact,Coin_Character,Coin_Pet,Dia,Dia_Free,Exp,Gold,Guild_Coin_1,Guild_Coin_2,Guild_Coin_3,Guild_Cost_A,Guild_Ticket_1,Guild_Ticket_2,HolyRelic_Cost,Mertarial_equipment,Mertarial_monsterProduct,Mertarial_Plant,Mertarial_Request"&amp;",HeroClassUp,Ooparts_Cost,Relic_Cost,ArtifactLevelUp,ArtifactClassUp,Ticket_Character,Ticket_Costum,Ticket_D1_gold,Ticket_D2_exp,Ticket_D3_artifact,Ticket_D4_equipment,Ticket_D5_trait,Trait_Cost,World_Coin,World_Ticket_1,World_Ticket_2,None,Piece_Characte"&amp;"r_SR,Piece_Character_SSR,Piece_Character_UR,Ticket_Character_SSR,Ticket_Character_Grade,Mertarial_EqLevel_M,Mertarial_EqLevel_R,Mertarial_EqLevel_T,Mertarial_EqLevel_S,Mertarial_EqClass_M,Mertarial_EqClass_R,Mertarial_EqClass_T,Mertarial_EqClass_S,Mertari"&amp;"al_EqGrade_M,Mertarial_EqGrade_R,Mertarial_EqGrade_T,Mertarial_EqGrade_S,Mertarial_Request2,Mertarial_Request3,Mertarial_Request4,Friend_Cost,SD_Cost,Mertarial_Alchemy1,Mertarial_Alchemy2,AlchemyCritDMG,AlchemyCritRATE,AlchemyBlockRATE,AlchemyHIT,AccelTic"&amp;"ket,HeroLevelBT,Ticket_D6_relic,Ticket_D7_ooparts"</formula1>
    </dataValidation>
    <dataValidation type="list" allowBlank="1" showErrorMessage="1" sqref="L4:L8">
      <formula1>"None,AncientRelic_Cost,Coin_Artifact,Coin_Character,Coin_Pet,Dia,RealCash,Exp,Gold,Guild_Coin_1,Guild_Coin_2,Guild_Coin_3,Guild_Cost_A,Guild_Ticket_1,Guild_Ticket_2,HolyRelic_Cost,Mertarial_equipment,Mertarial_monsterProduct,Mertarial_Plant,Mertarial_Requ"&amp;"est,Mertarial_specialhero,Ooparts_Cost,Relic_Cost,Ticket_Artifact,Ticket_Character,Ticket_Costum,Ticket_D1_gold,Ticket_D2_exp,Ticket_D3_artifact,Ticket_D4_equipment,Ticket_D5_trait,Trait_Cost,World_Coin,World_Ticket_1,World_Ticket_2,EqLevelUp_M,Ticket_Cha"&amp;"racter_P,Ticket_Character_N,Ticket_Character_UR,Ticket_Artifact_N,Ticket_Artifact_P,Coin_SD_Agency,Coin_SD_Garden,Coin_SD_Dungen,Mertarial_Request,Mertarial_Request2,Mertarial_Request3,Mertarial_Request4,ShopMileage,AD,Payment,FREETicket_D1_gold,FREETicke"&amp;"t_D2_exp,FREETicket_D5_trait,FREETicket_D6_relic,FREETicket_D7_ooparts"</formula1>
    </dataValidation>
    <dataValidation type="list" allowBlank="1" showErrorMessage="1" sqref="D4:D8">
      <formula1>"Gold,EXP,Trait,Relic,Ooparts,Equipment"</formula1>
    </dataValidation>
    <dataValidation type="list" allowBlank="1" showErrorMessage="1" sqref="F4:F8">
      <formula1>"Daily"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23.63"/>
    <col customWidth="1" min="3" max="3" width="19.13"/>
    <col customWidth="1" min="4" max="4" width="20.75"/>
    <col customWidth="1" min="5" max="5" width="14.75"/>
    <col customWidth="1" min="6" max="6" width="16.75"/>
    <col customWidth="1" min="7" max="7" width="21.25"/>
    <col customWidth="1" min="8" max="8" width="13.5"/>
    <col customWidth="1" min="9" max="9" width="20.63"/>
    <col customWidth="1" min="10" max="10" width="21.13"/>
    <col customWidth="1" min="11" max="11" width="21.5"/>
    <col customWidth="1" min="12" max="12" width="21.13"/>
    <col customWidth="1" min="13" max="13" width="20.63"/>
    <col customWidth="1" min="14" max="14" width="22.88"/>
    <col customWidth="1" min="15" max="15" width="22.25"/>
    <col customWidth="1" min="16" max="16" width="21.5"/>
    <col customWidth="1" min="17" max="17" width="21.63"/>
    <col customWidth="1" min="18" max="19" width="26.5"/>
    <col customWidth="1" min="20" max="20" width="70.63"/>
    <col customWidth="1" min="21" max="21" width="56.13"/>
  </cols>
  <sheetData>
    <row r="1" ht="102.0" customHeight="1">
      <c r="A1" s="1" t="s">
        <v>0</v>
      </c>
      <c r="B1" s="3" t="s">
        <v>3</v>
      </c>
      <c r="C1" s="1" t="s">
        <v>6</v>
      </c>
      <c r="D1" s="1" t="s">
        <v>10</v>
      </c>
      <c r="E1" s="1" t="s">
        <v>12</v>
      </c>
      <c r="F1" s="1" t="s">
        <v>17</v>
      </c>
      <c r="G1" s="3" t="s">
        <v>19</v>
      </c>
      <c r="H1" s="5" t="s">
        <v>21</v>
      </c>
      <c r="I1" s="3" t="s">
        <v>26</v>
      </c>
      <c r="J1" s="3" t="s">
        <v>29</v>
      </c>
      <c r="K1" s="3" t="s">
        <v>31</v>
      </c>
      <c r="L1" s="1" t="s">
        <v>34</v>
      </c>
      <c r="M1" s="1" t="s">
        <v>36</v>
      </c>
      <c r="N1" s="1" t="s">
        <v>38</v>
      </c>
      <c r="O1" s="1" t="s">
        <v>40</v>
      </c>
      <c r="P1" s="1" t="s">
        <v>41</v>
      </c>
      <c r="Q1" s="1" t="s">
        <v>42</v>
      </c>
      <c r="R1" s="1" t="s">
        <v>35</v>
      </c>
      <c r="S1" s="8" t="s">
        <v>43</v>
      </c>
      <c r="T1" s="9" t="s">
        <v>44</v>
      </c>
      <c r="U1" s="1" t="s">
        <v>45</v>
      </c>
      <c r="V1" s="10"/>
      <c r="W1" s="11"/>
      <c r="X1" s="11"/>
      <c r="Y1" s="11"/>
      <c r="Z1" s="11"/>
      <c r="AA1" s="11"/>
      <c r="AB1" s="11"/>
      <c r="AC1" s="11"/>
      <c r="AD1" s="11"/>
      <c r="AE1" s="11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</row>
    <row r="2">
      <c r="A2" s="14" t="s">
        <v>46</v>
      </c>
      <c r="B2" s="14" t="s">
        <v>47</v>
      </c>
      <c r="C2" s="14" t="s">
        <v>59</v>
      </c>
      <c r="D2" s="16" t="s">
        <v>49</v>
      </c>
      <c r="E2" s="13" t="s">
        <v>64</v>
      </c>
      <c r="F2" s="13" t="s">
        <v>67</v>
      </c>
      <c r="G2" s="14" t="s">
        <v>69</v>
      </c>
      <c r="H2" s="17" t="s">
        <v>71</v>
      </c>
      <c r="I2" s="14" t="s">
        <v>76</v>
      </c>
      <c r="J2" s="14" t="s">
        <v>77</v>
      </c>
      <c r="K2" s="14" t="s">
        <v>78</v>
      </c>
      <c r="L2" s="14" t="s">
        <v>79</v>
      </c>
      <c r="M2" s="13" t="s">
        <v>80</v>
      </c>
      <c r="N2" s="12" t="s">
        <v>81</v>
      </c>
      <c r="O2" s="14" t="s">
        <v>82</v>
      </c>
      <c r="P2" s="14" t="s">
        <v>83</v>
      </c>
      <c r="Q2" s="14" t="s">
        <v>84</v>
      </c>
      <c r="R2" s="13" t="s">
        <v>70</v>
      </c>
      <c r="S2" s="20" t="s">
        <v>85</v>
      </c>
      <c r="T2" s="17" t="s">
        <v>86</v>
      </c>
      <c r="U2" s="14" t="s">
        <v>87</v>
      </c>
      <c r="V2" s="24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</row>
    <row r="3">
      <c r="A3" s="19" t="s">
        <v>88</v>
      </c>
      <c r="B3" s="19" t="s">
        <v>89</v>
      </c>
      <c r="C3" s="19" t="s">
        <v>89</v>
      </c>
      <c r="D3" s="22" t="s">
        <v>90</v>
      </c>
      <c r="E3" s="22" t="s">
        <v>88</v>
      </c>
      <c r="F3" s="19" t="s">
        <v>88</v>
      </c>
      <c r="G3" s="22" t="s">
        <v>92</v>
      </c>
      <c r="H3" s="19" t="s">
        <v>92</v>
      </c>
      <c r="I3" s="19" t="s">
        <v>88</v>
      </c>
      <c r="J3" s="19" t="s">
        <v>88</v>
      </c>
      <c r="K3" s="19" t="s">
        <v>94</v>
      </c>
      <c r="L3" s="19" t="s">
        <v>88</v>
      </c>
      <c r="M3" s="19" t="s">
        <v>89</v>
      </c>
      <c r="N3" s="19" t="s">
        <v>88</v>
      </c>
      <c r="O3" s="19" t="s">
        <v>94</v>
      </c>
      <c r="P3" s="19" t="s">
        <v>94</v>
      </c>
      <c r="Q3" s="19" t="s">
        <v>94</v>
      </c>
      <c r="R3" s="27" t="s">
        <v>89</v>
      </c>
      <c r="S3" s="32" t="s">
        <v>89</v>
      </c>
      <c r="T3" s="27" t="s">
        <v>89</v>
      </c>
      <c r="U3" s="19" t="s">
        <v>95</v>
      </c>
      <c r="V3" s="33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</row>
    <row r="4">
      <c r="A4" s="30">
        <v>9100001.0</v>
      </c>
      <c r="B4" s="30" t="s">
        <v>105</v>
      </c>
      <c r="C4" s="30" t="s">
        <v>106</v>
      </c>
      <c r="D4" s="35" t="s">
        <v>104</v>
      </c>
      <c r="E4" s="30">
        <v>1.0</v>
      </c>
      <c r="F4" s="36">
        <v>60000.0</v>
      </c>
      <c r="G4" s="41">
        <v>120101.0</v>
      </c>
      <c r="H4" s="38">
        <v>-1.0</v>
      </c>
      <c r="I4" s="30">
        <v>2.0</v>
      </c>
      <c r="J4" s="30">
        <v>20.0</v>
      </c>
      <c r="K4" s="30">
        <v>1.0</v>
      </c>
      <c r="L4" s="30">
        <v>40.0</v>
      </c>
      <c r="M4" s="30">
        <v>200.0</v>
      </c>
      <c r="N4" s="30">
        <v>9010001.0</v>
      </c>
      <c r="O4" s="30">
        <v>1.0</v>
      </c>
      <c r="P4" s="30">
        <v>1.0</v>
      </c>
      <c r="Q4" s="30">
        <v>1.0</v>
      </c>
      <c r="R4" s="30" t="s">
        <v>113</v>
      </c>
      <c r="S4" s="43" t="s">
        <v>114</v>
      </c>
      <c r="T4" s="44" t="s">
        <v>115</v>
      </c>
      <c r="U4" s="34" t="s">
        <v>111</v>
      </c>
    </row>
    <row r="5">
      <c r="A5" s="42">
        <f t="shared" ref="A5:A23" si="2">A4+1</f>
        <v>9100002</v>
      </c>
      <c r="B5" s="30" t="s">
        <v>118</v>
      </c>
      <c r="C5" s="30" t="s">
        <v>106</v>
      </c>
      <c r="D5" s="35" t="s">
        <v>104</v>
      </c>
      <c r="E5" s="30">
        <v>2.0</v>
      </c>
      <c r="F5" s="36">
        <v>60000.0</v>
      </c>
      <c r="G5" s="41">
        <v>120101.0</v>
      </c>
      <c r="H5" s="38">
        <v>-1.0</v>
      </c>
      <c r="I5" s="30">
        <v>2.0</v>
      </c>
      <c r="J5" s="30">
        <v>20.0</v>
      </c>
      <c r="K5" s="30">
        <v>1.0</v>
      </c>
      <c r="L5" s="30">
        <v>40.0</v>
      </c>
      <c r="M5" s="42">
        <f t="shared" ref="M5:M23" si="3">ROUND(M4*1.25,0)</f>
        <v>250</v>
      </c>
      <c r="N5" s="30">
        <v>9010002.0</v>
      </c>
      <c r="O5" s="30">
        <f t="shared" ref="O5:P5" si="1">O4+0.12</f>
        <v>1.12</v>
      </c>
      <c r="P5" s="30">
        <f t="shared" si="1"/>
        <v>1.12</v>
      </c>
      <c r="Q5" s="30">
        <f t="shared" ref="Q5:Q23" si="5">Q4+0.45</f>
        <v>1.45</v>
      </c>
      <c r="R5" s="30" t="s">
        <v>113</v>
      </c>
      <c r="S5" s="43" t="s">
        <v>114</v>
      </c>
      <c r="T5" s="44" t="s">
        <v>115</v>
      </c>
      <c r="U5" s="34" t="s">
        <v>111</v>
      </c>
    </row>
    <row r="6">
      <c r="A6" s="42">
        <f t="shared" si="2"/>
        <v>9100003</v>
      </c>
      <c r="B6" s="30" t="s">
        <v>138</v>
      </c>
      <c r="C6" s="30" t="s">
        <v>106</v>
      </c>
      <c r="D6" s="35" t="s">
        <v>104</v>
      </c>
      <c r="E6" s="30">
        <v>3.0</v>
      </c>
      <c r="F6" s="36">
        <v>60000.0</v>
      </c>
      <c r="G6" s="41">
        <v>120101.0</v>
      </c>
      <c r="H6" s="38">
        <v>-1.0</v>
      </c>
      <c r="I6" s="30">
        <v>2.0</v>
      </c>
      <c r="J6" s="30">
        <v>20.0</v>
      </c>
      <c r="K6" s="30">
        <v>1.0</v>
      </c>
      <c r="L6" s="30">
        <v>40.0</v>
      </c>
      <c r="M6" s="42">
        <f t="shared" si="3"/>
        <v>313</v>
      </c>
      <c r="N6" s="30">
        <v>9010003.0</v>
      </c>
      <c r="O6" s="30">
        <f t="shared" ref="O6:P6" si="4">O5+0.12</f>
        <v>1.24</v>
      </c>
      <c r="P6" s="30">
        <f t="shared" si="4"/>
        <v>1.24</v>
      </c>
      <c r="Q6" s="30">
        <f t="shared" si="5"/>
        <v>1.9</v>
      </c>
      <c r="R6" s="30" t="s">
        <v>113</v>
      </c>
      <c r="S6" s="43" t="s">
        <v>114</v>
      </c>
      <c r="T6" s="44" t="s">
        <v>115</v>
      </c>
      <c r="U6" s="34" t="s">
        <v>111</v>
      </c>
    </row>
    <row r="7">
      <c r="A7" s="42">
        <f t="shared" si="2"/>
        <v>9100004</v>
      </c>
      <c r="B7" s="30" t="s">
        <v>151</v>
      </c>
      <c r="C7" s="30" t="s">
        <v>106</v>
      </c>
      <c r="D7" s="35" t="s">
        <v>104</v>
      </c>
      <c r="E7" s="30">
        <v>4.0</v>
      </c>
      <c r="F7" s="36">
        <v>60000.0</v>
      </c>
      <c r="G7" s="41">
        <v>120101.0</v>
      </c>
      <c r="H7" s="38">
        <v>-1.0</v>
      </c>
      <c r="I7" s="30">
        <v>2.0</v>
      </c>
      <c r="J7" s="30">
        <v>20.0</v>
      </c>
      <c r="K7" s="30">
        <v>1.0</v>
      </c>
      <c r="L7" s="30">
        <v>40.0</v>
      </c>
      <c r="M7" s="42">
        <f t="shared" si="3"/>
        <v>391</v>
      </c>
      <c r="N7" s="30">
        <v>9010004.0</v>
      </c>
      <c r="O7" s="30">
        <f t="shared" ref="O7:P7" si="6">O6+0.12</f>
        <v>1.36</v>
      </c>
      <c r="P7" s="30">
        <f t="shared" si="6"/>
        <v>1.36</v>
      </c>
      <c r="Q7" s="30">
        <f t="shared" si="5"/>
        <v>2.35</v>
      </c>
      <c r="R7" s="30" t="s">
        <v>113</v>
      </c>
      <c r="S7" s="43" t="s">
        <v>114</v>
      </c>
      <c r="T7" s="44" t="s">
        <v>115</v>
      </c>
      <c r="U7" s="34" t="s">
        <v>111</v>
      </c>
    </row>
    <row r="8">
      <c r="A8" s="42">
        <f t="shared" si="2"/>
        <v>9100005</v>
      </c>
      <c r="B8" s="30" t="s">
        <v>154</v>
      </c>
      <c r="C8" s="30" t="s">
        <v>106</v>
      </c>
      <c r="D8" s="35" t="s">
        <v>104</v>
      </c>
      <c r="E8" s="30">
        <v>5.0</v>
      </c>
      <c r="F8" s="36">
        <v>60000.0</v>
      </c>
      <c r="G8" s="41">
        <v>120101.0</v>
      </c>
      <c r="H8" s="38">
        <v>-1.0</v>
      </c>
      <c r="I8" s="30">
        <v>2.0</v>
      </c>
      <c r="J8" s="30">
        <v>20.0</v>
      </c>
      <c r="K8" s="30">
        <v>1.0</v>
      </c>
      <c r="L8" s="30">
        <v>40.0</v>
      </c>
      <c r="M8" s="42">
        <f t="shared" si="3"/>
        <v>489</v>
      </c>
      <c r="N8" s="30">
        <v>9010005.0</v>
      </c>
      <c r="O8" s="30">
        <f t="shared" ref="O8:P8" si="7">O7+0.12</f>
        <v>1.48</v>
      </c>
      <c r="P8" s="30">
        <f t="shared" si="7"/>
        <v>1.48</v>
      </c>
      <c r="Q8" s="30">
        <f t="shared" si="5"/>
        <v>2.8</v>
      </c>
      <c r="R8" s="30" t="s">
        <v>113</v>
      </c>
      <c r="S8" s="43" t="s">
        <v>114</v>
      </c>
      <c r="T8" s="44" t="s">
        <v>115</v>
      </c>
      <c r="U8" s="34" t="s">
        <v>111</v>
      </c>
    </row>
    <row r="9">
      <c r="A9" s="42">
        <f t="shared" si="2"/>
        <v>9100006</v>
      </c>
      <c r="B9" s="30" t="s">
        <v>157</v>
      </c>
      <c r="C9" s="30" t="s">
        <v>106</v>
      </c>
      <c r="D9" s="35" t="s">
        <v>104</v>
      </c>
      <c r="E9" s="30">
        <v>6.0</v>
      </c>
      <c r="F9" s="36">
        <v>60000.0</v>
      </c>
      <c r="G9" s="41">
        <v>120101.0</v>
      </c>
      <c r="H9" s="38">
        <v>-1.0</v>
      </c>
      <c r="I9" s="30">
        <v>2.0</v>
      </c>
      <c r="J9" s="30">
        <v>20.0</v>
      </c>
      <c r="K9" s="30">
        <v>1.0</v>
      </c>
      <c r="L9" s="30">
        <v>40.0</v>
      </c>
      <c r="M9" s="42">
        <f t="shared" si="3"/>
        <v>611</v>
      </c>
      <c r="N9" s="30">
        <v>9010006.0</v>
      </c>
      <c r="O9" s="30">
        <f t="shared" ref="O9:P9" si="8">O8+0.12</f>
        <v>1.6</v>
      </c>
      <c r="P9" s="30">
        <f t="shared" si="8"/>
        <v>1.6</v>
      </c>
      <c r="Q9" s="30">
        <f t="shared" si="5"/>
        <v>3.25</v>
      </c>
      <c r="R9" s="30" t="s">
        <v>113</v>
      </c>
      <c r="S9" s="43" t="s">
        <v>114</v>
      </c>
      <c r="T9" s="44" t="s">
        <v>115</v>
      </c>
      <c r="U9" s="34" t="s">
        <v>111</v>
      </c>
    </row>
    <row r="10">
      <c r="A10" s="42">
        <f t="shared" si="2"/>
        <v>9100007</v>
      </c>
      <c r="B10" s="30" t="s">
        <v>159</v>
      </c>
      <c r="C10" s="30" t="s">
        <v>106</v>
      </c>
      <c r="D10" s="35" t="s">
        <v>104</v>
      </c>
      <c r="E10" s="30">
        <v>7.0</v>
      </c>
      <c r="F10" s="36">
        <v>60000.0</v>
      </c>
      <c r="G10" s="41">
        <v>120101.0</v>
      </c>
      <c r="H10" s="38">
        <v>-1.0</v>
      </c>
      <c r="I10" s="30">
        <v>2.0</v>
      </c>
      <c r="J10" s="30">
        <v>20.0</v>
      </c>
      <c r="K10" s="30">
        <v>1.0</v>
      </c>
      <c r="L10" s="30">
        <v>40.0</v>
      </c>
      <c r="M10" s="42">
        <f t="shared" si="3"/>
        <v>764</v>
      </c>
      <c r="N10" s="30">
        <v>9010007.0</v>
      </c>
      <c r="O10" s="30">
        <f t="shared" ref="O10:P10" si="9">O9+0.12</f>
        <v>1.72</v>
      </c>
      <c r="P10" s="30">
        <f t="shared" si="9"/>
        <v>1.72</v>
      </c>
      <c r="Q10" s="30">
        <f t="shared" si="5"/>
        <v>3.7</v>
      </c>
      <c r="R10" s="30" t="s">
        <v>113</v>
      </c>
      <c r="S10" s="43" t="s">
        <v>114</v>
      </c>
      <c r="T10" s="44" t="s">
        <v>115</v>
      </c>
      <c r="U10" s="34" t="s">
        <v>111</v>
      </c>
    </row>
    <row r="11">
      <c r="A11" s="42">
        <f t="shared" si="2"/>
        <v>9100008</v>
      </c>
      <c r="B11" s="30" t="s">
        <v>165</v>
      </c>
      <c r="C11" s="30" t="s">
        <v>106</v>
      </c>
      <c r="D11" s="35" t="s">
        <v>104</v>
      </c>
      <c r="E11" s="30">
        <v>8.0</v>
      </c>
      <c r="F11" s="36">
        <v>60000.0</v>
      </c>
      <c r="G11" s="41">
        <v>120101.0</v>
      </c>
      <c r="H11" s="38">
        <v>-1.0</v>
      </c>
      <c r="I11" s="30">
        <v>2.0</v>
      </c>
      <c r="J11" s="30">
        <v>20.0</v>
      </c>
      <c r="K11" s="30">
        <v>1.0</v>
      </c>
      <c r="L11" s="30">
        <v>40.0</v>
      </c>
      <c r="M11" s="42">
        <f t="shared" si="3"/>
        <v>955</v>
      </c>
      <c r="N11" s="30">
        <v>9010008.0</v>
      </c>
      <c r="O11" s="30">
        <f t="shared" ref="O11:P11" si="10">O10+0.12</f>
        <v>1.84</v>
      </c>
      <c r="P11" s="30">
        <f t="shared" si="10"/>
        <v>1.84</v>
      </c>
      <c r="Q11" s="30">
        <f t="shared" si="5"/>
        <v>4.15</v>
      </c>
      <c r="R11" s="30" t="s">
        <v>113</v>
      </c>
      <c r="S11" s="43" t="s">
        <v>114</v>
      </c>
      <c r="T11" s="44" t="s">
        <v>115</v>
      </c>
      <c r="U11" s="34" t="s">
        <v>111</v>
      </c>
    </row>
    <row r="12">
      <c r="A12" s="42">
        <f t="shared" si="2"/>
        <v>9100009</v>
      </c>
      <c r="B12" s="30" t="s">
        <v>171</v>
      </c>
      <c r="C12" s="30" t="s">
        <v>106</v>
      </c>
      <c r="D12" s="35" t="s">
        <v>104</v>
      </c>
      <c r="E12" s="30">
        <v>9.0</v>
      </c>
      <c r="F12" s="36">
        <v>60000.0</v>
      </c>
      <c r="G12" s="41">
        <v>120101.0</v>
      </c>
      <c r="H12" s="38">
        <v>-1.0</v>
      </c>
      <c r="I12" s="30">
        <v>2.0</v>
      </c>
      <c r="J12" s="30">
        <v>20.0</v>
      </c>
      <c r="K12" s="30">
        <v>1.0</v>
      </c>
      <c r="L12" s="30">
        <v>40.0</v>
      </c>
      <c r="M12" s="42">
        <f t="shared" si="3"/>
        <v>1194</v>
      </c>
      <c r="N12" s="30">
        <v>9010009.0</v>
      </c>
      <c r="O12" s="30">
        <f t="shared" ref="O12:P12" si="11">O11+0.12</f>
        <v>1.96</v>
      </c>
      <c r="P12" s="30">
        <f t="shared" si="11"/>
        <v>1.96</v>
      </c>
      <c r="Q12" s="30">
        <f t="shared" si="5"/>
        <v>4.6</v>
      </c>
      <c r="R12" s="30" t="s">
        <v>113</v>
      </c>
      <c r="S12" s="43" t="s">
        <v>114</v>
      </c>
      <c r="T12" s="44" t="s">
        <v>115</v>
      </c>
      <c r="U12" s="34" t="s">
        <v>111</v>
      </c>
    </row>
    <row r="13">
      <c r="A13" s="42">
        <f t="shared" si="2"/>
        <v>9100010</v>
      </c>
      <c r="B13" s="30" t="s">
        <v>175</v>
      </c>
      <c r="C13" s="30" t="s">
        <v>106</v>
      </c>
      <c r="D13" s="35" t="s">
        <v>104</v>
      </c>
      <c r="E13" s="30">
        <v>10.0</v>
      </c>
      <c r="F13" s="36">
        <v>60000.0</v>
      </c>
      <c r="G13" s="41">
        <v>120101.0</v>
      </c>
      <c r="H13" s="38">
        <v>-1.0</v>
      </c>
      <c r="I13" s="30">
        <v>2.0</v>
      </c>
      <c r="J13" s="30">
        <v>20.0</v>
      </c>
      <c r="K13" s="30">
        <v>1.0</v>
      </c>
      <c r="L13" s="30">
        <v>40.0</v>
      </c>
      <c r="M13" s="42">
        <f t="shared" si="3"/>
        <v>1493</v>
      </c>
      <c r="N13" s="30">
        <v>9010010.0</v>
      </c>
      <c r="O13" s="30">
        <f t="shared" ref="O13:P13" si="12">O12+0.12</f>
        <v>2.08</v>
      </c>
      <c r="P13" s="30">
        <f t="shared" si="12"/>
        <v>2.08</v>
      </c>
      <c r="Q13" s="30">
        <f t="shared" si="5"/>
        <v>5.05</v>
      </c>
      <c r="R13" s="30" t="s">
        <v>113</v>
      </c>
      <c r="S13" s="43" t="s">
        <v>114</v>
      </c>
      <c r="T13" s="44" t="s">
        <v>115</v>
      </c>
      <c r="U13" s="34" t="s">
        <v>111</v>
      </c>
    </row>
    <row r="14">
      <c r="A14" s="42">
        <f t="shared" si="2"/>
        <v>9100011</v>
      </c>
      <c r="B14" s="30" t="s">
        <v>183</v>
      </c>
      <c r="C14" s="30" t="s">
        <v>106</v>
      </c>
      <c r="D14" s="35" t="s">
        <v>104</v>
      </c>
      <c r="E14" s="30">
        <v>11.0</v>
      </c>
      <c r="F14" s="36">
        <v>60000.0</v>
      </c>
      <c r="G14" s="41">
        <v>120102.0</v>
      </c>
      <c r="H14" s="38">
        <v>-1.0</v>
      </c>
      <c r="I14" s="30">
        <v>2.0</v>
      </c>
      <c r="J14" s="30">
        <v>20.0</v>
      </c>
      <c r="K14" s="30">
        <v>1.0</v>
      </c>
      <c r="L14" s="30">
        <v>40.0</v>
      </c>
      <c r="M14" s="42">
        <f t="shared" si="3"/>
        <v>1866</v>
      </c>
      <c r="N14" s="30">
        <v>9010011.0</v>
      </c>
      <c r="O14" s="30">
        <f t="shared" ref="O14:P14" si="13">O13+0.12</f>
        <v>2.2</v>
      </c>
      <c r="P14" s="30">
        <f t="shared" si="13"/>
        <v>2.2</v>
      </c>
      <c r="Q14" s="30">
        <f t="shared" si="5"/>
        <v>5.5</v>
      </c>
      <c r="R14" s="30" t="s">
        <v>113</v>
      </c>
      <c r="S14" s="43" t="s">
        <v>114</v>
      </c>
      <c r="T14" s="44" t="s">
        <v>115</v>
      </c>
      <c r="U14" s="34" t="s">
        <v>111</v>
      </c>
    </row>
    <row r="15">
      <c r="A15" s="42">
        <f t="shared" si="2"/>
        <v>9100012</v>
      </c>
      <c r="B15" s="30" t="s">
        <v>187</v>
      </c>
      <c r="C15" s="30" t="s">
        <v>106</v>
      </c>
      <c r="D15" s="35" t="s">
        <v>104</v>
      </c>
      <c r="E15" s="30">
        <v>12.0</v>
      </c>
      <c r="F15" s="36">
        <v>60000.0</v>
      </c>
      <c r="G15" s="41">
        <v>120102.0</v>
      </c>
      <c r="H15" s="38">
        <v>-1.0</v>
      </c>
      <c r="I15" s="30">
        <v>2.0</v>
      </c>
      <c r="J15" s="30">
        <v>20.0</v>
      </c>
      <c r="K15" s="30">
        <v>1.0</v>
      </c>
      <c r="L15" s="30">
        <v>40.0</v>
      </c>
      <c r="M15" s="42">
        <f t="shared" si="3"/>
        <v>2333</v>
      </c>
      <c r="N15" s="30">
        <v>9010012.0</v>
      </c>
      <c r="O15" s="30">
        <f t="shared" ref="O15:P15" si="14">O14+0.12</f>
        <v>2.32</v>
      </c>
      <c r="P15" s="30">
        <f t="shared" si="14"/>
        <v>2.32</v>
      </c>
      <c r="Q15" s="30">
        <f t="shared" si="5"/>
        <v>5.95</v>
      </c>
      <c r="R15" s="30" t="s">
        <v>113</v>
      </c>
      <c r="S15" s="43" t="s">
        <v>114</v>
      </c>
      <c r="T15" s="44" t="s">
        <v>115</v>
      </c>
      <c r="U15" s="34" t="s">
        <v>111</v>
      </c>
    </row>
    <row r="16">
      <c r="A16" s="42">
        <f t="shared" si="2"/>
        <v>9100013</v>
      </c>
      <c r="B16" s="30" t="s">
        <v>191</v>
      </c>
      <c r="C16" s="30" t="s">
        <v>106</v>
      </c>
      <c r="D16" s="35" t="s">
        <v>104</v>
      </c>
      <c r="E16" s="30">
        <v>13.0</v>
      </c>
      <c r="F16" s="36">
        <v>60000.0</v>
      </c>
      <c r="G16" s="41">
        <v>120102.0</v>
      </c>
      <c r="H16" s="38">
        <v>-1.0</v>
      </c>
      <c r="I16" s="30">
        <v>2.0</v>
      </c>
      <c r="J16" s="30">
        <v>20.0</v>
      </c>
      <c r="K16" s="30">
        <v>1.0</v>
      </c>
      <c r="L16" s="30">
        <v>40.0</v>
      </c>
      <c r="M16" s="42">
        <f t="shared" si="3"/>
        <v>2916</v>
      </c>
      <c r="N16" s="30">
        <v>9010013.0</v>
      </c>
      <c r="O16" s="30">
        <f t="shared" ref="O16:P16" si="15">O15+0.12</f>
        <v>2.44</v>
      </c>
      <c r="P16" s="30">
        <f t="shared" si="15"/>
        <v>2.44</v>
      </c>
      <c r="Q16" s="30">
        <f t="shared" si="5"/>
        <v>6.4</v>
      </c>
      <c r="R16" s="30" t="s">
        <v>113</v>
      </c>
      <c r="S16" s="43" t="s">
        <v>114</v>
      </c>
      <c r="T16" s="44" t="s">
        <v>115</v>
      </c>
      <c r="U16" s="34" t="s">
        <v>111</v>
      </c>
    </row>
    <row r="17">
      <c r="A17" s="42">
        <f t="shared" si="2"/>
        <v>9100014</v>
      </c>
      <c r="B17" s="30" t="s">
        <v>193</v>
      </c>
      <c r="C17" s="30" t="s">
        <v>106</v>
      </c>
      <c r="D17" s="35" t="s">
        <v>104</v>
      </c>
      <c r="E17" s="30">
        <v>14.0</v>
      </c>
      <c r="F17" s="36">
        <v>60000.0</v>
      </c>
      <c r="G17" s="41">
        <v>120102.0</v>
      </c>
      <c r="H17" s="38">
        <v>-1.0</v>
      </c>
      <c r="I17" s="30">
        <v>2.0</v>
      </c>
      <c r="J17" s="30">
        <v>20.0</v>
      </c>
      <c r="K17" s="30">
        <v>1.0</v>
      </c>
      <c r="L17" s="30">
        <v>40.0</v>
      </c>
      <c r="M17" s="42">
        <f t="shared" si="3"/>
        <v>3645</v>
      </c>
      <c r="N17" s="30">
        <v>9010014.0</v>
      </c>
      <c r="O17" s="30">
        <f t="shared" ref="O17:P17" si="16">O16+0.12</f>
        <v>2.56</v>
      </c>
      <c r="P17" s="30">
        <f t="shared" si="16"/>
        <v>2.56</v>
      </c>
      <c r="Q17" s="30">
        <f t="shared" si="5"/>
        <v>6.85</v>
      </c>
      <c r="R17" s="30" t="s">
        <v>113</v>
      </c>
      <c r="S17" s="43" t="s">
        <v>114</v>
      </c>
      <c r="T17" s="44" t="s">
        <v>115</v>
      </c>
      <c r="U17" s="34" t="s">
        <v>111</v>
      </c>
    </row>
    <row r="18">
      <c r="A18" s="42">
        <f t="shared" si="2"/>
        <v>9100015</v>
      </c>
      <c r="B18" s="30" t="s">
        <v>194</v>
      </c>
      <c r="C18" s="30" t="s">
        <v>106</v>
      </c>
      <c r="D18" s="35" t="s">
        <v>104</v>
      </c>
      <c r="E18" s="30">
        <v>15.0</v>
      </c>
      <c r="F18" s="36">
        <v>60000.0</v>
      </c>
      <c r="G18" s="41">
        <v>120102.0</v>
      </c>
      <c r="H18" s="38">
        <v>-1.0</v>
      </c>
      <c r="I18" s="30">
        <v>2.0</v>
      </c>
      <c r="J18" s="30">
        <v>20.0</v>
      </c>
      <c r="K18" s="30">
        <v>1.0</v>
      </c>
      <c r="L18" s="30">
        <v>40.0</v>
      </c>
      <c r="M18" s="42">
        <f t="shared" si="3"/>
        <v>4556</v>
      </c>
      <c r="N18" s="30">
        <v>9010015.0</v>
      </c>
      <c r="O18" s="30">
        <f t="shared" ref="O18:P18" si="17">O17+0.12</f>
        <v>2.68</v>
      </c>
      <c r="P18" s="30">
        <f t="shared" si="17"/>
        <v>2.68</v>
      </c>
      <c r="Q18" s="30">
        <f t="shared" si="5"/>
        <v>7.3</v>
      </c>
      <c r="R18" s="30" t="s">
        <v>113</v>
      </c>
      <c r="S18" s="43" t="s">
        <v>114</v>
      </c>
      <c r="T18" s="44" t="s">
        <v>115</v>
      </c>
      <c r="U18" s="34" t="s">
        <v>111</v>
      </c>
    </row>
    <row r="19">
      <c r="A19" s="42">
        <f t="shared" si="2"/>
        <v>9100016</v>
      </c>
      <c r="B19" s="30" t="s">
        <v>195</v>
      </c>
      <c r="C19" s="30" t="s">
        <v>106</v>
      </c>
      <c r="D19" s="35" t="s">
        <v>104</v>
      </c>
      <c r="E19" s="30">
        <v>16.0</v>
      </c>
      <c r="F19" s="36">
        <v>60000.0</v>
      </c>
      <c r="G19" s="41">
        <v>120102.0</v>
      </c>
      <c r="H19" s="38">
        <v>-1.0</v>
      </c>
      <c r="I19" s="30">
        <v>2.0</v>
      </c>
      <c r="J19" s="30">
        <v>20.0</v>
      </c>
      <c r="K19" s="30">
        <v>1.0</v>
      </c>
      <c r="L19" s="30">
        <v>40.0</v>
      </c>
      <c r="M19" s="42">
        <f t="shared" si="3"/>
        <v>5695</v>
      </c>
      <c r="N19" s="30">
        <v>9010016.0</v>
      </c>
      <c r="O19" s="30">
        <f t="shared" ref="O19:P19" si="18">O18+0.12</f>
        <v>2.8</v>
      </c>
      <c r="P19" s="30">
        <f t="shared" si="18"/>
        <v>2.8</v>
      </c>
      <c r="Q19" s="30">
        <f t="shared" si="5"/>
        <v>7.75</v>
      </c>
      <c r="R19" s="30" t="s">
        <v>113</v>
      </c>
      <c r="S19" s="43" t="s">
        <v>114</v>
      </c>
      <c r="T19" s="44" t="s">
        <v>115</v>
      </c>
      <c r="U19" s="34" t="s">
        <v>111</v>
      </c>
    </row>
    <row r="20">
      <c r="A20" s="42">
        <f t="shared" si="2"/>
        <v>9100017</v>
      </c>
      <c r="B20" s="30" t="s">
        <v>196</v>
      </c>
      <c r="C20" s="30" t="s">
        <v>106</v>
      </c>
      <c r="D20" s="35" t="s">
        <v>104</v>
      </c>
      <c r="E20" s="30">
        <v>17.0</v>
      </c>
      <c r="F20" s="36">
        <v>60000.0</v>
      </c>
      <c r="G20" s="41">
        <v>120102.0</v>
      </c>
      <c r="H20" s="38">
        <v>-1.0</v>
      </c>
      <c r="I20" s="30">
        <v>2.0</v>
      </c>
      <c r="J20" s="30">
        <v>20.0</v>
      </c>
      <c r="K20" s="30">
        <v>1.0</v>
      </c>
      <c r="L20" s="30">
        <v>40.0</v>
      </c>
      <c r="M20" s="42">
        <f t="shared" si="3"/>
        <v>7119</v>
      </c>
      <c r="N20" s="30">
        <v>9010017.0</v>
      </c>
      <c r="O20" s="30">
        <f t="shared" ref="O20:P20" si="19">O19+0.12</f>
        <v>2.92</v>
      </c>
      <c r="P20" s="30">
        <f t="shared" si="19"/>
        <v>2.92</v>
      </c>
      <c r="Q20" s="30">
        <f t="shared" si="5"/>
        <v>8.2</v>
      </c>
      <c r="R20" s="30" t="s">
        <v>113</v>
      </c>
      <c r="S20" s="43" t="s">
        <v>114</v>
      </c>
      <c r="T20" s="44" t="s">
        <v>115</v>
      </c>
      <c r="U20" s="34" t="s">
        <v>111</v>
      </c>
    </row>
    <row r="21">
      <c r="A21" s="42">
        <f t="shared" si="2"/>
        <v>9100018</v>
      </c>
      <c r="B21" s="30" t="s">
        <v>197</v>
      </c>
      <c r="C21" s="30" t="s">
        <v>106</v>
      </c>
      <c r="D21" s="35" t="s">
        <v>104</v>
      </c>
      <c r="E21" s="30">
        <v>18.0</v>
      </c>
      <c r="F21" s="36">
        <v>60000.0</v>
      </c>
      <c r="G21" s="41">
        <v>120102.0</v>
      </c>
      <c r="H21" s="38">
        <v>-1.0</v>
      </c>
      <c r="I21" s="30">
        <v>2.0</v>
      </c>
      <c r="J21" s="30">
        <v>20.0</v>
      </c>
      <c r="K21" s="30">
        <v>1.0</v>
      </c>
      <c r="L21" s="30">
        <v>40.0</v>
      </c>
      <c r="M21" s="42">
        <f t="shared" si="3"/>
        <v>8899</v>
      </c>
      <c r="N21" s="30">
        <v>9010018.0</v>
      </c>
      <c r="O21" s="30">
        <f t="shared" ref="O21:P21" si="20">O20+0.12</f>
        <v>3.04</v>
      </c>
      <c r="P21" s="30">
        <f t="shared" si="20"/>
        <v>3.04</v>
      </c>
      <c r="Q21" s="30">
        <f t="shared" si="5"/>
        <v>8.65</v>
      </c>
      <c r="R21" s="30" t="s">
        <v>113</v>
      </c>
      <c r="S21" s="43" t="s">
        <v>114</v>
      </c>
      <c r="T21" s="44" t="s">
        <v>115</v>
      </c>
      <c r="U21" s="34" t="s">
        <v>111</v>
      </c>
    </row>
    <row r="22">
      <c r="A22" s="42">
        <f t="shared" si="2"/>
        <v>9100019</v>
      </c>
      <c r="B22" s="30" t="s">
        <v>198</v>
      </c>
      <c r="C22" s="30" t="s">
        <v>106</v>
      </c>
      <c r="D22" s="35" t="s">
        <v>104</v>
      </c>
      <c r="E22" s="30">
        <v>19.0</v>
      </c>
      <c r="F22" s="36">
        <v>60000.0</v>
      </c>
      <c r="G22" s="41">
        <v>120102.0</v>
      </c>
      <c r="H22" s="38">
        <v>-1.0</v>
      </c>
      <c r="I22" s="30">
        <v>2.0</v>
      </c>
      <c r="J22" s="30">
        <v>20.0</v>
      </c>
      <c r="K22" s="30">
        <v>1.0</v>
      </c>
      <c r="L22" s="30">
        <v>40.0</v>
      </c>
      <c r="M22" s="42">
        <f t="shared" si="3"/>
        <v>11124</v>
      </c>
      <c r="N22" s="30">
        <v>9010019.0</v>
      </c>
      <c r="O22" s="30">
        <f t="shared" ref="O22:P22" si="21">O21+0.12</f>
        <v>3.16</v>
      </c>
      <c r="P22" s="30">
        <f t="shared" si="21"/>
        <v>3.16</v>
      </c>
      <c r="Q22" s="30">
        <f t="shared" si="5"/>
        <v>9.1</v>
      </c>
      <c r="R22" s="30" t="s">
        <v>113</v>
      </c>
      <c r="S22" s="43" t="s">
        <v>114</v>
      </c>
      <c r="T22" s="44" t="s">
        <v>115</v>
      </c>
      <c r="U22" s="34" t="s">
        <v>111</v>
      </c>
    </row>
    <row r="23">
      <c r="A23" s="42">
        <f t="shared" si="2"/>
        <v>9100020</v>
      </c>
      <c r="B23" s="30" t="s">
        <v>199</v>
      </c>
      <c r="C23" s="30" t="s">
        <v>106</v>
      </c>
      <c r="D23" s="35" t="s">
        <v>104</v>
      </c>
      <c r="E23" s="30">
        <v>20.0</v>
      </c>
      <c r="F23" s="36">
        <v>60000.0</v>
      </c>
      <c r="G23" s="41">
        <v>120102.0</v>
      </c>
      <c r="H23" s="38">
        <v>-1.0</v>
      </c>
      <c r="I23" s="30">
        <v>2.0</v>
      </c>
      <c r="J23" s="30">
        <v>20.0</v>
      </c>
      <c r="K23" s="30">
        <v>1.0</v>
      </c>
      <c r="L23" s="30">
        <v>40.0</v>
      </c>
      <c r="M23" s="42">
        <f t="shared" si="3"/>
        <v>13905</v>
      </c>
      <c r="N23" s="30">
        <v>9010020.0</v>
      </c>
      <c r="O23" s="30">
        <f t="shared" ref="O23:P23" si="22">O22+0.12</f>
        <v>3.28</v>
      </c>
      <c r="P23" s="30">
        <f t="shared" si="22"/>
        <v>3.28</v>
      </c>
      <c r="Q23" s="30">
        <f t="shared" si="5"/>
        <v>9.55</v>
      </c>
      <c r="R23" s="30" t="s">
        <v>113</v>
      </c>
      <c r="S23" s="43" t="s">
        <v>114</v>
      </c>
      <c r="T23" s="44" t="s">
        <v>115</v>
      </c>
      <c r="U23" s="34" t="s">
        <v>111</v>
      </c>
    </row>
  </sheetData>
  <dataValidations>
    <dataValidation type="list" allowBlank="1" showErrorMessage="1" sqref="D4:D23">
      <formula1>"Gold,EXP,Trait,Relic,Oopats,Equipment"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26.25"/>
    <col customWidth="1" min="3" max="3" width="21.88"/>
    <col customWidth="1" min="4" max="4" width="20.13"/>
    <col customWidth="1" min="5" max="5" width="21.75"/>
    <col customWidth="1" min="6" max="6" width="20.13"/>
    <col customWidth="1" min="7" max="7" width="22.88"/>
    <col customWidth="1" min="8" max="8" width="16.25"/>
    <col customWidth="1" min="9" max="9" width="21.13"/>
    <col customWidth="1" min="10" max="10" width="21.5"/>
  </cols>
  <sheetData>
    <row r="1" ht="102.0" customHeight="1">
      <c r="A1" s="1" t="s">
        <v>1</v>
      </c>
      <c r="B1" s="3" t="s">
        <v>3</v>
      </c>
      <c r="C1" s="3" t="s">
        <v>6</v>
      </c>
      <c r="D1" s="1" t="s">
        <v>9</v>
      </c>
      <c r="E1" s="1" t="s">
        <v>14</v>
      </c>
      <c r="F1" s="1" t="s">
        <v>16</v>
      </c>
      <c r="G1" s="1" t="s">
        <v>18</v>
      </c>
      <c r="H1" s="1" t="s">
        <v>22</v>
      </c>
      <c r="I1" s="1" t="s">
        <v>24</v>
      </c>
      <c r="J1" s="1" t="s">
        <v>28</v>
      </c>
      <c r="K1" s="3"/>
      <c r="L1" s="6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>
      <c r="A2" s="14" t="s">
        <v>46</v>
      </c>
      <c r="B2" s="14" t="s">
        <v>47</v>
      </c>
      <c r="C2" s="13" t="s">
        <v>55</v>
      </c>
      <c r="D2" s="13" t="s">
        <v>57</v>
      </c>
      <c r="E2" s="13" t="s">
        <v>60</v>
      </c>
      <c r="F2" s="13" t="s">
        <v>62</v>
      </c>
      <c r="G2" s="13" t="s">
        <v>65</v>
      </c>
      <c r="H2" s="13" t="s">
        <v>68</v>
      </c>
      <c r="I2" s="13" t="s">
        <v>72</v>
      </c>
      <c r="J2" s="13" t="s">
        <v>74</v>
      </c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</row>
    <row r="3">
      <c r="A3" s="25" t="s">
        <v>88</v>
      </c>
      <c r="B3" s="25" t="s">
        <v>89</v>
      </c>
      <c r="C3" s="25" t="s">
        <v>89</v>
      </c>
      <c r="D3" s="25" t="s">
        <v>93</v>
      </c>
      <c r="E3" s="25" t="s">
        <v>88</v>
      </c>
      <c r="F3" s="25" t="s">
        <v>93</v>
      </c>
      <c r="G3" s="25" t="s">
        <v>88</v>
      </c>
      <c r="H3" s="25" t="s">
        <v>96</v>
      </c>
      <c r="I3" s="25" t="s">
        <v>93</v>
      </c>
      <c r="J3" s="25" t="s">
        <v>88</v>
      </c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</row>
    <row r="4">
      <c r="A4" s="30">
        <v>9010001.0</v>
      </c>
      <c r="B4" s="30" t="s">
        <v>101</v>
      </c>
      <c r="C4" s="30" t="s">
        <v>102</v>
      </c>
      <c r="D4" s="31" t="s">
        <v>104</v>
      </c>
      <c r="E4" s="30">
        <v>1000.0</v>
      </c>
      <c r="F4" s="34" t="s">
        <v>117</v>
      </c>
      <c r="G4" s="30">
        <v>0.0</v>
      </c>
      <c r="H4" s="30" t="b">
        <v>1</v>
      </c>
      <c r="I4" s="31" t="s">
        <v>104</v>
      </c>
      <c r="J4" s="30">
        <v>1000.0</v>
      </c>
    </row>
    <row r="5">
      <c r="A5" s="30">
        <v>9010002.0</v>
      </c>
      <c r="B5" s="30" t="s">
        <v>131</v>
      </c>
      <c r="C5" s="30" t="s">
        <v>102</v>
      </c>
      <c r="D5" s="31" t="s">
        <v>104</v>
      </c>
      <c r="E5" s="42">
        <f t="shared" ref="E5:E13" si="1">Round(E4*1.13,0)</f>
        <v>1130</v>
      </c>
      <c r="F5" s="34" t="s">
        <v>117</v>
      </c>
      <c r="G5" s="30">
        <v>0.0</v>
      </c>
      <c r="H5" s="30" t="b">
        <v>1</v>
      </c>
      <c r="I5" s="31" t="s">
        <v>104</v>
      </c>
      <c r="J5" s="30">
        <v>1000.0</v>
      </c>
    </row>
    <row r="6">
      <c r="A6" s="30">
        <v>9010003.0</v>
      </c>
      <c r="B6" s="30" t="s">
        <v>146</v>
      </c>
      <c r="C6" s="30" t="s">
        <v>102</v>
      </c>
      <c r="D6" s="31" t="s">
        <v>104</v>
      </c>
      <c r="E6" s="42">
        <f t="shared" si="1"/>
        <v>1277</v>
      </c>
      <c r="F6" s="34" t="s">
        <v>117</v>
      </c>
      <c r="G6" s="30">
        <v>0.0</v>
      </c>
      <c r="H6" s="30" t="b">
        <v>1</v>
      </c>
      <c r="I6" s="31" t="s">
        <v>104</v>
      </c>
      <c r="J6" s="30">
        <v>1000.0</v>
      </c>
    </row>
    <row r="7">
      <c r="A7" s="30">
        <v>9010004.0</v>
      </c>
      <c r="B7" s="30" t="s">
        <v>152</v>
      </c>
      <c r="C7" s="30" t="s">
        <v>102</v>
      </c>
      <c r="D7" s="31" t="s">
        <v>104</v>
      </c>
      <c r="E7" s="42">
        <f t="shared" si="1"/>
        <v>1443</v>
      </c>
      <c r="F7" s="34" t="s">
        <v>117</v>
      </c>
      <c r="G7" s="30">
        <v>0.0</v>
      </c>
      <c r="H7" s="30" t="b">
        <v>1</v>
      </c>
      <c r="I7" s="31" t="s">
        <v>104</v>
      </c>
      <c r="J7" s="30">
        <v>1000.0</v>
      </c>
    </row>
    <row r="8">
      <c r="A8" s="30">
        <v>9010005.0</v>
      </c>
      <c r="B8" s="30" t="s">
        <v>155</v>
      </c>
      <c r="C8" s="30" t="s">
        <v>102</v>
      </c>
      <c r="D8" s="31" t="s">
        <v>104</v>
      </c>
      <c r="E8" s="42">
        <f t="shared" si="1"/>
        <v>1631</v>
      </c>
      <c r="F8" s="34" t="s">
        <v>117</v>
      </c>
      <c r="G8" s="30">
        <v>0.0</v>
      </c>
      <c r="H8" s="30" t="b">
        <v>1</v>
      </c>
      <c r="I8" s="34" t="s">
        <v>160</v>
      </c>
      <c r="J8" s="30">
        <v>100.0</v>
      </c>
    </row>
    <row r="9">
      <c r="A9" s="30">
        <v>9010006.0</v>
      </c>
      <c r="B9" s="30" t="s">
        <v>162</v>
      </c>
      <c r="C9" s="30" t="s">
        <v>102</v>
      </c>
      <c r="D9" s="31" t="s">
        <v>104</v>
      </c>
      <c r="E9" s="42">
        <f t="shared" si="1"/>
        <v>1843</v>
      </c>
      <c r="F9" s="34" t="s">
        <v>117</v>
      </c>
      <c r="G9" s="30">
        <v>0.0</v>
      </c>
      <c r="H9" s="30" t="b">
        <v>1</v>
      </c>
      <c r="I9" s="31" t="s">
        <v>104</v>
      </c>
      <c r="J9" s="30">
        <v>1000.0</v>
      </c>
    </row>
    <row r="10">
      <c r="A10" s="30">
        <v>9010007.0</v>
      </c>
      <c r="B10" s="30" t="s">
        <v>164</v>
      </c>
      <c r="C10" s="30" t="s">
        <v>102</v>
      </c>
      <c r="D10" s="31" t="s">
        <v>104</v>
      </c>
      <c r="E10" s="42">
        <f t="shared" si="1"/>
        <v>2083</v>
      </c>
      <c r="F10" s="34" t="s">
        <v>117</v>
      </c>
      <c r="G10" s="30">
        <v>0.0</v>
      </c>
      <c r="H10" s="30" t="b">
        <v>1</v>
      </c>
      <c r="I10" s="31" t="s">
        <v>104</v>
      </c>
      <c r="J10" s="30">
        <v>1000.0</v>
      </c>
    </row>
    <row r="11">
      <c r="A11" s="30">
        <v>9010008.0</v>
      </c>
      <c r="B11" s="30" t="s">
        <v>167</v>
      </c>
      <c r="C11" s="30" t="s">
        <v>102</v>
      </c>
      <c r="D11" s="31" t="s">
        <v>104</v>
      </c>
      <c r="E11" s="42">
        <f t="shared" si="1"/>
        <v>2354</v>
      </c>
      <c r="F11" s="34" t="s">
        <v>117</v>
      </c>
      <c r="G11" s="30">
        <v>0.0</v>
      </c>
      <c r="H11" s="30" t="b">
        <v>1</v>
      </c>
      <c r="I11" s="31" t="s">
        <v>104</v>
      </c>
      <c r="J11" s="30">
        <v>1000.0</v>
      </c>
    </row>
    <row r="12">
      <c r="A12" s="30">
        <v>9010009.0</v>
      </c>
      <c r="B12" s="30" t="s">
        <v>169</v>
      </c>
      <c r="C12" s="30" t="s">
        <v>102</v>
      </c>
      <c r="D12" s="31" t="s">
        <v>104</v>
      </c>
      <c r="E12" s="42">
        <f t="shared" si="1"/>
        <v>2660</v>
      </c>
      <c r="F12" s="34" t="s">
        <v>117</v>
      </c>
      <c r="G12" s="30">
        <v>0.0</v>
      </c>
      <c r="H12" s="30" t="b">
        <v>1</v>
      </c>
      <c r="I12" s="31" t="s">
        <v>104</v>
      </c>
      <c r="J12" s="30">
        <v>1000.0</v>
      </c>
    </row>
    <row r="13">
      <c r="A13" s="30">
        <v>9010010.0</v>
      </c>
      <c r="B13" s="30" t="s">
        <v>172</v>
      </c>
      <c r="C13" s="30" t="s">
        <v>102</v>
      </c>
      <c r="D13" s="31" t="s">
        <v>104</v>
      </c>
      <c r="E13" s="42">
        <f t="shared" si="1"/>
        <v>3006</v>
      </c>
      <c r="F13" s="34" t="s">
        <v>117</v>
      </c>
      <c r="G13" s="30">
        <v>0.0</v>
      </c>
      <c r="H13" s="30" t="b">
        <v>1</v>
      </c>
      <c r="I13" s="34" t="s">
        <v>160</v>
      </c>
      <c r="J13" s="30">
        <v>100.0</v>
      </c>
    </row>
    <row r="14">
      <c r="A14" s="30">
        <v>9010011.0</v>
      </c>
      <c r="B14" s="30" t="s">
        <v>174</v>
      </c>
      <c r="C14" s="30" t="s">
        <v>102</v>
      </c>
      <c r="D14" s="31" t="s">
        <v>104</v>
      </c>
      <c r="E14" s="30">
        <v>1001.0</v>
      </c>
      <c r="F14" s="34" t="s">
        <v>117</v>
      </c>
      <c r="G14" s="30">
        <v>0.0</v>
      </c>
      <c r="H14" s="30" t="b">
        <v>1</v>
      </c>
      <c r="I14" s="31" t="s">
        <v>104</v>
      </c>
      <c r="J14" s="30">
        <v>1000.0</v>
      </c>
    </row>
    <row r="15">
      <c r="A15" s="30">
        <v>9010012.0</v>
      </c>
      <c r="B15" s="30" t="s">
        <v>177</v>
      </c>
      <c r="C15" s="30" t="s">
        <v>102</v>
      </c>
      <c r="D15" s="31" t="s">
        <v>104</v>
      </c>
      <c r="E15" s="42">
        <f t="shared" ref="E15:E23" si="2">Round(E14*1.13,0)</f>
        <v>1131</v>
      </c>
      <c r="F15" s="34" t="s">
        <v>117</v>
      </c>
      <c r="G15" s="30">
        <v>0.0</v>
      </c>
      <c r="H15" s="30" t="b">
        <v>1</v>
      </c>
      <c r="I15" s="31" t="s">
        <v>104</v>
      </c>
      <c r="J15" s="30">
        <v>1000.0</v>
      </c>
    </row>
    <row r="16">
      <c r="A16" s="30">
        <v>9010013.0</v>
      </c>
      <c r="B16" s="30" t="s">
        <v>179</v>
      </c>
      <c r="C16" s="30" t="s">
        <v>102</v>
      </c>
      <c r="D16" s="31" t="s">
        <v>104</v>
      </c>
      <c r="E16" s="42">
        <f t="shared" si="2"/>
        <v>1278</v>
      </c>
      <c r="F16" s="34" t="s">
        <v>117</v>
      </c>
      <c r="G16" s="30">
        <v>0.0</v>
      </c>
      <c r="H16" s="30" t="b">
        <v>1</v>
      </c>
      <c r="I16" s="31" t="s">
        <v>104</v>
      </c>
      <c r="J16" s="30">
        <v>1000.0</v>
      </c>
    </row>
    <row r="17">
      <c r="A17" s="30">
        <v>9010014.0</v>
      </c>
      <c r="B17" s="30" t="s">
        <v>181</v>
      </c>
      <c r="C17" s="30" t="s">
        <v>102</v>
      </c>
      <c r="D17" s="31" t="s">
        <v>104</v>
      </c>
      <c r="E17" s="42">
        <f t="shared" si="2"/>
        <v>1444</v>
      </c>
      <c r="F17" s="34" t="s">
        <v>117</v>
      </c>
      <c r="G17" s="30">
        <v>0.0</v>
      </c>
      <c r="H17" s="30" t="b">
        <v>1</v>
      </c>
      <c r="I17" s="31" t="s">
        <v>104</v>
      </c>
      <c r="J17" s="30">
        <v>1000.0</v>
      </c>
    </row>
    <row r="18">
      <c r="A18" s="30">
        <v>9010015.0</v>
      </c>
      <c r="B18" s="30" t="s">
        <v>185</v>
      </c>
      <c r="C18" s="30" t="s">
        <v>102</v>
      </c>
      <c r="D18" s="31" t="s">
        <v>104</v>
      </c>
      <c r="E18" s="42">
        <f t="shared" si="2"/>
        <v>1632</v>
      </c>
      <c r="F18" s="34" t="s">
        <v>117</v>
      </c>
      <c r="G18" s="30">
        <v>0.0</v>
      </c>
      <c r="H18" s="30" t="b">
        <v>1</v>
      </c>
      <c r="I18" s="34" t="s">
        <v>160</v>
      </c>
      <c r="J18" s="30">
        <v>100.0</v>
      </c>
    </row>
    <row r="19">
      <c r="A19" s="30">
        <v>9010016.0</v>
      </c>
      <c r="B19" s="30" t="s">
        <v>186</v>
      </c>
      <c r="C19" s="30" t="s">
        <v>102</v>
      </c>
      <c r="D19" s="31" t="s">
        <v>104</v>
      </c>
      <c r="E19" s="42">
        <f t="shared" si="2"/>
        <v>1844</v>
      </c>
      <c r="F19" s="34" t="s">
        <v>117</v>
      </c>
      <c r="G19" s="30">
        <v>0.0</v>
      </c>
      <c r="H19" s="30" t="b">
        <v>1</v>
      </c>
      <c r="I19" s="31" t="s">
        <v>104</v>
      </c>
      <c r="J19" s="30">
        <v>1000.0</v>
      </c>
    </row>
    <row r="20">
      <c r="A20" s="30">
        <v>9010017.0</v>
      </c>
      <c r="B20" s="30" t="s">
        <v>188</v>
      </c>
      <c r="C20" s="30" t="s">
        <v>102</v>
      </c>
      <c r="D20" s="31" t="s">
        <v>104</v>
      </c>
      <c r="E20" s="42">
        <f t="shared" si="2"/>
        <v>2084</v>
      </c>
      <c r="F20" s="34" t="s">
        <v>117</v>
      </c>
      <c r="G20" s="30">
        <v>0.0</v>
      </c>
      <c r="H20" s="30" t="b">
        <v>1</v>
      </c>
      <c r="I20" s="31" t="s">
        <v>104</v>
      </c>
      <c r="J20" s="30">
        <v>1000.0</v>
      </c>
    </row>
    <row r="21">
      <c r="A21" s="30">
        <v>9010018.0</v>
      </c>
      <c r="B21" s="30" t="s">
        <v>189</v>
      </c>
      <c r="C21" s="30" t="s">
        <v>102</v>
      </c>
      <c r="D21" s="31" t="s">
        <v>104</v>
      </c>
      <c r="E21" s="42">
        <f t="shared" si="2"/>
        <v>2355</v>
      </c>
      <c r="F21" s="34" t="s">
        <v>117</v>
      </c>
      <c r="G21" s="30">
        <v>0.0</v>
      </c>
      <c r="H21" s="30" t="b">
        <v>1</v>
      </c>
      <c r="I21" s="31" t="s">
        <v>104</v>
      </c>
      <c r="J21" s="30">
        <v>1000.0</v>
      </c>
    </row>
    <row r="22">
      <c r="A22" s="30">
        <v>9010019.0</v>
      </c>
      <c r="B22" s="30" t="s">
        <v>190</v>
      </c>
      <c r="C22" s="30" t="s">
        <v>102</v>
      </c>
      <c r="D22" s="31" t="s">
        <v>104</v>
      </c>
      <c r="E22" s="42">
        <f t="shared" si="2"/>
        <v>2661</v>
      </c>
      <c r="F22" s="34" t="s">
        <v>117</v>
      </c>
      <c r="G22" s="30">
        <v>0.0</v>
      </c>
      <c r="H22" s="30" t="b">
        <v>1</v>
      </c>
      <c r="I22" s="31" t="s">
        <v>104</v>
      </c>
      <c r="J22" s="30">
        <v>1000.0</v>
      </c>
    </row>
    <row r="23">
      <c r="A23" s="30">
        <v>9010020.0</v>
      </c>
      <c r="B23" s="30" t="s">
        <v>192</v>
      </c>
      <c r="C23" s="30" t="s">
        <v>102</v>
      </c>
      <c r="D23" s="31" t="s">
        <v>104</v>
      </c>
      <c r="E23" s="42">
        <f t="shared" si="2"/>
        <v>3007</v>
      </c>
      <c r="F23" s="34" t="s">
        <v>117</v>
      </c>
      <c r="G23" s="30">
        <v>0.0</v>
      </c>
      <c r="H23" s="30" t="b">
        <v>1</v>
      </c>
      <c r="I23" s="34" t="s">
        <v>160</v>
      </c>
      <c r="J23" s="30">
        <v>100.0</v>
      </c>
    </row>
  </sheetData>
  <dataValidations>
    <dataValidation type="list" allowBlank="1" showErrorMessage="1" sqref="H4:H23">
      <formula1>"FALSE,TRUE"</formula1>
    </dataValidation>
    <dataValidation type="list" allowBlank="1" showErrorMessage="1" sqref="I8 I13 I18 I23">
      <formula1>"None,AncientRelic_Cost,Coin_Artifact,Coin_Character,Coin_Pet,Dia,RealCash,Exp,Gold,Guild_Coin_1,Guild_Coin_2,Guild_Coin_3,Guild_Cost_A,Guild_Ticket_1,Guild_Ticket_2,HolyRelic_Cost,Mertarial_equipment,Mertarial_monsterProduct,Mertarial_Plant,Mertarial_Requ"&amp;"est,Mertarial_specialhero,Ooparts_Cost,Relic_Cost,Ticket_Artifact,Ticket_Character,Ticket_Costum,Ticket_D1_gold,Ticket_D2_exp,Ticket_D3_artifact,Ticket_D4_equipment,Ticket_D5_trait,Trait_Cost,World_Coin,World_Ticket_1,World_Ticket_2,EqLevelUp_M,Ticket_Cha"&amp;"racter_P,Ticket_Character_N,Ticket_Character_UR,Ticket_Artifact_N,Ticket_Artifact_P,Coin_SD_Agency,Coin_SD_Garden,Coin_SD_Dungen,Mertarial_Request,Mertarial_Request2,Mertarial_Request3,Mertarial_Request4,ShopMileage,AD,Payment"</formula1>
    </dataValidation>
    <dataValidation type="list" allowBlank="1" showErrorMessage="1" sqref="I4:I7 I9:I12 I14:I17 I19:I22 D4:D23 F4:F23">
      <formula1>"None,AncientRelic_Cost,Coin_Artifact,Coin_Character,Coin_Pet,Dia,RealCash,Exp,Gold,Guild_Coin_1,Guild_Coin_2,Guild_Coin_3,Guild_Cost_A,Guild_Ticket_1,Guild_Ticket_2,HolyRelic_Cost,Mertarial_equipment,Mertarial_monsterProduct,Mertarial_Plant,Mertarial_Requ"&amp;"est,Mertarial_specialhero,Ooparts_Cost,Relic_Cost,Ticket_Artifact,Ticket_Character,Ticket_Costum,Ticket_D1_gold,Ticket_D2_exp,Ticket_D3_artifact,Ticket_D4_equipment,Ticket_D5_trait,Trait_Cost,World_Coin,World_Ticket_1,World_Ticket_2,EqLevelUp_M,Ticket_Cha"&amp;"racter_P,Ticket_Character_N,Ticket_Character_UR,Ticket_Artifact_N,Ticket_Artifact_P,Coin_SD_Agency,Coin_SD_Garden,Coin_SD_Dungen,Mertarial_Request,Mertarial_Request2,Mertarial_Request3,Mertarial_Request4,ShopMileage,AD,ArtifactLevelUp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22.13"/>
    <col customWidth="1" min="3" max="3" width="16.88"/>
    <col customWidth="1" min="4" max="4" width="17.75"/>
    <col customWidth="1" min="5" max="5" width="14.88"/>
    <col customWidth="1" min="6" max="6" width="17.0"/>
    <col customWidth="1" min="7" max="7" width="17.5"/>
    <col customWidth="1" min="8" max="8" width="15.5"/>
    <col customWidth="1" min="9" max="9" width="17.25"/>
    <col customWidth="1" min="10" max="10" width="19.25"/>
    <col customWidth="1" min="11" max="11" width="22.5"/>
    <col customWidth="1" min="12" max="12" width="19.88"/>
    <col customWidth="1" min="13" max="13" width="18.75"/>
    <col customWidth="1" min="14" max="14" width="20.25"/>
    <col customWidth="1" min="15" max="15" width="21.88"/>
    <col customWidth="1" min="16" max="16" width="21.63"/>
    <col customWidth="1" min="17" max="19" width="21.13"/>
    <col customWidth="1" min="20" max="20" width="67.38"/>
    <col customWidth="1" min="21" max="21" width="50.88"/>
  </cols>
  <sheetData>
    <row r="1" ht="93.75" customHeight="1">
      <c r="A1" s="1" t="s">
        <v>23</v>
      </c>
      <c r="B1" s="3" t="s">
        <v>3</v>
      </c>
      <c r="C1" s="1" t="s">
        <v>6</v>
      </c>
      <c r="D1" s="1" t="s">
        <v>10</v>
      </c>
      <c r="E1" s="1" t="s">
        <v>12</v>
      </c>
      <c r="F1" s="1" t="s">
        <v>17</v>
      </c>
      <c r="G1" s="3" t="s">
        <v>19</v>
      </c>
      <c r="H1" s="5" t="s">
        <v>21</v>
      </c>
      <c r="I1" s="3" t="s">
        <v>26</v>
      </c>
      <c r="J1" s="3" t="s">
        <v>29</v>
      </c>
      <c r="K1" s="3" t="s">
        <v>31</v>
      </c>
      <c r="L1" s="1" t="s">
        <v>34</v>
      </c>
      <c r="M1" s="1" t="s">
        <v>36</v>
      </c>
      <c r="N1" s="1" t="s">
        <v>38</v>
      </c>
      <c r="O1" s="1" t="s">
        <v>40</v>
      </c>
      <c r="P1" s="1" t="s">
        <v>41</v>
      </c>
      <c r="Q1" s="1" t="s">
        <v>42</v>
      </c>
      <c r="R1" s="1" t="s">
        <v>35</v>
      </c>
      <c r="S1" s="1" t="s">
        <v>43</v>
      </c>
      <c r="T1" s="9" t="s">
        <v>44</v>
      </c>
      <c r="U1" s="1" t="s">
        <v>45</v>
      </c>
      <c r="V1" s="10"/>
      <c r="W1" s="10"/>
      <c r="X1" s="10"/>
      <c r="Y1" s="10"/>
      <c r="Z1" s="10"/>
      <c r="AA1" s="10"/>
      <c r="AB1" s="10"/>
    </row>
    <row r="2">
      <c r="A2" s="14" t="s">
        <v>46</v>
      </c>
      <c r="B2" s="14" t="s">
        <v>47</v>
      </c>
      <c r="C2" s="14" t="s">
        <v>59</v>
      </c>
      <c r="D2" s="16" t="s">
        <v>49</v>
      </c>
      <c r="E2" s="13" t="s">
        <v>64</v>
      </c>
      <c r="F2" s="13" t="s">
        <v>67</v>
      </c>
      <c r="G2" s="14" t="s">
        <v>69</v>
      </c>
      <c r="H2" s="17" t="s">
        <v>71</v>
      </c>
      <c r="I2" s="14" t="s">
        <v>76</v>
      </c>
      <c r="J2" s="14" t="s">
        <v>77</v>
      </c>
      <c r="K2" s="14" t="s">
        <v>78</v>
      </c>
      <c r="L2" s="14" t="s">
        <v>79</v>
      </c>
      <c r="M2" s="13" t="s">
        <v>80</v>
      </c>
      <c r="N2" s="12" t="s">
        <v>81</v>
      </c>
      <c r="O2" s="14" t="s">
        <v>82</v>
      </c>
      <c r="P2" s="14" t="s">
        <v>83</v>
      </c>
      <c r="Q2" s="14" t="s">
        <v>84</v>
      </c>
      <c r="R2" s="13" t="s">
        <v>70</v>
      </c>
      <c r="S2" s="13" t="s">
        <v>85</v>
      </c>
      <c r="T2" s="17" t="s">
        <v>86</v>
      </c>
      <c r="U2" s="14" t="s">
        <v>87</v>
      </c>
    </row>
    <row r="3">
      <c r="A3" s="19" t="s">
        <v>88</v>
      </c>
      <c r="B3" s="19" t="s">
        <v>89</v>
      </c>
      <c r="C3" s="19" t="s">
        <v>89</v>
      </c>
      <c r="D3" s="22" t="s">
        <v>90</v>
      </c>
      <c r="E3" s="22" t="s">
        <v>88</v>
      </c>
      <c r="F3" s="19" t="s">
        <v>88</v>
      </c>
      <c r="G3" s="22" t="s">
        <v>92</v>
      </c>
      <c r="H3" s="19" t="s">
        <v>92</v>
      </c>
      <c r="I3" s="19" t="s">
        <v>88</v>
      </c>
      <c r="J3" s="19" t="s">
        <v>88</v>
      </c>
      <c r="K3" s="19" t="s">
        <v>94</v>
      </c>
      <c r="L3" s="19" t="s">
        <v>88</v>
      </c>
      <c r="M3" s="19" t="s">
        <v>89</v>
      </c>
      <c r="N3" s="19" t="s">
        <v>88</v>
      </c>
      <c r="O3" s="19" t="s">
        <v>94</v>
      </c>
      <c r="P3" s="19" t="s">
        <v>94</v>
      </c>
      <c r="Q3" s="19" t="s">
        <v>94</v>
      </c>
      <c r="R3" s="27" t="s">
        <v>89</v>
      </c>
      <c r="S3" s="27" t="s">
        <v>89</v>
      </c>
      <c r="T3" s="27" t="s">
        <v>89</v>
      </c>
      <c r="U3" s="19" t="s">
        <v>95</v>
      </c>
    </row>
    <row r="4">
      <c r="A4" s="30">
        <v>9200001.0</v>
      </c>
      <c r="B4" s="30" t="s">
        <v>97</v>
      </c>
      <c r="C4" s="30" t="s">
        <v>98</v>
      </c>
      <c r="D4" s="34" t="s">
        <v>103</v>
      </c>
      <c r="E4" s="30">
        <v>1.0</v>
      </c>
      <c r="F4" s="36">
        <v>60000.0</v>
      </c>
      <c r="G4" s="37">
        <v>120201.0</v>
      </c>
      <c r="H4" s="38">
        <v>-1.0</v>
      </c>
      <c r="I4" s="30">
        <v>2.0</v>
      </c>
      <c r="J4" s="30">
        <v>20.0</v>
      </c>
      <c r="K4" s="30">
        <v>1.0</v>
      </c>
      <c r="L4" s="30">
        <v>40.0</v>
      </c>
      <c r="M4" s="30">
        <v>200.0</v>
      </c>
      <c r="N4" s="30">
        <v>9020001.0</v>
      </c>
      <c r="O4" s="30">
        <v>1.0</v>
      </c>
      <c r="P4" s="30">
        <v>1.0</v>
      </c>
      <c r="Q4" s="30">
        <v>1.0</v>
      </c>
      <c r="R4" s="30" t="s">
        <v>108</v>
      </c>
      <c r="S4" s="30" t="s">
        <v>109</v>
      </c>
      <c r="T4" s="40" t="s">
        <v>110</v>
      </c>
      <c r="U4" s="34" t="s">
        <v>111</v>
      </c>
    </row>
    <row r="5">
      <c r="A5" s="30">
        <v>9200002.0</v>
      </c>
      <c r="B5" s="30" t="s">
        <v>112</v>
      </c>
      <c r="C5" s="30" t="s">
        <v>98</v>
      </c>
      <c r="D5" s="34" t="s">
        <v>103</v>
      </c>
      <c r="E5" s="30">
        <v>2.0</v>
      </c>
      <c r="F5" s="36">
        <v>60000.0</v>
      </c>
      <c r="G5" s="37">
        <v>120201.0</v>
      </c>
      <c r="H5" s="38">
        <v>-1.0</v>
      </c>
      <c r="I5" s="30">
        <v>2.0</v>
      </c>
      <c r="J5" s="30">
        <v>20.0</v>
      </c>
      <c r="K5" s="30">
        <v>1.0</v>
      </c>
      <c r="L5" s="30">
        <v>40.0</v>
      </c>
      <c r="M5" s="42">
        <v>250.0</v>
      </c>
      <c r="N5" s="30">
        <v>9020002.0</v>
      </c>
      <c r="O5" s="30">
        <f t="shared" ref="O5:P5" si="1">O4+0.12</f>
        <v>1.12</v>
      </c>
      <c r="P5" s="30">
        <f t="shared" si="1"/>
        <v>1.12</v>
      </c>
      <c r="Q5" s="30">
        <f t="shared" ref="Q5:Q13" si="3">Q4+0.45</f>
        <v>1.45</v>
      </c>
      <c r="R5" s="30" t="s">
        <v>108</v>
      </c>
      <c r="S5" s="30" t="s">
        <v>109</v>
      </c>
      <c r="T5" s="40" t="s">
        <v>110</v>
      </c>
      <c r="U5" s="34" t="s">
        <v>111</v>
      </c>
    </row>
    <row r="6">
      <c r="A6" s="30">
        <v>9200003.0</v>
      </c>
      <c r="B6" s="30" t="s">
        <v>121</v>
      </c>
      <c r="C6" s="30" t="s">
        <v>98</v>
      </c>
      <c r="D6" s="34" t="s">
        <v>103</v>
      </c>
      <c r="E6" s="30">
        <v>3.0</v>
      </c>
      <c r="F6" s="36">
        <v>60000.0</v>
      </c>
      <c r="G6" s="37">
        <v>120201.0</v>
      </c>
      <c r="H6" s="38">
        <v>-1.0</v>
      </c>
      <c r="I6" s="30">
        <v>2.0</v>
      </c>
      <c r="J6" s="30">
        <v>20.0</v>
      </c>
      <c r="K6" s="30">
        <v>1.0</v>
      </c>
      <c r="L6" s="30">
        <v>40.0</v>
      </c>
      <c r="M6" s="42">
        <v>313.0</v>
      </c>
      <c r="N6" s="30">
        <v>9020003.0</v>
      </c>
      <c r="O6" s="30">
        <f t="shared" ref="O6:P6" si="2">O5+0.12</f>
        <v>1.24</v>
      </c>
      <c r="P6" s="30">
        <f t="shared" si="2"/>
        <v>1.24</v>
      </c>
      <c r="Q6" s="30">
        <f t="shared" si="3"/>
        <v>1.9</v>
      </c>
      <c r="R6" s="30" t="s">
        <v>108</v>
      </c>
      <c r="S6" s="30" t="s">
        <v>109</v>
      </c>
      <c r="T6" s="40" t="s">
        <v>110</v>
      </c>
      <c r="U6" s="34" t="s">
        <v>111</v>
      </c>
    </row>
    <row r="7">
      <c r="A7" s="30">
        <v>9200004.0</v>
      </c>
      <c r="B7" s="30" t="s">
        <v>126</v>
      </c>
      <c r="C7" s="30" t="s">
        <v>98</v>
      </c>
      <c r="D7" s="34" t="s">
        <v>103</v>
      </c>
      <c r="E7" s="30">
        <v>4.0</v>
      </c>
      <c r="F7" s="36">
        <v>60000.0</v>
      </c>
      <c r="G7" s="37">
        <v>120201.0</v>
      </c>
      <c r="H7" s="38">
        <v>-1.0</v>
      </c>
      <c r="I7" s="30">
        <v>2.0</v>
      </c>
      <c r="J7" s="30">
        <v>20.0</v>
      </c>
      <c r="K7" s="30">
        <v>1.0</v>
      </c>
      <c r="L7" s="30">
        <v>40.0</v>
      </c>
      <c r="M7" s="42">
        <v>391.0</v>
      </c>
      <c r="N7" s="30">
        <v>9020004.0</v>
      </c>
      <c r="O7" s="30">
        <f t="shared" ref="O7:P7" si="4">O6+0.12</f>
        <v>1.36</v>
      </c>
      <c r="P7" s="30">
        <f t="shared" si="4"/>
        <v>1.36</v>
      </c>
      <c r="Q7" s="30">
        <f t="shared" si="3"/>
        <v>2.35</v>
      </c>
      <c r="R7" s="30" t="s">
        <v>108</v>
      </c>
      <c r="S7" s="30" t="s">
        <v>109</v>
      </c>
      <c r="T7" s="40" t="s">
        <v>110</v>
      </c>
      <c r="U7" s="34" t="s">
        <v>111</v>
      </c>
    </row>
    <row r="8">
      <c r="A8" s="30">
        <v>9200005.0</v>
      </c>
      <c r="B8" s="30" t="s">
        <v>134</v>
      </c>
      <c r="C8" s="30" t="s">
        <v>98</v>
      </c>
      <c r="D8" s="34" t="s">
        <v>103</v>
      </c>
      <c r="E8" s="30">
        <v>5.0</v>
      </c>
      <c r="F8" s="36">
        <v>60000.0</v>
      </c>
      <c r="G8" s="37">
        <v>120201.0</v>
      </c>
      <c r="H8" s="38">
        <v>-1.0</v>
      </c>
      <c r="I8" s="30">
        <v>2.0</v>
      </c>
      <c r="J8" s="30">
        <v>20.0</v>
      </c>
      <c r="K8" s="30">
        <v>1.0</v>
      </c>
      <c r="L8" s="30">
        <v>40.0</v>
      </c>
      <c r="M8" s="42">
        <v>489.0</v>
      </c>
      <c r="N8" s="30">
        <v>9020005.0</v>
      </c>
      <c r="O8" s="30">
        <f t="shared" ref="O8:P8" si="5">O7+0.12</f>
        <v>1.48</v>
      </c>
      <c r="P8" s="30">
        <f t="shared" si="5"/>
        <v>1.48</v>
      </c>
      <c r="Q8" s="30">
        <f t="shared" si="3"/>
        <v>2.8</v>
      </c>
      <c r="R8" s="30" t="s">
        <v>108</v>
      </c>
      <c r="S8" s="30" t="s">
        <v>109</v>
      </c>
      <c r="T8" s="40" t="s">
        <v>110</v>
      </c>
      <c r="U8" s="34" t="s">
        <v>111</v>
      </c>
    </row>
    <row r="9">
      <c r="A9" s="30">
        <v>9200006.0</v>
      </c>
      <c r="B9" s="30" t="s">
        <v>150</v>
      </c>
      <c r="C9" s="30" t="s">
        <v>98</v>
      </c>
      <c r="D9" s="34" t="s">
        <v>103</v>
      </c>
      <c r="E9" s="30">
        <v>6.0</v>
      </c>
      <c r="F9" s="36">
        <v>60000.0</v>
      </c>
      <c r="G9" s="37">
        <v>120201.0</v>
      </c>
      <c r="H9" s="38">
        <v>-1.0</v>
      </c>
      <c r="I9" s="30">
        <v>2.0</v>
      </c>
      <c r="J9" s="30">
        <v>20.0</v>
      </c>
      <c r="K9" s="30">
        <v>1.0</v>
      </c>
      <c r="L9" s="30">
        <v>40.0</v>
      </c>
      <c r="M9" s="42">
        <v>611.0</v>
      </c>
      <c r="N9" s="30">
        <v>9020006.0</v>
      </c>
      <c r="O9" s="30">
        <f t="shared" ref="O9:P9" si="6">O8+0.12</f>
        <v>1.6</v>
      </c>
      <c r="P9" s="30">
        <f t="shared" si="6"/>
        <v>1.6</v>
      </c>
      <c r="Q9" s="30">
        <f t="shared" si="3"/>
        <v>3.25</v>
      </c>
      <c r="R9" s="30" t="s">
        <v>108</v>
      </c>
      <c r="S9" s="30" t="s">
        <v>109</v>
      </c>
      <c r="T9" s="40" t="s">
        <v>110</v>
      </c>
      <c r="U9" s="34" t="s">
        <v>111</v>
      </c>
    </row>
    <row r="10">
      <c r="A10" s="30">
        <v>9200007.0</v>
      </c>
      <c r="B10" s="30" t="s">
        <v>153</v>
      </c>
      <c r="C10" s="30" t="s">
        <v>98</v>
      </c>
      <c r="D10" s="34" t="s">
        <v>103</v>
      </c>
      <c r="E10" s="30">
        <v>7.0</v>
      </c>
      <c r="F10" s="36">
        <v>60000.0</v>
      </c>
      <c r="G10" s="37">
        <v>120201.0</v>
      </c>
      <c r="H10" s="38">
        <v>-1.0</v>
      </c>
      <c r="I10" s="30">
        <v>2.0</v>
      </c>
      <c r="J10" s="30">
        <v>20.0</v>
      </c>
      <c r="K10" s="30">
        <v>1.0</v>
      </c>
      <c r="L10" s="30">
        <v>40.0</v>
      </c>
      <c r="M10" s="42">
        <v>764.0</v>
      </c>
      <c r="N10" s="30">
        <v>9020007.0</v>
      </c>
      <c r="O10" s="30">
        <f t="shared" ref="O10:P10" si="7">O9+0.12</f>
        <v>1.72</v>
      </c>
      <c r="P10" s="30">
        <f t="shared" si="7"/>
        <v>1.72</v>
      </c>
      <c r="Q10" s="30">
        <f t="shared" si="3"/>
        <v>3.7</v>
      </c>
      <c r="R10" s="30" t="s">
        <v>108</v>
      </c>
      <c r="S10" s="30" t="s">
        <v>109</v>
      </c>
      <c r="T10" s="40" t="s">
        <v>110</v>
      </c>
      <c r="U10" s="34" t="s">
        <v>111</v>
      </c>
    </row>
    <row r="11">
      <c r="A11" s="30">
        <v>9200008.0</v>
      </c>
      <c r="B11" s="30" t="s">
        <v>156</v>
      </c>
      <c r="C11" s="30" t="s">
        <v>98</v>
      </c>
      <c r="D11" s="34" t="s">
        <v>103</v>
      </c>
      <c r="E11" s="30">
        <v>8.0</v>
      </c>
      <c r="F11" s="36">
        <v>60000.0</v>
      </c>
      <c r="G11" s="37">
        <v>120201.0</v>
      </c>
      <c r="H11" s="38">
        <v>-1.0</v>
      </c>
      <c r="I11" s="30">
        <v>2.0</v>
      </c>
      <c r="J11" s="30">
        <v>20.0</v>
      </c>
      <c r="K11" s="30">
        <v>1.0</v>
      </c>
      <c r="L11" s="30">
        <v>40.0</v>
      </c>
      <c r="M11" s="42">
        <v>955.0</v>
      </c>
      <c r="N11" s="30">
        <v>9020008.0</v>
      </c>
      <c r="O11" s="30">
        <f t="shared" ref="O11:P11" si="8">O10+0.12</f>
        <v>1.84</v>
      </c>
      <c r="P11" s="30">
        <f t="shared" si="8"/>
        <v>1.84</v>
      </c>
      <c r="Q11" s="30">
        <f t="shared" si="3"/>
        <v>4.15</v>
      </c>
      <c r="R11" s="30" t="s">
        <v>108</v>
      </c>
      <c r="S11" s="30" t="s">
        <v>109</v>
      </c>
      <c r="T11" s="40" t="s">
        <v>110</v>
      </c>
      <c r="U11" s="34" t="s">
        <v>111</v>
      </c>
    </row>
    <row r="12">
      <c r="A12" s="30">
        <v>9200009.0</v>
      </c>
      <c r="B12" s="30" t="s">
        <v>158</v>
      </c>
      <c r="C12" s="30" t="s">
        <v>98</v>
      </c>
      <c r="D12" s="34" t="s">
        <v>103</v>
      </c>
      <c r="E12" s="30">
        <v>9.0</v>
      </c>
      <c r="F12" s="36">
        <v>60000.0</v>
      </c>
      <c r="G12" s="37">
        <v>120201.0</v>
      </c>
      <c r="H12" s="38">
        <v>-1.0</v>
      </c>
      <c r="I12" s="30">
        <v>2.0</v>
      </c>
      <c r="J12" s="30">
        <v>20.0</v>
      </c>
      <c r="K12" s="30">
        <v>1.0</v>
      </c>
      <c r="L12" s="30">
        <v>40.0</v>
      </c>
      <c r="M12" s="42">
        <v>1194.0</v>
      </c>
      <c r="N12" s="30">
        <v>9020009.0</v>
      </c>
      <c r="O12" s="30">
        <f t="shared" ref="O12:P12" si="9">O11+0.12</f>
        <v>1.96</v>
      </c>
      <c r="P12" s="30">
        <f t="shared" si="9"/>
        <v>1.96</v>
      </c>
      <c r="Q12" s="30">
        <f t="shared" si="3"/>
        <v>4.6</v>
      </c>
      <c r="R12" s="30" t="s">
        <v>108</v>
      </c>
      <c r="S12" s="30" t="s">
        <v>109</v>
      </c>
      <c r="T12" s="40" t="s">
        <v>110</v>
      </c>
      <c r="U12" s="34" t="s">
        <v>111</v>
      </c>
    </row>
    <row r="13">
      <c r="A13" s="30">
        <v>9200010.0</v>
      </c>
      <c r="B13" s="30" t="s">
        <v>161</v>
      </c>
      <c r="C13" s="30" t="s">
        <v>98</v>
      </c>
      <c r="D13" s="34" t="s">
        <v>103</v>
      </c>
      <c r="E13" s="30">
        <v>10.0</v>
      </c>
      <c r="F13" s="36">
        <v>60000.0</v>
      </c>
      <c r="G13" s="37">
        <v>120201.0</v>
      </c>
      <c r="H13" s="38">
        <v>-1.0</v>
      </c>
      <c r="I13" s="30">
        <v>2.0</v>
      </c>
      <c r="J13" s="30">
        <v>20.0</v>
      </c>
      <c r="K13" s="30">
        <v>1.0</v>
      </c>
      <c r="L13" s="30">
        <v>40.0</v>
      </c>
      <c r="M13" s="42">
        <v>1493.0</v>
      </c>
      <c r="N13" s="30">
        <v>9020010.0</v>
      </c>
      <c r="O13" s="30">
        <f t="shared" ref="O13:P13" si="10">O12+0.12</f>
        <v>2.08</v>
      </c>
      <c r="P13" s="30">
        <f t="shared" si="10"/>
        <v>2.08</v>
      </c>
      <c r="Q13" s="30">
        <f t="shared" si="3"/>
        <v>5.05</v>
      </c>
      <c r="R13" s="30" t="s">
        <v>108</v>
      </c>
      <c r="S13" s="30" t="s">
        <v>109</v>
      </c>
      <c r="T13" s="40" t="s">
        <v>110</v>
      </c>
      <c r="U13" s="34" t="s">
        <v>111</v>
      </c>
    </row>
    <row r="14">
      <c r="A14" s="30">
        <v>9200011.0</v>
      </c>
      <c r="B14" s="30" t="s">
        <v>163</v>
      </c>
      <c r="C14" s="30" t="s">
        <v>98</v>
      </c>
      <c r="D14" s="34" t="s">
        <v>103</v>
      </c>
      <c r="E14" s="30">
        <v>11.0</v>
      </c>
      <c r="F14" s="36">
        <v>60000.0</v>
      </c>
      <c r="G14" s="37">
        <v>120201.0</v>
      </c>
      <c r="H14" s="38">
        <v>-1.0</v>
      </c>
      <c r="I14" s="30">
        <v>2.0</v>
      </c>
      <c r="J14" s="30">
        <v>20.0</v>
      </c>
      <c r="K14" s="30">
        <v>1.0</v>
      </c>
      <c r="L14" s="30">
        <v>40.0</v>
      </c>
      <c r="M14" s="42">
        <v>1866.0</v>
      </c>
      <c r="N14" s="30">
        <v>9020011.0</v>
      </c>
      <c r="O14" s="30">
        <v>2.200000000000001</v>
      </c>
      <c r="P14" s="30">
        <v>2.200000000000001</v>
      </c>
      <c r="Q14" s="30">
        <v>5.500000000000001</v>
      </c>
      <c r="R14" s="30" t="s">
        <v>108</v>
      </c>
      <c r="S14" s="30" t="s">
        <v>109</v>
      </c>
      <c r="T14" s="40" t="s">
        <v>110</v>
      </c>
      <c r="U14" s="34" t="s">
        <v>111</v>
      </c>
    </row>
    <row r="15">
      <c r="A15" s="30">
        <v>9200012.0</v>
      </c>
      <c r="B15" s="30" t="s">
        <v>166</v>
      </c>
      <c r="C15" s="30" t="s">
        <v>98</v>
      </c>
      <c r="D15" s="34" t="s">
        <v>103</v>
      </c>
      <c r="E15" s="30">
        <v>12.0</v>
      </c>
      <c r="F15" s="36">
        <v>60000.0</v>
      </c>
      <c r="G15" s="37">
        <v>120201.0</v>
      </c>
      <c r="H15" s="38">
        <v>-1.0</v>
      </c>
      <c r="I15" s="30">
        <v>2.0</v>
      </c>
      <c r="J15" s="30">
        <v>20.0</v>
      </c>
      <c r="K15" s="30">
        <v>1.0</v>
      </c>
      <c r="L15" s="30">
        <v>40.0</v>
      </c>
      <c r="M15" s="42">
        <v>2333.0</v>
      </c>
      <c r="N15" s="30">
        <v>9020012.0</v>
      </c>
      <c r="O15" s="30">
        <v>2.320000000000001</v>
      </c>
      <c r="P15" s="30">
        <v>2.320000000000001</v>
      </c>
      <c r="Q15" s="30">
        <v>5.950000000000001</v>
      </c>
      <c r="R15" s="30" t="s">
        <v>108</v>
      </c>
      <c r="S15" s="30" t="s">
        <v>109</v>
      </c>
      <c r="T15" s="40" t="s">
        <v>110</v>
      </c>
      <c r="U15" s="34" t="s">
        <v>111</v>
      </c>
    </row>
    <row r="16">
      <c r="A16" s="30">
        <v>9200013.0</v>
      </c>
      <c r="B16" s="30" t="s">
        <v>168</v>
      </c>
      <c r="C16" s="30" t="s">
        <v>98</v>
      </c>
      <c r="D16" s="34" t="s">
        <v>103</v>
      </c>
      <c r="E16" s="30">
        <v>13.0</v>
      </c>
      <c r="F16" s="36">
        <v>60000.0</v>
      </c>
      <c r="G16" s="37">
        <v>120201.0</v>
      </c>
      <c r="H16" s="38">
        <v>-1.0</v>
      </c>
      <c r="I16" s="30">
        <v>2.0</v>
      </c>
      <c r="J16" s="30">
        <v>20.0</v>
      </c>
      <c r="K16" s="30">
        <v>1.0</v>
      </c>
      <c r="L16" s="30">
        <v>40.0</v>
      </c>
      <c r="M16" s="42">
        <v>2916.0</v>
      </c>
      <c r="N16" s="30">
        <v>9020013.0</v>
      </c>
      <c r="O16" s="30">
        <v>2.4400000000000013</v>
      </c>
      <c r="P16" s="30">
        <v>2.4400000000000013</v>
      </c>
      <c r="Q16" s="30">
        <v>6.400000000000001</v>
      </c>
      <c r="R16" s="30" t="s">
        <v>108</v>
      </c>
      <c r="S16" s="30" t="s">
        <v>109</v>
      </c>
      <c r="T16" s="40" t="s">
        <v>110</v>
      </c>
      <c r="U16" s="34" t="s">
        <v>111</v>
      </c>
    </row>
    <row r="17">
      <c r="A17" s="30">
        <v>9200014.0</v>
      </c>
      <c r="B17" s="30" t="s">
        <v>170</v>
      </c>
      <c r="C17" s="30" t="s">
        <v>98</v>
      </c>
      <c r="D17" s="34" t="s">
        <v>103</v>
      </c>
      <c r="E17" s="30">
        <v>14.0</v>
      </c>
      <c r="F17" s="36">
        <v>60000.0</v>
      </c>
      <c r="G17" s="37">
        <v>120201.0</v>
      </c>
      <c r="H17" s="38">
        <v>-1.0</v>
      </c>
      <c r="I17" s="30">
        <v>2.0</v>
      </c>
      <c r="J17" s="30">
        <v>20.0</v>
      </c>
      <c r="K17" s="30">
        <v>1.0</v>
      </c>
      <c r="L17" s="30">
        <v>40.0</v>
      </c>
      <c r="M17" s="42">
        <v>3645.0</v>
      </c>
      <c r="N17" s="30">
        <v>9020014.0</v>
      </c>
      <c r="O17" s="30">
        <v>2.5600000000000014</v>
      </c>
      <c r="P17" s="30">
        <v>2.5600000000000014</v>
      </c>
      <c r="Q17" s="30">
        <v>6.850000000000001</v>
      </c>
      <c r="R17" s="30" t="s">
        <v>108</v>
      </c>
      <c r="S17" s="30" t="s">
        <v>109</v>
      </c>
      <c r="T17" s="40" t="s">
        <v>110</v>
      </c>
      <c r="U17" s="34" t="s">
        <v>111</v>
      </c>
    </row>
    <row r="18">
      <c r="A18" s="30">
        <v>9200015.0</v>
      </c>
      <c r="B18" s="30" t="s">
        <v>173</v>
      </c>
      <c r="C18" s="30" t="s">
        <v>98</v>
      </c>
      <c r="D18" s="34" t="s">
        <v>103</v>
      </c>
      <c r="E18" s="30">
        <v>15.0</v>
      </c>
      <c r="F18" s="36">
        <v>60000.0</v>
      </c>
      <c r="G18" s="37">
        <v>120201.0</v>
      </c>
      <c r="H18" s="38">
        <v>-1.0</v>
      </c>
      <c r="I18" s="30">
        <v>2.0</v>
      </c>
      <c r="J18" s="30">
        <v>20.0</v>
      </c>
      <c r="K18" s="30">
        <v>1.0</v>
      </c>
      <c r="L18" s="30">
        <v>40.0</v>
      </c>
      <c r="M18" s="42">
        <v>4556.0</v>
      </c>
      <c r="N18" s="30">
        <v>9020015.0</v>
      </c>
      <c r="O18" s="30">
        <v>2.6800000000000015</v>
      </c>
      <c r="P18" s="30">
        <v>2.6800000000000015</v>
      </c>
      <c r="Q18" s="30">
        <v>7.300000000000002</v>
      </c>
      <c r="R18" s="30" t="s">
        <v>108</v>
      </c>
      <c r="S18" s="30" t="s">
        <v>109</v>
      </c>
      <c r="T18" s="40" t="s">
        <v>110</v>
      </c>
      <c r="U18" s="34" t="s">
        <v>111</v>
      </c>
    </row>
    <row r="19">
      <c r="A19" s="30">
        <v>9200016.0</v>
      </c>
      <c r="B19" s="30" t="s">
        <v>176</v>
      </c>
      <c r="C19" s="30" t="s">
        <v>98</v>
      </c>
      <c r="D19" s="34" t="s">
        <v>103</v>
      </c>
      <c r="E19" s="30">
        <v>16.0</v>
      </c>
      <c r="F19" s="36">
        <v>60000.0</v>
      </c>
      <c r="G19" s="37">
        <v>120201.0</v>
      </c>
      <c r="H19" s="38">
        <v>-1.0</v>
      </c>
      <c r="I19" s="30">
        <v>2.0</v>
      </c>
      <c r="J19" s="30">
        <v>20.0</v>
      </c>
      <c r="K19" s="30">
        <v>1.0</v>
      </c>
      <c r="L19" s="30">
        <v>40.0</v>
      </c>
      <c r="M19" s="42">
        <v>5695.0</v>
      </c>
      <c r="N19" s="30">
        <v>9020016.0</v>
      </c>
      <c r="O19" s="30">
        <v>2.8000000000000016</v>
      </c>
      <c r="P19" s="30">
        <v>2.8000000000000016</v>
      </c>
      <c r="Q19" s="30">
        <v>7.750000000000002</v>
      </c>
      <c r="R19" s="30" t="s">
        <v>108</v>
      </c>
      <c r="S19" s="30" t="s">
        <v>109</v>
      </c>
      <c r="T19" s="40" t="s">
        <v>110</v>
      </c>
      <c r="U19" s="34" t="s">
        <v>111</v>
      </c>
    </row>
    <row r="20">
      <c r="A20" s="30">
        <v>9200017.0</v>
      </c>
      <c r="B20" s="30" t="s">
        <v>178</v>
      </c>
      <c r="C20" s="30" t="s">
        <v>98</v>
      </c>
      <c r="D20" s="34" t="s">
        <v>103</v>
      </c>
      <c r="E20" s="30">
        <v>17.0</v>
      </c>
      <c r="F20" s="36">
        <v>60000.0</v>
      </c>
      <c r="G20" s="37">
        <v>120201.0</v>
      </c>
      <c r="H20" s="38">
        <v>-1.0</v>
      </c>
      <c r="I20" s="30">
        <v>2.0</v>
      </c>
      <c r="J20" s="30">
        <v>20.0</v>
      </c>
      <c r="K20" s="30">
        <v>1.0</v>
      </c>
      <c r="L20" s="30">
        <v>40.0</v>
      </c>
      <c r="M20" s="42">
        <v>7119.0</v>
      </c>
      <c r="N20" s="30">
        <v>9020017.0</v>
      </c>
      <c r="O20" s="30">
        <v>2.9200000000000017</v>
      </c>
      <c r="P20" s="30">
        <v>2.9200000000000017</v>
      </c>
      <c r="Q20" s="30">
        <v>8.200000000000001</v>
      </c>
      <c r="R20" s="30" t="s">
        <v>108</v>
      </c>
      <c r="S20" s="30" t="s">
        <v>109</v>
      </c>
      <c r="T20" s="40" t="s">
        <v>110</v>
      </c>
      <c r="U20" s="34" t="s">
        <v>111</v>
      </c>
    </row>
    <row r="21">
      <c r="A21" s="30">
        <v>9200018.0</v>
      </c>
      <c r="B21" s="30" t="s">
        <v>180</v>
      </c>
      <c r="C21" s="30" t="s">
        <v>98</v>
      </c>
      <c r="D21" s="34" t="s">
        <v>103</v>
      </c>
      <c r="E21" s="30">
        <v>18.0</v>
      </c>
      <c r="F21" s="36">
        <v>60000.0</v>
      </c>
      <c r="G21" s="37">
        <v>120201.0</v>
      </c>
      <c r="H21" s="38">
        <v>-1.0</v>
      </c>
      <c r="I21" s="30">
        <v>2.0</v>
      </c>
      <c r="J21" s="30">
        <v>20.0</v>
      </c>
      <c r="K21" s="30">
        <v>1.0</v>
      </c>
      <c r="L21" s="30">
        <v>40.0</v>
      </c>
      <c r="M21" s="42">
        <v>8899.0</v>
      </c>
      <c r="N21" s="30">
        <v>9020018.0</v>
      </c>
      <c r="O21" s="30">
        <v>3.040000000000002</v>
      </c>
      <c r="P21" s="30">
        <v>3.040000000000002</v>
      </c>
      <c r="Q21" s="30">
        <v>8.65</v>
      </c>
      <c r="R21" s="30" t="s">
        <v>108</v>
      </c>
      <c r="S21" s="30" t="s">
        <v>109</v>
      </c>
      <c r="T21" s="40" t="s">
        <v>110</v>
      </c>
      <c r="U21" s="34" t="s">
        <v>111</v>
      </c>
    </row>
    <row r="22">
      <c r="A22" s="30">
        <v>9200019.0</v>
      </c>
      <c r="B22" s="30" t="s">
        <v>182</v>
      </c>
      <c r="C22" s="30" t="s">
        <v>98</v>
      </c>
      <c r="D22" s="34" t="s">
        <v>103</v>
      </c>
      <c r="E22" s="30">
        <v>19.0</v>
      </c>
      <c r="F22" s="36">
        <v>60000.0</v>
      </c>
      <c r="G22" s="37">
        <v>120201.0</v>
      </c>
      <c r="H22" s="38">
        <v>-1.0</v>
      </c>
      <c r="I22" s="30">
        <v>2.0</v>
      </c>
      <c r="J22" s="30">
        <v>20.0</v>
      </c>
      <c r="K22" s="30">
        <v>1.0</v>
      </c>
      <c r="L22" s="30">
        <v>40.0</v>
      </c>
      <c r="M22" s="42">
        <v>11124.0</v>
      </c>
      <c r="N22" s="30">
        <v>9020019.0</v>
      </c>
      <c r="O22" s="30">
        <v>3.160000000000002</v>
      </c>
      <c r="P22" s="30">
        <v>3.160000000000002</v>
      </c>
      <c r="Q22" s="30">
        <v>9.1</v>
      </c>
      <c r="R22" s="30" t="s">
        <v>108</v>
      </c>
      <c r="S22" s="30" t="s">
        <v>109</v>
      </c>
      <c r="T22" s="40" t="s">
        <v>110</v>
      </c>
      <c r="U22" s="34" t="s">
        <v>111</v>
      </c>
    </row>
    <row r="23">
      <c r="A23" s="30">
        <v>9200020.0</v>
      </c>
      <c r="B23" s="30" t="s">
        <v>184</v>
      </c>
      <c r="C23" s="30" t="s">
        <v>98</v>
      </c>
      <c r="D23" s="34" t="s">
        <v>103</v>
      </c>
      <c r="E23" s="30">
        <v>20.0</v>
      </c>
      <c r="F23" s="36">
        <v>60000.0</v>
      </c>
      <c r="G23" s="37">
        <v>120201.0</v>
      </c>
      <c r="H23" s="38">
        <v>-1.0</v>
      </c>
      <c r="I23" s="30">
        <v>2.0</v>
      </c>
      <c r="J23" s="30">
        <v>20.0</v>
      </c>
      <c r="K23" s="30">
        <v>1.0</v>
      </c>
      <c r="L23" s="30">
        <v>40.0</v>
      </c>
      <c r="M23" s="42">
        <v>13905.0</v>
      </c>
      <c r="N23" s="30">
        <v>9020020.0</v>
      </c>
      <c r="O23" s="30">
        <v>3.280000000000002</v>
      </c>
      <c r="P23" s="30">
        <v>3.280000000000002</v>
      </c>
      <c r="Q23" s="30">
        <v>9.549999999999999</v>
      </c>
      <c r="R23" s="30" t="s">
        <v>108</v>
      </c>
      <c r="S23" s="30" t="s">
        <v>109</v>
      </c>
      <c r="T23" s="40" t="s">
        <v>110</v>
      </c>
      <c r="U23" s="34" t="s">
        <v>111</v>
      </c>
    </row>
  </sheetData>
  <dataValidations>
    <dataValidation type="list" allowBlank="1" showErrorMessage="1" sqref="D4:D23">
      <formula1>"Gold,EXP,Trait,Relic,Oopats,Equipment"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22.88"/>
    <col customWidth="1" min="3" max="3" width="17.63"/>
    <col customWidth="1" min="4" max="4" width="22.0"/>
    <col customWidth="1" min="5" max="5" width="18.88"/>
    <col customWidth="1" min="6" max="6" width="22.75"/>
    <col customWidth="1" min="7" max="7" width="20.88"/>
    <col customWidth="1" min="8" max="8" width="17.88"/>
    <col customWidth="1" min="9" max="9" width="24.63"/>
    <col customWidth="1" min="10" max="10" width="25.13"/>
  </cols>
  <sheetData>
    <row r="1" ht="91.5" customHeight="1">
      <c r="A1" s="1" t="s">
        <v>200</v>
      </c>
      <c r="B1" s="3" t="s">
        <v>3</v>
      </c>
      <c r="C1" s="3" t="s">
        <v>6</v>
      </c>
      <c r="D1" s="1" t="s">
        <v>9</v>
      </c>
      <c r="E1" s="1" t="s">
        <v>14</v>
      </c>
      <c r="F1" s="1" t="s">
        <v>16</v>
      </c>
      <c r="G1" s="1" t="s">
        <v>18</v>
      </c>
      <c r="H1" s="1" t="s">
        <v>22</v>
      </c>
      <c r="I1" s="1" t="s">
        <v>24</v>
      </c>
      <c r="J1" s="1" t="s">
        <v>28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4" t="s">
        <v>46</v>
      </c>
      <c r="B2" s="14" t="s">
        <v>47</v>
      </c>
      <c r="C2" s="13" t="s">
        <v>55</v>
      </c>
      <c r="D2" s="13" t="s">
        <v>57</v>
      </c>
      <c r="E2" s="13" t="s">
        <v>60</v>
      </c>
      <c r="F2" s="13" t="s">
        <v>62</v>
      </c>
      <c r="G2" s="13" t="s">
        <v>65</v>
      </c>
      <c r="H2" s="13" t="s">
        <v>68</v>
      </c>
      <c r="I2" s="13" t="s">
        <v>72</v>
      </c>
      <c r="J2" s="13" t="s">
        <v>74</v>
      </c>
    </row>
    <row r="3">
      <c r="A3" s="25" t="s">
        <v>88</v>
      </c>
      <c r="B3" s="25" t="s">
        <v>89</v>
      </c>
      <c r="C3" s="25" t="s">
        <v>89</v>
      </c>
      <c r="D3" s="25" t="s">
        <v>93</v>
      </c>
      <c r="E3" s="25" t="s">
        <v>88</v>
      </c>
      <c r="F3" s="25" t="s">
        <v>93</v>
      </c>
      <c r="G3" s="25" t="s">
        <v>88</v>
      </c>
      <c r="H3" s="25" t="s">
        <v>96</v>
      </c>
      <c r="I3" s="25" t="s">
        <v>93</v>
      </c>
      <c r="J3" s="25" t="s">
        <v>88</v>
      </c>
    </row>
    <row r="4">
      <c r="A4" s="30">
        <v>9020001.0</v>
      </c>
      <c r="B4" s="30" t="s">
        <v>202</v>
      </c>
      <c r="C4" s="30" t="s">
        <v>203</v>
      </c>
      <c r="D4" s="31" t="s">
        <v>204</v>
      </c>
      <c r="E4" s="30">
        <v>1500.0</v>
      </c>
      <c r="F4" s="34" t="s">
        <v>205</v>
      </c>
      <c r="G4" s="30">
        <v>1500.0</v>
      </c>
      <c r="H4" s="30" t="b">
        <v>1</v>
      </c>
      <c r="I4" s="31" t="s">
        <v>204</v>
      </c>
      <c r="J4" s="30">
        <v>1500.0</v>
      </c>
    </row>
    <row r="5">
      <c r="A5" s="30">
        <v>9020002.0</v>
      </c>
      <c r="B5" s="30" t="s">
        <v>206</v>
      </c>
      <c r="C5" s="30" t="s">
        <v>203</v>
      </c>
      <c r="D5" s="31" t="s">
        <v>204</v>
      </c>
      <c r="E5" s="42">
        <f t="shared" ref="E5:E23" si="1">Round(E4*1.13,0)</f>
        <v>1695</v>
      </c>
      <c r="F5" s="34" t="s">
        <v>205</v>
      </c>
      <c r="G5" s="42">
        <f t="shared" ref="G5:G23" si="2">Round(G4*1.13,0)</f>
        <v>1695</v>
      </c>
      <c r="H5" s="30" t="b">
        <v>1</v>
      </c>
      <c r="I5" s="34" t="s">
        <v>205</v>
      </c>
      <c r="J5" s="30">
        <v>1500.0</v>
      </c>
    </row>
    <row r="6">
      <c r="A6" s="30">
        <v>9020003.0</v>
      </c>
      <c r="B6" s="30" t="s">
        <v>207</v>
      </c>
      <c r="C6" s="30" t="s">
        <v>203</v>
      </c>
      <c r="D6" s="31" t="s">
        <v>204</v>
      </c>
      <c r="E6" s="42">
        <f t="shared" si="1"/>
        <v>1915</v>
      </c>
      <c r="F6" s="34" t="s">
        <v>205</v>
      </c>
      <c r="G6" s="42">
        <f t="shared" si="2"/>
        <v>1915</v>
      </c>
      <c r="H6" s="30" t="b">
        <v>1</v>
      </c>
      <c r="I6" s="31" t="s">
        <v>204</v>
      </c>
      <c r="J6" s="30">
        <v>1500.0</v>
      </c>
    </row>
    <row r="7">
      <c r="A7" s="30">
        <v>9020004.0</v>
      </c>
      <c r="B7" s="30" t="s">
        <v>208</v>
      </c>
      <c r="C7" s="30" t="s">
        <v>203</v>
      </c>
      <c r="D7" s="31" t="s">
        <v>204</v>
      </c>
      <c r="E7" s="42">
        <f t="shared" si="1"/>
        <v>2164</v>
      </c>
      <c r="F7" s="34" t="s">
        <v>205</v>
      </c>
      <c r="G7" s="42">
        <f t="shared" si="2"/>
        <v>2164</v>
      </c>
      <c r="H7" s="30" t="b">
        <v>1</v>
      </c>
      <c r="I7" s="34" t="s">
        <v>205</v>
      </c>
      <c r="J7" s="30">
        <v>1500.0</v>
      </c>
    </row>
    <row r="8">
      <c r="A8" s="30">
        <v>9020005.0</v>
      </c>
      <c r="B8" s="30" t="s">
        <v>209</v>
      </c>
      <c r="C8" s="30" t="s">
        <v>203</v>
      </c>
      <c r="D8" s="31" t="s">
        <v>204</v>
      </c>
      <c r="E8" s="42">
        <f t="shared" si="1"/>
        <v>2445</v>
      </c>
      <c r="F8" s="34" t="s">
        <v>205</v>
      </c>
      <c r="G8" s="42">
        <f t="shared" si="2"/>
        <v>2445</v>
      </c>
      <c r="H8" s="30" t="b">
        <v>1</v>
      </c>
      <c r="I8" s="34" t="s">
        <v>160</v>
      </c>
      <c r="J8" s="30">
        <v>100.0</v>
      </c>
    </row>
    <row r="9">
      <c r="A9" s="30">
        <v>9020006.0</v>
      </c>
      <c r="B9" s="30" t="s">
        <v>212</v>
      </c>
      <c r="C9" s="30" t="s">
        <v>203</v>
      </c>
      <c r="D9" s="31" t="s">
        <v>204</v>
      </c>
      <c r="E9" s="42">
        <f t="shared" si="1"/>
        <v>2763</v>
      </c>
      <c r="F9" s="34" t="s">
        <v>205</v>
      </c>
      <c r="G9" s="42">
        <f t="shared" si="2"/>
        <v>2763</v>
      </c>
      <c r="H9" s="30" t="b">
        <v>1</v>
      </c>
      <c r="I9" s="31" t="s">
        <v>204</v>
      </c>
      <c r="J9" s="30">
        <v>1500.0</v>
      </c>
    </row>
    <row r="10">
      <c r="A10" s="30">
        <v>9020007.0</v>
      </c>
      <c r="B10" s="30" t="s">
        <v>216</v>
      </c>
      <c r="C10" s="30" t="s">
        <v>203</v>
      </c>
      <c r="D10" s="31" t="s">
        <v>204</v>
      </c>
      <c r="E10" s="42">
        <f t="shared" si="1"/>
        <v>3122</v>
      </c>
      <c r="F10" s="34" t="s">
        <v>205</v>
      </c>
      <c r="G10" s="42">
        <f t="shared" si="2"/>
        <v>3122</v>
      </c>
      <c r="H10" s="30" t="b">
        <v>1</v>
      </c>
      <c r="I10" s="34" t="s">
        <v>205</v>
      </c>
      <c r="J10" s="30">
        <v>1500.0</v>
      </c>
    </row>
    <row r="11">
      <c r="A11" s="30">
        <v>9020008.0</v>
      </c>
      <c r="B11" s="30" t="s">
        <v>217</v>
      </c>
      <c r="C11" s="30" t="s">
        <v>203</v>
      </c>
      <c r="D11" s="31" t="s">
        <v>204</v>
      </c>
      <c r="E11" s="42">
        <f t="shared" si="1"/>
        <v>3528</v>
      </c>
      <c r="F11" s="34" t="s">
        <v>205</v>
      </c>
      <c r="G11" s="42">
        <f t="shared" si="2"/>
        <v>3528</v>
      </c>
      <c r="H11" s="30" t="b">
        <v>1</v>
      </c>
      <c r="I11" s="31" t="s">
        <v>204</v>
      </c>
      <c r="J11" s="30">
        <v>1500.0</v>
      </c>
    </row>
    <row r="12">
      <c r="A12" s="30">
        <v>9020009.0</v>
      </c>
      <c r="B12" s="30" t="s">
        <v>219</v>
      </c>
      <c r="C12" s="30" t="s">
        <v>203</v>
      </c>
      <c r="D12" s="31" t="s">
        <v>204</v>
      </c>
      <c r="E12" s="42">
        <f t="shared" si="1"/>
        <v>3987</v>
      </c>
      <c r="F12" s="34" t="s">
        <v>205</v>
      </c>
      <c r="G12" s="42">
        <f t="shared" si="2"/>
        <v>3987</v>
      </c>
      <c r="H12" s="30" t="b">
        <v>1</v>
      </c>
      <c r="I12" s="34" t="s">
        <v>205</v>
      </c>
      <c r="J12" s="30">
        <v>1500.0</v>
      </c>
    </row>
    <row r="13">
      <c r="A13" s="30">
        <v>9020010.0</v>
      </c>
      <c r="B13" s="30" t="s">
        <v>220</v>
      </c>
      <c r="C13" s="30" t="s">
        <v>203</v>
      </c>
      <c r="D13" s="31" t="s">
        <v>204</v>
      </c>
      <c r="E13" s="42">
        <f t="shared" si="1"/>
        <v>4505</v>
      </c>
      <c r="F13" s="34" t="s">
        <v>205</v>
      </c>
      <c r="G13" s="42">
        <f t="shared" si="2"/>
        <v>4505</v>
      </c>
      <c r="H13" s="30" t="b">
        <v>1</v>
      </c>
      <c r="I13" s="34" t="s">
        <v>221</v>
      </c>
      <c r="J13" s="30">
        <v>100.0</v>
      </c>
    </row>
    <row r="14">
      <c r="A14" s="30">
        <v>9020011.0</v>
      </c>
      <c r="B14" s="30" t="s">
        <v>222</v>
      </c>
      <c r="C14" s="30" t="s">
        <v>203</v>
      </c>
      <c r="D14" s="31" t="s">
        <v>204</v>
      </c>
      <c r="E14" s="42">
        <f t="shared" si="1"/>
        <v>5091</v>
      </c>
      <c r="F14" s="34" t="s">
        <v>205</v>
      </c>
      <c r="G14" s="42">
        <f t="shared" si="2"/>
        <v>5091</v>
      </c>
      <c r="H14" s="30" t="b">
        <v>1</v>
      </c>
      <c r="I14" s="31" t="s">
        <v>204</v>
      </c>
      <c r="J14" s="30">
        <v>1500.0</v>
      </c>
    </row>
    <row r="15">
      <c r="A15" s="30">
        <v>9020012.0</v>
      </c>
      <c r="B15" s="30" t="s">
        <v>223</v>
      </c>
      <c r="C15" s="30" t="s">
        <v>203</v>
      </c>
      <c r="D15" s="31" t="s">
        <v>204</v>
      </c>
      <c r="E15" s="42">
        <f t="shared" si="1"/>
        <v>5753</v>
      </c>
      <c r="F15" s="34" t="s">
        <v>205</v>
      </c>
      <c r="G15" s="42">
        <f t="shared" si="2"/>
        <v>5753</v>
      </c>
      <c r="H15" s="30" t="b">
        <v>1</v>
      </c>
      <c r="I15" s="34" t="s">
        <v>205</v>
      </c>
      <c r="J15" s="30">
        <v>1500.0</v>
      </c>
    </row>
    <row r="16">
      <c r="A16" s="30">
        <v>9020013.0</v>
      </c>
      <c r="B16" s="30" t="s">
        <v>225</v>
      </c>
      <c r="C16" s="30" t="s">
        <v>203</v>
      </c>
      <c r="D16" s="31" t="s">
        <v>204</v>
      </c>
      <c r="E16" s="42">
        <f t="shared" si="1"/>
        <v>6501</v>
      </c>
      <c r="F16" s="34" t="s">
        <v>205</v>
      </c>
      <c r="G16" s="42">
        <f t="shared" si="2"/>
        <v>6501</v>
      </c>
      <c r="H16" s="30" t="b">
        <v>1</v>
      </c>
      <c r="I16" s="31" t="s">
        <v>204</v>
      </c>
      <c r="J16" s="30">
        <v>1500.0</v>
      </c>
    </row>
    <row r="17">
      <c r="A17" s="30">
        <v>9020014.0</v>
      </c>
      <c r="B17" s="30" t="s">
        <v>226</v>
      </c>
      <c r="C17" s="30" t="s">
        <v>203</v>
      </c>
      <c r="D17" s="31" t="s">
        <v>204</v>
      </c>
      <c r="E17" s="42">
        <f t="shared" si="1"/>
        <v>7346</v>
      </c>
      <c r="F17" s="34" t="s">
        <v>205</v>
      </c>
      <c r="G17" s="42">
        <f t="shared" si="2"/>
        <v>7346</v>
      </c>
      <c r="H17" s="30" t="b">
        <v>1</v>
      </c>
      <c r="I17" s="34" t="s">
        <v>205</v>
      </c>
      <c r="J17" s="30">
        <v>1500.0</v>
      </c>
    </row>
    <row r="18">
      <c r="A18" s="30">
        <v>9020015.0</v>
      </c>
      <c r="B18" s="30" t="s">
        <v>228</v>
      </c>
      <c r="C18" s="30" t="s">
        <v>203</v>
      </c>
      <c r="D18" s="31" t="s">
        <v>204</v>
      </c>
      <c r="E18" s="42">
        <f t="shared" si="1"/>
        <v>8301</v>
      </c>
      <c r="F18" s="34" t="s">
        <v>205</v>
      </c>
      <c r="G18" s="42">
        <f t="shared" si="2"/>
        <v>8301</v>
      </c>
      <c r="H18" s="30" t="b">
        <v>1</v>
      </c>
      <c r="I18" s="34" t="s">
        <v>160</v>
      </c>
      <c r="J18" s="30">
        <v>100.0</v>
      </c>
    </row>
    <row r="19">
      <c r="A19" s="30">
        <v>9020016.0</v>
      </c>
      <c r="B19" s="30" t="s">
        <v>229</v>
      </c>
      <c r="C19" s="30" t="s">
        <v>203</v>
      </c>
      <c r="D19" s="31" t="s">
        <v>204</v>
      </c>
      <c r="E19" s="42">
        <f t="shared" si="1"/>
        <v>9380</v>
      </c>
      <c r="F19" s="34" t="s">
        <v>205</v>
      </c>
      <c r="G19" s="42">
        <f t="shared" si="2"/>
        <v>9380</v>
      </c>
      <c r="H19" s="30" t="b">
        <v>1</v>
      </c>
      <c r="I19" s="31" t="s">
        <v>204</v>
      </c>
      <c r="J19" s="30">
        <v>1500.0</v>
      </c>
    </row>
    <row r="20">
      <c r="A20" s="30">
        <v>9020017.0</v>
      </c>
      <c r="B20" s="30" t="s">
        <v>230</v>
      </c>
      <c r="C20" s="30" t="s">
        <v>203</v>
      </c>
      <c r="D20" s="31" t="s">
        <v>204</v>
      </c>
      <c r="E20" s="42">
        <f t="shared" si="1"/>
        <v>10599</v>
      </c>
      <c r="F20" s="34" t="s">
        <v>205</v>
      </c>
      <c r="G20" s="42">
        <f t="shared" si="2"/>
        <v>10599</v>
      </c>
      <c r="H20" s="30" t="b">
        <v>1</v>
      </c>
      <c r="I20" s="34" t="s">
        <v>205</v>
      </c>
      <c r="J20" s="30">
        <v>1500.0</v>
      </c>
    </row>
    <row r="21">
      <c r="A21" s="30">
        <v>9020018.0</v>
      </c>
      <c r="B21" s="30" t="s">
        <v>233</v>
      </c>
      <c r="C21" s="30" t="s">
        <v>203</v>
      </c>
      <c r="D21" s="31" t="s">
        <v>204</v>
      </c>
      <c r="E21" s="42">
        <f t="shared" si="1"/>
        <v>11977</v>
      </c>
      <c r="F21" s="34" t="s">
        <v>205</v>
      </c>
      <c r="G21" s="42">
        <f t="shared" si="2"/>
        <v>11977</v>
      </c>
      <c r="H21" s="30" t="b">
        <v>1</v>
      </c>
      <c r="I21" s="31" t="s">
        <v>204</v>
      </c>
      <c r="J21" s="30">
        <v>1500.0</v>
      </c>
    </row>
    <row r="22">
      <c r="A22" s="30">
        <v>9020019.0</v>
      </c>
      <c r="B22" s="30" t="s">
        <v>235</v>
      </c>
      <c r="C22" s="30" t="s">
        <v>203</v>
      </c>
      <c r="D22" s="31" t="s">
        <v>204</v>
      </c>
      <c r="E22" s="42">
        <f t="shared" si="1"/>
        <v>13534</v>
      </c>
      <c r="F22" s="34" t="s">
        <v>205</v>
      </c>
      <c r="G22" s="42">
        <f t="shared" si="2"/>
        <v>13534</v>
      </c>
      <c r="H22" s="30" t="b">
        <v>1</v>
      </c>
      <c r="I22" s="34" t="s">
        <v>205</v>
      </c>
      <c r="J22" s="30">
        <v>1500.0</v>
      </c>
    </row>
    <row r="23">
      <c r="A23" s="30">
        <v>9020020.0</v>
      </c>
      <c r="B23" s="30" t="s">
        <v>236</v>
      </c>
      <c r="C23" s="30" t="s">
        <v>203</v>
      </c>
      <c r="D23" s="31" t="s">
        <v>204</v>
      </c>
      <c r="E23" s="42">
        <f t="shared" si="1"/>
        <v>15293</v>
      </c>
      <c r="F23" s="34" t="s">
        <v>205</v>
      </c>
      <c r="G23" s="42">
        <f t="shared" si="2"/>
        <v>15293</v>
      </c>
      <c r="H23" s="30" t="b">
        <v>1</v>
      </c>
      <c r="I23" s="34" t="s">
        <v>221</v>
      </c>
      <c r="J23" s="30">
        <v>100.0</v>
      </c>
    </row>
  </sheetData>
  <dataValidations>
    <dataValidation type="list" allowBlank="1" showErrorMessage="1" sqref="H4:H23">
      <formula1>"FALSE,TRUE"</formula1>
    </dataValidation>
    <dataValidation type="list" allowBlank="1" showErrorMessage="1" sqref="I8 I13 I18 I23">
      <formula1>"None,AncientRelic_Cost,Coin_Artifact,Coin_Character,Coin_Pet,Dia,RealCash,Exp,Gold,Guild_Coin_1,Guild_Coin_2,Guild_Coin_3,Guild_Cost_A,Guild_Ticket_1,Guild_Ticket_2,HolyRelic_Cost,Mertarial_equipment,Mertarial_monsterProduct,Mertarial_Plant,Mertarial_Requ"&amp;"est,Mertarial_specialhero,Ooparts_Cost,Relic_Cost,Ticket_Artifact,Ticket_Character,Ticket_Costum,Ticket_D1_gold,Ticket_D2_exp,Ticket_D3_artifact,Ticket_D4_equipment,Ticket_D5_trait,Trait_Cost,World_Coin,World_Ticket_1,World_Ticket_2,EqLevelUp_M,Ticket_Cha"&amp;"racter_P,Ticket_Character_N,Ticket_Character_UR,Ticket_Artifact_N,Ticket_Artifact_P,Coin_SD_Agency,Coin_SD_Garden,Coin_SD_Dungen,Mertarial_Request,Mertarial_Request2,Mertarial_Request3,Mertarial_Request4,ShopMileage,AD,Payment"</formula1>
    </dataValidation>
    <dataValidation type="list" allowBlank="1" showErrorMessage="1" sqref="I4:I7 I9:I12 I14:I17 I19:I22 D4:D23 F4:F23">
      <formula1>"None,AncientRelic_Cost,Coin_Artifact,Coin_Character,Coin_Pet,Dia,RealCash,Exp,Gold,Guild_Coin_1,Guild_Coin_2,Guild_Coin_3,Guild_Cost_A,Guild_Ticket_1,Guild_Ticket_2,HolyRelic_Cost,Mertarial_equipment,Mertarial_monsterProduct,Mertarial_Plant,Mertarial_Requ"&amp;"est,Mertarial_specialhero,Ooparts_Cost,Relic_Cost,Ticket_Artifact,Ticket_Character,Ticket_Costum,Ticket_D1_gold,Ticket_D2_exp,Ticket_D3_artifact,Ticket_D4_equipment,Ticket_D5_trait,Trait_Cost,World_Coin,World_Ticket_1,World_Ticket_2,EqLevelUp_M,Ticket_Cha"&amp;"racter_P,Ticket_Character_N,Ticket_Character_UR,Ticket_Artifact_N,Ticket_Artifact_P,Coin_SD_Agency,Coin_SD_Garden,Coin_SD_Dungen,Mertarial_Request,Mertarial_Request2,Mertarial_Request3,Mertarial_Request4,ShopMileage,AD,ArtifactLevelUp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19.63"/>
    <col customWidth="1" min="3" max="3" width="18.38"/>
    <col customWidth="1" min="4" max="4" width="19.63"/>
    <col customWidth="1" min="5" max="5" width="17.38"/>
    <col customWidth="1" min="6" max="6" width="17.25"/>
    <col customWidth="1" min="9" max="9" width="18.38"/>
    <col customWidth="1" min="10" max="10" width="19.5"/>
    <col customWidth="1" min="11" max="11" width="19.0"/>
    <col customWidth="1" min="12" max="12" width="19.38"/>
    <col customWidth="1" min="13" max="13" width="20.25"/>
    <col customWidth="1" min="14" max="14" width="19.63"/>
    <col customWidth="1" min="15" max="15" width="18.88"/>
    <col customWidth="1" min="16" max="19" width="20.0"/>
    <col customWidth="1" min="20" max="20" width="70.63"/>
    <col customWidth="1" min="21" max="21" width="51.0"/>
  </cols>
  <sheetData>
    <row r="1" ht="96.0" customHeight="1">
      <c r="A1" s="1" t="s">
        <v>201</v>
      </c>
      <c r="B1" s="3" t="s">
        <v>3</v>
      </c>
      <c r="C1" s="1" t="s">
        <v>6</v>
      </c>
      <c r="D1" s="1" t="s">
        <v>10</v>
      </c>
      <c r="E1" s="1" t="s">
        <v>12</v>
      </c>
      <c r="F1" s="1" t="s">
        <v>17</v>
      </c>
      <c r="G1" s="3" t="s">
        <v>19</v>
      </c>
      <c r="H1" s="5" t="s">
        <v>21</v>
      </c>
      <c r="I1" s="3" t="s">
        <v>26</v>
      </c>
      <c r="J1" s="3" t="s">
        <v>29</v>
      </c>
      <c r="K1" s="3" t="s">
        <v>31</v>
      </c>
      <c r="L1" s="1" t="s">
        <v>34</v>
      </c>
      <c r="M1" s="1" t="s">
        <v>36</v>
      </c>
      <c r="N1" s="1" t="s">
        <v>38</v>
      </c>
      <c r="O1" s="1" t="s">
        <v>40</v>
      </c>
      <c r="P1" s="1" t="s">
        <v>41</v>
      </c>
      <c r="Q1" s="1" t="s">
        <v>42</v>
      </c>
      <c r="R1" s="1" t="s">
        <v>35</v>
      </c>
      <c r="S1" s="1" t="s">
        <v>43</v>
      </c>
      <c r="T1" s="9" t="s">
        <v>44</v>
      </c>
      <c r="U1" s="1" t="s">
        <v>45</v>
      </c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</row>
    <row r="2">
      <c r="A2" s="14" t="s">
        <v>46</v>
      </c>
      <c r="B2" s="14" t="s">
        <v>47</v>
      </c>
      <c r="C2" s="14" t="s">
        <v>59</v>
      </c>
      <c r="D2" s="16" t="s">
        <v>49</v>
      </c>
      <c r="E2" s="13" t="s">
        <v>64</v>
      </c>
      <c r="F2" s="13" t="s">
        <v>67</v>
      </c>
      <c r="G2" s="14" t="s">
        <v>69</v>
      </c>
      <c r="H2" s="17" t="s">
        <v>71</v>
      </c>
      <c r="I2" s="14" t="s">
        <v>76</v>
      </c>
      <c r="J2" s="14" t="s">
        <v>77</v>
      </c>
      <c r="K2" s="14" t="s">
        <v>78</v>
      </c>
      <c r="L2" s="14" t="s">
        <v>79</v>
      </c>
      <c r="M2" s="13" t="s">
        <v>80</v>
      </c>
      <c r="N2" s="12" t="s">
        <v>81</v>
      </c>
      <c r="O2" s="14" t="s">
        <v>82</v>
      </c>
      <c r="P2" s="14" t="s">
        <v>83</v>
      </c>
      <c r="Q2" s="14" t="s">
        <v>84</v>
      </c>
      <c r="R2" s="13" t="s">
        <v>70</v>
      </c>
      <c r="S2" s="13" t="s">
        <v>85</v>
      </c>
      <c r="T2" s="17" t="s">
        <v>86</v>
      </c>
      <c r="U2" s="14" t="s">
        <v>87</v>
      </c>
    </row>
    <row r="3">
      <c r="A3" s="19" t="s">
        <v>88</v>
      </c>
      <c r="B3" s="19" t="s">
        <v>89</v>
      </c>
      <c r="C3" s="19" t="s">
        <v>89</v>
      </c>
      <c r="D3" s="22" t="s">
        <v>90</v>
      </c>
      <c r="E3" s="22" t="s">
        <v>88</v>
      </c>
      <c r="F3" s="19" t="s">
        <v>88</v>
      </c>
      <c r="G3" s="22" t="s">
        <v>92</v>
      </c>
      <c r="H3" s="19" t="s">
        <v>92</v>
      </c>
      <c r="I3" s="19" t="s">
        <v>88</v>
      </c>
      <c r="J3" s="19" t="s">
        <v>88</v>
      </c>
      <c r="K3" s="19" t="s">
        <v>94</v>
      </c>
      <c r="L3" s="19" t="s">
        <v>88</v>
      </c>
      <c r="M3" s="19" t="s">
        <v>89</v>
      </c>
      <c r="N3" s="19" t="s">
        <v>88</v>
      </c>
      <c r="O3" s="19" t="s">
        <v>94</v>
      </c>
      <c r="P3" s="19" t="s">
        <v>94</v>
      </c>
      <c r="Q3" s="19" t="s">
        <v>94</v>
      </c>
      <c r="R3" s="27" t="s">
        <v>89</v>
      </c>
      <c r="S3" s="27" t="s">
        <v>89</v>
      </c>
      <c r="T3" s="27" t="s">
        <v>89</v>
      </c>
      <c r="U3" s="19" t="s">
        <v>95</v>
      </c>
    </row>
    <row r="4">
      <c r="A4" s="30">
        <v>9300001.0</v>
      </c>
      <c r="B4" s="30" t="s">
        <v>210</v>
      </c>
      <c r="C4" s="30" t="s">
        <v>211</v>
      </c>
      <c r="D4" s="34" t="s">
        <v>130</v>
      </c>
      <c r="E4" s="30">
        <v>1.0</v>
      </c>
      <c r="F4" s="36">
        <v>60000.0</v>
      </c>
      <c r="G4" s="37">
        <v>-1.0</v>
      </c>
      <c r="H4" s="38">
        <v>140101.0</v>
      </c>
      <c r="I4" s="30">
        <v>1.0</v>
      </c>
      <c r="J4" s="30">
        <v>1.0</v>
      </c>
      <c r="K4" s="30">
        <v>1.0</v>
      </c>
      <c r="L4" s="30">
        <v>-1.0</v>
      </c>
      <c r="M4" s="30">
        <v>300.0</v>
      </c>
      <c r="N4" s="30">
        <v>9030001.0</v>
      </c>
      <c r="O4" s="30">
        <v>1.0</v>
      </c>
      <c r="P4" s="30">
        <v>1.0</v>
      </c>
      <c r="Q4" s="30">
        <v>1.0</v>
      </c>
      <c r="R4" s="30" t="s">
        <v>213</v>
      </c>
      <c r="S4" s="30" t="s">
        <v>214</v>
      </c>
      <c r="T4" s="44" t="s">
        <v>215</v>
      </c>
      <c r="U4" s="34" t="s">
        <v>111</v>
      </c>
    </row>
    <row r="5">
      <c r="A5" s="42">
        <f t="shared" ref="A5:A23" si="2">A4+1</f>
        <v>9300002</v>
      </c>
      <c r="B5" s="30" t="s">
        <v>218</v>
      </c>
      <c r="C5" s="30" t="s">
        <v>211</v>
      </c>
      <c r="D5" s="34" t="s">
        <v>130</v>
      </c>
      <c r="E5" s="30">
        <v>2.0</v>
      </c>
      <c r="F5" s="36">
        <v>60000.0</v>
      </c>
      <c r="G5" s="37">
        <v>-1.0</v>
      </c>
      <c r="H5" s="38">
        <v>140101.0</v>
      </c>
      <c r="I5" s="30">
        <v>1.0</v>
      </c>
      <c r="J5" s="30">
        <v>1.0</v>
      </c>
      <c r="K5" s="30">
        <v>1.0</v>
      </c>
      <c r="L5" s="30">
        <v>-1.0</v>
      </c>
      <c r="M5" s="42">
        <f t="shared" ref="M5:M23" si="3">ROUND(M4*1.45,0)</f>
        <v>435</v>
      </c>
      <c r="N5" s="30">
        <v>9030002.0</v>
      </c>
      <c r="O5" s="30">
        <f t="shared" ref="O5:P5" si="1">O4+0.12</f>
        <v>1.12</v>
      </c>
      <c r="P5" s="30">
        <f t="shared" si="1"/>
        <v>1.12</v>
      </c>
      <c r="Q5" s="30">
        <f t="shared" ref="Q5:Q23" si="5">Q4+0.45</f>
        <v>1.45</v>
      </c>
      <c r="R5" s="30" t="s">
        <v>213</v>
      </c>
      <c r="S5" s="30" t="s">
        <v>214</v>
      </c>
      <c r="T5" s="44" t="s">
        <v>215</v>
      </c>
      <c r="U5" s="34" t="s">
        <v>111</v>
      </c>
    </row>
    <row r="6">
      <c r="A6" s="42">
        <f t="shared" si="2"/>
        <v>9300003</v>
      </c>
      <c r="B6" s="30" t="s">
        <v>224</v>
      </c>
      <c r="C6" s="30" t="s">
        <v>211</v>
      </c>
      <c r="D6" s="34" t="s">
        <v>130</v>
      </c>
      <c r="E6" s="30">
        <v>3.0</v>
      </c>
      <c r="F6" s="36">
        <v>60000.0</v>
      </c>
      <c r="G6" s="37">
        <v>-1.0</v>
      </c>
      <c r="H6" s="38">
        <v>140101.0</v>
      </c>
      <c r="I6" s="30">
        <v>1.0</v>
      </c>
      <c r="J6" s="30">
        <v>1.0</v>
      </c>
      <c r="K6" s="30">
        <v>1.0</v>
      </c>
      <c r="L6" s="30">
        <v>-1.0</v>
      </c>
      <c r="M6" s="42">
        <f t="shared" si="3"/>
        <v>631</v>
      </c>
      <c r="N6" s="30">
        <v>9030003.0</v>
      </c>
      <c r="O6" s="30">
        <f t="shared" ref="O6:P6" si="4">O5+0.12</f>
        <v>1.24</v>
      </c>
      <c r="P6" s="30">
        <f t="shared" si="4"/>
        <v>1.24</v>
      </c>
      <c r="Q6" s="30">
        <f t="shared" si="5"/>
        <v>1.9</v>
      </c>
      <c r="R6" s="30" t="s">
        <v>213</v>
      </c>
      <c r="S6" s="30" t="s">
        <v>214</v>
      </c>
      <c r="T6" s="44" t="s">
        <v>215</v>
      </c>
      <c r="U6" s="34" t="s">
        <v>111</v>
      </c>
    </row>
    <row r="7">
      <c r="A7" s="42">
        <f t="shared" si="2"/>
        <v>9300004</v>
      </c>
      <c r="B7" s="30" t="s">
        <v>227</v>
      </c>
      <c r="C7" s="30" t="s">
        <v>211</v>
      </c>
      <c r="D7" s="34" t="s">
        <v>130</v>
      </c>
      <c r="E7" s="30">
        <v>4.0</v>
      </c>
      <c r="F7" s="36">
        <v>60000.0</v>
      </c>
      <c r="G7" s="37">
        <v>-1.0</v>
      </c>
      <c r="H7" s="38">
        <v>140101.0</v>
      </c>
      <c r="I7" s="30">
        <v>1.0</v>
      </c>
      <c r="J7" s="30">
        <v>1.0</v>
      </c>
      <c r="K7" s="30">
        <v>1.0</v>
      </c>
      <c r="L7" s="30">
        <v>-1.0</v>
      </c>
      <c r="M7" s="42">
        <f t="shared" si="3"/>
        <v>915</v>
      </c>
      <c r="N7" s="30">
        <v>9030004.0</v>
      </c>
      <c r="O7" s="30">
        <f t="shared" ref="O7:P7" si="6">O6+0.12</f>
        <v>1.36</v>
      </c>
      <c r="P7" s="30">
        <f t="shared" si="6"/>
        <v>1.36</v>
      </c>
      <c r="Q7" s="30">
        <f t="shared" si="5"/>
        <v>2.35</v>
      </c>
      <c r="R7" s="30" t="s">
        <v>213</v>
      </c>
      <c r="S7" s="30" t="s">
        <v>214</v>
      </c>
      <c r="T7" s="44" t="s">
        <v>215</v>
      </c>
      <c r="U7" s="34" t="s">
        <v>111</v>
      </c>
    </row>
    <row r="8">
      <c r="A8" s="42">
        <f t="shared" si="2"/>
        <v>9300005</v>
      </c>
      <c r="B8" s="30" t="s">
        <v>231</v>
      </c>
      <c r="C8" s="30" t="s">
        <v>211</v>
      </c>
      <c r="D8" s="34" t="s">
        <v>130</v>
      </c>
      <c r="E8" s="30">
        <v>5.0</v>
      </c>
      <c r="F8" s="36">
        <v>60000.0</v>
      </c>
      <c r="G8" s="37">
        <v>-1.0</v>
      </c>
      <c r="H8" s="38">
        <v>140101.0</v>
      </c>
      <c r="I8" s="30">
        <v>1.0</v>
      </c>
      <c r="J8" s="30">
        <v>1.0</v>
      </c>
      <c r="K8" s="30">
        <v>1.0</v>
      </c>
      <c r="L8" s="30">
        <v>-1.0</v>
      </c>
      <c r="M8" s="42">
        <f t="shared" si="3"/>
        <v>1327</v>
      </c>
      <c r="N8" s="30">
        <v>9030005.0</v>
      </c>
      <c r="O8" s="30">
        <f t="shared" ref="O8:P8" si="7">O7+0.12</f>
        <v>1.48</v>
      </c>
      <c r="P8" s="30">
        <f t="shared" si="7"/>
        <v>1.48</v>
      </c>
      <c r="Q8" s="30">
        <f t="shared" si="5"/>
        <v>2.8</v>
      </c>
      <c r="R8" s="30" t="s">
        <v>213</v>
      </c>
      <c r="S8" s="30" t="s">
        <v>214</v>
      </c>
      <c r="T8" s="44" t="s">
        <v>215</v>
      </c>
      <c r="U8" s="34" t="s">
        <v>111</v>
      </c>
    </row>
    <row r="9">
      <c r="A9" s="42">
        <f t="shared" si="2"/>
        <v>9300006</v>
      </c>
      <c r="B9" s="30" t="s">
        <v>234</v>
      </c>
      <c r="C9" s="30" t="s">
        <v>211</v>
      </c>
      <c r="D9" s="34" t="s">
        <v>130</v>
      </c>
      <c r="E9" s="30">
        <v>6.0</v>
      </c>
      <c r="F9" s="36">
        <v>60000.0</v>
      </c>
      <c r="G9" s="37">
        <v>-1.0</v>
      </c>
      <c r="H9" s="38">
        <v>140101.0</v>
      </c>
      <c r="I9" s="30">
        <v>1.0</v>
      </c>
      <c r="J9" s="30">
        <v>1.0</v>
      </c>
      <c r="K9" s="30">
        <v>1.0</v>
      </c>
      <c r="L9" s="30">
        <v>-1.0</v>
      </c>
      <c r="M9" s="42">
        <f t="shared" si="3"/>
        <v>1924</v>
      </c>
      <c r="N9" s="30">
        <v>9030006.0</v>
      </c>
      <c r="O9" s="30">
        <f t="shared" ref="O9:P9" si="8">O8+0.12</f>
        <v>1.6</v>
      </c>
      <c r="P9" s="30">
        <f t="shared" si="8"/>
        <v>1.6</v>
      </c>
      <c r="Q9" s="30">
        <f t="shared" si="5"/>
        <v>3.25</v>
      </c>
      <c r="R9" s="30" t="s">
        <v>213</v>
      </c>
      <c r="S9" s="30" t="s">
        <v>214</v>
      </c>
      <c r="T9" s="44" t="s">
        <v>215</v>
      </c>
      <c r="U9" s="34" t="s">
        <v>111</v>
      </c>
    </row>
    <row r="10">
      <c r="A10" s="42">
        <f t="shared" si="2"/>
        <v>9300007</v>
      </c>
      <c r="B10" s="30" t="s">
        <v>237</v>
      </c>
      <c r="C10" s="30" t="s">
        <v>211</v>
      </c>
      <c r="D10" s="34" t="s">
        <v>130</v>
      </c>
      <c r="E10" s="30">
        <v>7.0</v>
      </c>
      <c r="F10" s="36">
        <v>60000.0</v>
      </c>
      <c r="G10" s="37">
        <v>-1.0</v>
      </c>
      <c r="H10" s="38">
        <v>140101.0</v>
      </c>
      <c r="I10" s="30">
        <v>1.0</v>
      </c>
      <c r="J10" s="30">
        <v>1.0</v>
      </c>
      <c r="K10" s="30">
        <v>1.0</v>
      </c>
      <c r="L10" s="30">
        <v>-1.0</v>
      </c>
      <c r="M10" s="42">
        <f t="shared" si="3"/>
        <v>2790</v>
      </c>
      <c r="N10" s="30">
        <v>9030007.0</v>
      </c>
      <c r="O10" s="30">
        <f t="shared" ref="O10:P10" si="9">O9+0.12</f>
        <v>1.72</v>
      </c>
      <c r="P10" s="30">
        <f t="shared" si="9"/>
        <v>1.72</v>
      </c>
      <c r="Q10" s="30">
        <f t="shared" si="5"/>
        <v>3.7</v>
      </c>
      <c r="R10" s="30" t="s">
        <v>213</v>
      </c>
      <c r="S10" s="30" t="s">
        <v>214</v>
      </c>
      <c r="T10" s="44" t="s">
        <v>215</v>
      </c>
      <c r="U10" s="34" t="s">
        <v>111</v>
      </c>
    </row>
    <row r="11">
      <c r="A11" s="42">
        <f t="shared" si="2"/>
        <v>9300008</v>
      </c>
      <c r="B11" s="30" t="s">
        <v>240</v>
      </c>
      <c r="C11" s="30" t="s">
        <v>211</v>
      </c>
      <c r="D11" s="34" t="s">
        <v>130</v>
      </c>
      <c r="E11" s="30">
        <v>8.0</v>
      </c>
      <c r="F11" s="36">
        <v>60000.0</v>
      </c>
      <c r="G11" s="37">
        <v>-1.0</v>
      </c>
      <c r="H11" s="38">
        <v>140101.0</v>
      </c>
      <c r="I11" s="30">
        <v>1.0</v>
      </c>
      <c r="J11" s="30">
        <v>1.0</v>
      </c>
      <c r="K11" s="30">
        <v>1.0</v>
      </c>
      <c r="L11" s="30">
        <v>-1.0</v>
      </c>
      <c r="M11" s="42">
        <f t="shared" si="3"/>
        <v>4046</v>
      </c>
      <c r="N11" s="30">
        <v>9030008.0</v>
      </c>
      <c r="O11" s="30">
        <f t="shared" ref="O11:P11" si="10">O10+0.12</f>
        <v>1.84</v>
      </c>
      <c r="P11" s="30">
        <f t="shared" si="10"/>
        <v>1.84</v>
      </c>
      <c r="Q11" s="30">
        <f t="shared" si="5"/>
        <v>4.15</v>
      </c>
      <c r="R11" s="30" t="s">
        <v>213</v>
      </c>
      <c r="S11" s="30" t="s">
        <v>214</v>
      </c>
      <c r="T11" s="44" t="s">
        <v>215</v>
      </c>
      <c r="U11" s="34" t="s">
        <v>111</v>
      </c>
    </row>
    <row r="12">
      <c r="A12" s="42">
        <f t="shared" si="2"/>
        <v>9300009</v>
      </c>
      <c r="B12" s="30" t="s">
        <v>243</v>
      </c>
      <c r="C12" s="30" t="s">
        <v>211</v>
      </c>
      <c r="D12" s="34" t="s">
        <v>130</v>
      </c>
      <c r="E12" s="30">
        <v>9.0</v>
      </c>
      <c r="F12" s="36">
        <v>60000.0</v>
      </c>
      <c r="G12" s="37">
        <v>-1.0</v>
      </c>
      <c r="H12" s="38">
        <v>140101.0</v>
      </c>
      <c r="I12" s="30">
        <v>1.0</v>
      </c>
      <c r="J12" s="30">
        <v>1.0</v>
      </c>
      <c r="K12" s="30">
        <v>1.0</v>
      </c>
      <c r="L12" s="30">
        <v>-1.0</v>
      </c>
      <c r="M12" s="42">
        <f t="shared" si="3"/>
        <v>5867</v>
      </c>
      <c r="N12" s="30">
        <v>9030009.0</v>
      </c>
      <c r="O12" s="30">
        <f t="shared" ref="O12:P12" si="11">O11+0.12</f>
        <v>1.96</v>
      </c>
      <c r="P12" s="30">
        <f t="shared" si="11"/>
        <v>1.96</v>
      </c>
      <c r="Q12" s="30">
        <f t="shared" si="5"/>
        <v>4.6</v>
      </c>
      <c r="R12" s="30" t="s">
        <v>213</v>
      </c>
      <c r="S12" s="30" t="s">
        <v>214</v>
      </c>
      <c r="T12" s="44" t="s">
        <v>215</v>
      </c>
      <c r="U12" s="34" t="s">
        <v>111</v>
      </c>
    </row>
    <row r="13">
      <c r="A13" s="42">
        <f t="shared" si="2"/>
        <v>9300010</v>
      </c>
      <c r="B13" s="30" t="s">
        <v>244</v>
      </c>
      <c r="C13" s="30" t="s">
        <v>211</v>
      </c>
      <c r="D13" s="34" t="s">
        <v>130</v>
      </c>
      <c r="E13" s="30">
        <v>10.0</v>
      </c>
      <c r="F13" s="36">
        <v>60000.0</v>
      </c>
      <c r="G13" s="37">
        <v>-1.0</v>
      </c>
      <c r="H13" s="38">
        <v>140101.0</v>
      </c>
      <c r="I13" s="30">
        <v>1.0</v>
      </c>
      <c r="J13" s="30">
        <v>1.0</v>
      </c>
      <c r="K13" s="30">
        <v>1.0</v>
      </c>
      <c r="L13" s="30">
        <v>-1.0</v>
      </c>
      <c r="M13" s="42">
        <f t="shared" si="3"/>
        <v>8507</v>
      </c>
      <c r="N13" s="30">
        <v>9030010.0</v>
      </c>
      <c r="O13" s="30">
        <f t="shared" ref="O13:P13" si="12">O12+0.12</f>
        <v>2.08</v>
      </c>
      <c r="P13" s="30">
        <f t="shared" si="12"/>
        <v>2.08</v>
      </c>
      <c r="Q13" s="30">
        <f t="shared" si="5"/>
        <v>5.05</v>
      </c>
      <c r="R13" s="30" t="s">
        <v>213</v>
      </c>
      <c r="S13" s="30" t="s">
        <v>214</v>
      </c>
      <c r="T13" s="44" t="s">
        <v>215</v>
      </c>
      <c r="U13" s="34" t="s">
        <v>111</v>
      </c>
    </row>
    <row r="14">
      <c r="A14" s="42">
        <f t="shared" si="2"/>
        <v>9300011</v>
      </c>
      <c r="B14" s="30" t="s">
        <v>246</v>
      </c>
      <c r="C14" s="30" t="s">
        <v>211</v>
      </c>
      <c r="D14" s="34" t="s">
        <v>130</v>
      </c>
      <c r="E14" s="30">
        <v>11.0</v>
      </c>
      <c r="F14" s="36">
        <v>60000.0</v>
      </c>
      <c r="G14" s="37">
        <v>-1.0</v>
      </c>
      <c r="H14" s="38">
        <v>140101.0</v>
      </c>
      <c r="I14" s="30">
        <v>1.0</v>
      </c>
      <c r="J14" s="30">
        <v>1.0</v>
      </c>
      <c r="K14" s="30">
        <v>1.0</v>
      </c>
      <c r="L14" s="30">
        <v>-1.0</v>
      </c>
      <c r="M14" s="42">
        <f t="shared" si="3"/>
        <v>12335</v>
      </c>
      <c r="N14" s="30">
        <v>9030011.0</v>
      </c>
      <c r="O14" s="30">
        <f t="shared" ref="O14:P14" si="13">O13+0.12</f>
        <v>2.2</v>
      </c>
      <c r="P14" s="30">
        <f t="shared" si="13"/>
        <v>2.2</v>
      </c>
      <c r="Q14" s="30">
        <f t="shared" si="5"/>
        <v>5.5</v>
      </c>
      <c r="R14" s="30" t="s">
        <v>213</v>
      </c>
      <c r="S14" s="30" t="s">
        <v>214</v>
      </c>
      <c r="T14" s="44" t="s">
        <v>215</v>
      </c>
      <c r="U14" s="34" t="s">
        <v>111</v>
      </c>
    </row>
    <row r="15">
      <c r="A15" s="42">
        <f t="shared" si="2"/>
        <v>9300012</v>
      </c>
      <c r="B15" s="30" t="s">
        <v>247</v>
      </c>
      <c r="C15" s="30" t="s">
        <v>211</v>
      </c>
      <c r="D15" s="34" t="s">
        <v>130</v>
      </c>
      <c r="E15" s="30">
        <v>12.0</v>
      </c>
      <c r="F15" s="36">
        <v>60000.0</v>
      </c>
      <c r="G15" s="37">
        <v>-1.0</v>
      </c>
      <c r="H15" s="38">
        <v>140101.0</v>
      </c>
      <c r="I15" s="30">
        <v>1.0</v>
      </c>
      <c r="J15" s="30">
        <v>1.0</v>
      </c>
      <c r="K15" s="30">
        <v>1.0</v>
      </c>
      <c r="L15" s="30">
        <v>-1.0</v>
      </c>
      <c r="M15" s="42">
        <f t="shared" si="3"/>
        <v>17886</v>
      </c>
      <c r="N15" s="30">
        <v>9030012.0</v>
      </c>
      <c r="O15" s="30">
        <f t="shared" ref="O15:P15" si="14">O14+0.12</f>
        <v>2.32</v>
      </c>
      <c r="P15" s="30">
        <f t="shared" si="14"/>
        <v>2.32</v>
      </c>
      <c r="Q15" s="30">
        <f t="shared" si="5"/>
        <v>5.95</v>
      </c>
      <c r="R15" s="30" t="s">
        <v>213</v>
      </c>
      <c r="S15" s="30" t="s">
        <v>214</v>
      </c>
      <c r="T15" s="44" t="s">
        <v>215</v>
      </c>
      <c r="U15" s="34" t="s">
        <v>111</v>
      </c>
    </row>
    <row r="16">
      <c r="A16" s="42">
        <f t="shared" si="2"/>
        <v>9300013</v>
      </c>
      <c r="B16" s="30" t="s">
        <v>252</v>
      </c>
      <c r="C16" s="30" t="s">
        <v>211</v>
      </c>
      <c r="D16" s="34" t="s">
        <v>130</v>
      </c>
      <c r="E16" s="30">
        <v>13.0</v>
      </c>
      <c r="F16" s="36">
        <v>60000.0</v>
      </c>
      <c r="G16" s="37">
        <v>-1.0</v>
      </c>
      <c r="H16" s="38">
        <v>140101.0</v>
      </c>
      <c r="I16" s="30">
        <v>1.0</v>
      </c>
      <c r="J16" s="30">
        <v>1.0</v>
      </c>
      <c r="K16" s="30">
        <v>1.0</v>
      </c>
      <c r="L16" s="30">
        <v>-1.0</v>
      </c>
      <c r="M16" s="42">
        <f t="shared" si="3"/>
        <v>25935</v>
      </c>
      <c r="N16" s="30">
        <v>9030013.0</v>
      </c>
      <c r="O16" s="30">
        <f t="shared" ref="O16:P16" si="15">O15+0.12</f>
        <v>2.44</v>
      </c>
      <c r="P16" s="30">
        <f t="shared" si="15"/>
        <v>2.44</v>
      </c>
      <c r="Q16" s="30">
        <f t="shared" si="5"/>
        <v>6.4</v>
      </c>
      <c r="R16" s="30" t="s">
        <v>213</v>
      </c>
      <c r="S16" s="30" t="s">
        <v>214</v>
      </c>
      <c r="T16" s="44" t="s">
        <v>215</v>
      </c>
      <c r="U16" s="34" t="s">
        <v>111</v>
      </c>
    </row>
    <row r="17">
      <c r="A17" s="42">
        <f t="shared" si="2"/>
        <v>9300014</v>
      </c>
      <c r="B17" s="30" t="s">
        <v>256</v>
      </c>
      <c r="C17" s="30" t="s">
        <v>211</v>
      </c>
      <c r="D17" s="34" t="s">
        <v>130</v>
      </c>
      <c r="E17" s="30">
        <v>14.0</v>
      </c>
      <c r="F17" s="36">
        <v>60000.0</v>
      </c>
      <c r="G17" s="37">
        <v>-1.0</v>
      </c>
      <c r="H17" s="38">
        <v>140101.0</v>
      </c>
      <c r="I17" s="30">
        <v>1.0</v>
      </c>
      <c r="J17" s="30">
        <v>1.0</v>
      </c>
      <c r="K17" s="30">
        <v>1.0</v>
      </c>
      <c r="L17" s="30">
        <v>-1.0</v>
      </c>
      <c r="M17" s="42">
        <f t="shared" si="3"/>
        <v>37606</v>
      </c>
      <c r="N17" s="30">
        <v>9030014.0</v>
      </c>
      <c r="O17" s="30">
        <f t="shared" ref="O17:P17" si="16">O16+0.12</f>
        <v>2.56</v>
      </c>
      <c r="P17" s="30">
        <f t="shared" si="16"/>
        <v>2.56</v>
      </c>
      <c r="Q17" s="30">
        <f t="shared" si="5"/>
        <v>6.85</v>
      </c>
      <c r="R17" s="30" t="s">
        <v>213</v>
      </c>
      <c r="S17" s="30" t="s">
        <v>214</v>
      </c>
      <c r="T17" s="44" t="s">
        <v>215</v>
      </c>
      <c r="U17" s="34" t="s">
        <v>111</v>
      </c>
    </row>
    <row r="18">
      <c r="A18" s="42">
        <f t="shared" si="2"/>
        <v>9300015</v>
      </c>
      <c r="B18" s="30" t="s">
        <v>259</v>
      </c>
      <c r="C18" s="30" t="s">
        <v>211</v>
      </c>
      <c r="D18" s="34" t="s">
        <v>130</v>
      </c>
      <c r="E18" s="30">
        <v>15.0</v>
      </c>
      <c r="F18" s="36">
        <v>60000.0</v>
      </c>
      <c r="G18" s="37">
        <v>-1.0</v>
      </c>
      <c r="H18" s="38">
        <v>140101.0</v>
      </c>
      <c r="I18" s="30">
        <v>1.0</v>
      </c>
      <c r="J18" s="30">
        <v>1.0</v>
      </c>
      <c r="K18" s="30">
        <v>1.0</v>
      </c>
      <c r="L18" s="30">
        <v>-1.0</v>
      </c>
      <c r="M18" s="42">
        <f t="shared" si="3"/>
        <v>54529</v>
      </c>
      <c r="N18" s="30">
        <v>9030015.0</v>
      </c>
      <c r="O18" s="30">
        <f t="shared" ref="O18:P18" si="17">O17+0.12</f>
        <v>2.68</v>
      </c>
      <c r="P18" s="30">
        <f t="shared" si="17"/>
        <v>2.68</v>
      </c>
      <c r="Q18" s="30">
        <f t="shared" si="5"/>
        <v>7.3</v>
      </c>
      <c r="R18" s="30" t="s">
        <v>213</v>
      </c>
      <c r="S18" s="30" t="s">
        <v>214</v>
      </c>
      <c r="T18" s="44" t="s">
        <v>215</v>
      </c>
      <c r="U18" s="34" t="s">
        <v>111</v>
      </c>
    </row>
    <row r="19">
      <c r="A19" s="42">
        <f t="shared" si="2"/>
        <v>9300016</v>
      </c>
      <c r="B19" s="30" t="s">
        <v>263</v>
      </c>
      <c r="C19" s="30" t="s">
        <v>211</v>
      </c>
      <c r="D19" s="34" t="s">
        <v>130</v>
      </c>
      <c r="E19" s="30">
        <v>16.0</v>
      </c>
      <c r="F19" s="36">
        <v>60000.0</v>
      </c>
      <c r="G19" s="37">
        <v>-1.0</v>
      </c>
      <c r="H19" s="38">
        <v>140101.0</v>
      </c>
      <c r="I19" s="30">
        <v>1.0</v>
      </c>
      <c r="J19" s="30">
        <v>1.0</v>
      </c>
      <c r="K19" s="30">
        <v>1.0</v>
      </c>
      <c r="L19" s="30">
        <v>-1.0</v>
      </c>
      <c r="M19" s="42">
        <f t="shared" si="3"/>
        <v>79067</v>
      </c>
      <c r="N19" s="30">
        <v>9030016.0</v>
      </c>
      <c r="O19" s="30">
        <f t="shared" ref="O19:P19" si="18">O18+0.12</f>
        <v>2.8</v>
      </c>
      <c r="P19" s="30">
        <f t="shared" si="18"/>
        <v>2.8</v>
      </c>
      <c r="Q19" s="30">
        <f t="shared" si="5"/>
        <v>7.75</v>
      </c>
      <c r="R19" s="30" t="s">
        <v>213</v>
      </c>
      <c r="S19" s="30" t="s">
        <v>214</v>
      </c>
      <c r="T19" s="44" t="s">
        <v>215</v>
      </c>
      <c r="U19" s="34" t="s">
        <v>111</v>
      </c>
    </row>
    <row r="20">
      <c r="A20" s="42">
        <f t="shared" si="2"/>
        <v>9300017</v>
      </c>
      <c r="B20" s="30" t="s">
        <v>267</v>
      </c>
      <c r="C20" s="30" t="s">
        <v>211</v>
      </c>
      <c r="D20" s="34" t="s">
        <v>130</v>
      </c>
      <c r="E20" s="30">
        <v>17.0</v>
      </c>
      <c r="F20" s="36">
        <v>60000.0</v>
      </c>
      <c r="G20" s="37">
        <v>-1.0</v>
      </c>
      <c r="H20" s="38">
        <v>140101.0</v>
      </c>
      <c r="I20" s="30">
        <v>1.0</v>
      </c>
      <c r="J20" s="30">
        <v>1.0</v>
      </c>
      <c r="K20" s="30">
        <v>1.0</v>
      </c>
      <c r="L20" s="30">
        <v>-1.0</v>
      </c>
      <c r="M20" s="42">
        <f t="shared" si="3"/>
        <v>114647</v>
      </c>
      <c r="N20" s="30">
        <v>9030017.0</v>
      </c>
      <c r="O20" s="30">
        <f t="shared" ref="O20:P20" si="19">O19+0.12</f>
        <v>2.92</v>
      </c>
      <c r="P20" s="30">
        <f t="shared" si="19"/>
        <v>2.92</v>
      </c>
      <c r="Q20" s="30">
        <f t="shared" si="5"/>
        <v>8.2</v>
      </c>
      <c r="R20" s="30" t="s">
        <v>213</v>
      </c>
      <c r="S20" s="30" t="s">
        <v>214</v>
      </c>
      <c r="T20" s="44" t="s">
        <v>215</v>
      </c>
      <c r="U20" s="34" t="s">
        <v>111</v>
      </c>
    </row>
    <row r="21">
      <c r="A21" s="42">
        <f t="shared" si="2"/>
        <v>9300018</v>
      </c>
      <c r="B21" s="30" t="s">
        <v>271</v>
      </c>
      <c r="C21" s="30" t="s">
        <v>211</v>
      </c>
      <c r="D21" s="34" t="s">
        <v>130</v>
      </c>
      <c r="E21" s="30">
        <v>18.0</v>
      </c>
      <c r="F21" s="36">
        <v>60000.0</v>
      </c>
      <c r="G21" s="37">
        <v>-1.0</v>
      </c>
      <c r="H21" s="38">
        <v>140101.0</v>
      </c>
      <c r="I21" s="30">
        <v>1.0</v>
      </c>
      <c r="J21" s="30">
        <v>1.0</v>
      </c>
      <c r="K21" s="30">
        <v>1.0</v>
      </c>
      <c r="L21" s="30">
        <v>-1.0</v>
      </c>
      <c r="M21" s="42">
        <f t="shared" si="3"/>
        <v>166238</v>
      </c>
      <c r="N21" s="30">
        <v>9030018.0</v>
      </c>
      <c r="O21" s="30">
        <f t="shared" ref="O21:P21" si="20">O20+0.12</f>
        <v>3.04</v>
      </c>
      <c r="P21" s="30">
        <f t="shared" si="20"/>
        <v>3.04</v>
      </c>
      <c r="Q21" s="30">
        <f t="shared" si="5"/>
        <v>8.65</v>
      </c>
      <c r="R21" s="30" t="s">
        <v>213</v>
      </c>
      <c r="S21" s="30" t="s">
        <v>214</v>
      </c>
      <c r="T21" s="44" t="s">
        <v>215</v>
      </c>
      <c r="U21" s="34" t="s">
        <v>111</v>
      </c>
    </row>
    <row r="22">
      <c r="A22" s="42">
        <f t="shared" si="2"/>
        <v>9300019</v>
      </c>
      <c r="B22" s="30" t="s">
        <v>274</v>
      </c>
      <c r="C22" s="30" t="s">
        <v>211</v>
      </c>
      <c r="D22" s="34" t="s">
        <v>130</v>
      </c>
      <c r="E22" s="30">
        <v>19.0</v>
      </c>
      <c r="F22" s="36">
        <v>60000.0</v>
      </c>
      <c r="G22" s="37">
        <v>-1.0</v>
      </c>
      <c r="H22" s="38">
        <v>140101.0</v>
      </c>
      <c r="I22" s="30">
        <v>1.0</v>
      </c>
      <c r="J22" s="30">
        <v>1.0</v>
      </c>
      <c r="K22" s="30">
        <v>1.0</v>
      </c>
      <c r="L22" s="30">
        <v>-1.0</v>
      </c>
      <c r="M22" s="42">
        <f t="shared" si="3"/>
        <v>241045</v>
      </c>
      <c r="N22" s="30">
        <v>9030019.0</v>
      </c>
      <c r="O22" s="30">
        <f t="shared" ref="O22:P22" si="21">O21+0.12</f>
        <v>3.16</v>
      </c>
      <c r="P22" s="30">
        <f t="shared" si="21"/>
        <v>3.16</v>
      </c>
      <c r="Q22" s="30">
        <f t="shared" si="5"/>
        <v>9.1</v>
      </c>
      <c r="R22" s="30" t="s">
        <v>213</v>
      </c>
      <c r="S22" s="30" t="s">
        <v>214</v>
      </c>
      <c r="T22" s="44" t="s">
        <v>215</v>
      </c>
      <c r="U22" s="34" t="s">
        <v>111</v>
      </c>
    </row>
    <row r="23">
      <c r="A23" s="42">
        <f t="shared" si="2"/>
        <v>9300020</v>
      </c>
      <c r="B23" s="30" t="s">
        <v>278</v>
      </c>
      <c r="C23" s="30" t="s">
        <v>211</v>
      </c>
      <c r="D23" s="34" t="s">
        <v>130</v>
      </c>
      <c r="E23" s="30">
        <v>20.0</v>
      </c>
      <c r="F23" s="36">
        <v>60000.0</v>
      </c>
      <c r="G23" s="37">
        <v>-1.0</v>
      </c>
      <c r="H23" s="38">
        <v>140101.0</v>
      </c>
      <c r="I23" s="30">
        <v>1.0</v>
      </c>
      <c r="J23" s="30">
        <v>1.0</v>
      </c>
      <c r="K23" s="30">
        <v>1.0</v>
      </c>
      <c r="L23" s="30">
        <v>-1.0</v>
      </c>
      <c r="M23" s="42">
        <f t="shared" si="3"/>
        <v>349515</v>
      </c>
      <c r="N23" s="30">
        <v>9030020.0</v>
      </c>
      <c r="O23" s="30">
        <f t="shared" ref="O23:P23" si="22">O22+0.12</f>
        <v>3.28</v>
      </c>
      <c r="P23" s="30">
        <f t="shared" si="22"/>
        <v>3.28</v>
      </c>
      <c r="Q23" s="30">
        <f t="shared" si="5"/>
        <v>9.55</v>
      </c>
      <c r="R23" s="30" t="s">
        <v>213</v>
      </c>
      <c r="S23" s="30" t="s">
        <v>214</v>
      </c>
      <c r="T23" s="44" t="s">
        <v>215</v>
      </c>
      <c r="U23" s="34" t="s">
        <v>111</v>
      </c>
    </row>
  </sheetData>
  <dataValidations>
    <dataValidation type="list" allowBlank="1" showErrorMessage="1" sqref="D4:D23">
      <formula1>"Gold,EXP,Trait,Relic,Oopats,Equipment"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22.5"/>
    <col customWidth="1" min="3" max="3" width="18.88"/>
    <col customWidth="1" min="4" max="4" width="20.88"/>
    <col customWidth="1" min="5" max="5" width="21.25"/>
    <col customWidth="1" min="6" max="6" width="21.75"/>
    <col customWidth="1" min="7" max="7" width="23.5"/>
    <col customWidth="1" min="8" max="8" width="21.38"/>
    <col customWidth="1" min="9" max="9" width="26.13"/>
    <col customWidth="1" min="10" max="10" width="25.38"/>
  </cols>
  <sheetData>
    <row r="1" ht="108.75" customHeight="1">
      <c r="A1" s="1" t="s">
        <v>232</v>
      </c>
      <c r="B1" s="3" t="s">
        <v>3</v>
      </c>
      <c r="C1" s="3" t="s">
        <v>6</v>
      </c>
      <c r="D1" s="1" t="s">
        <v>9</v>
      </c>
      <c r="E1" s="1" t="s">
        <v>14</v>
      </c>
      <c r="F1" s="1" t="s">
        <v>16</v>
      </c>
      <c r="G1" s="1" t="s">
        <v>18</v>
      </c>
      <c r="H1" s="1" t="s">
        <v>22</v>
      </c>
      <c r="I1" s="1" t="s">
        <v>24</v>
      </c>
      <c r="J1" s="1" t="s">
        <v>28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4" t="s">
        <v>46</v>
      </c>
      <c r="B2" s="14" t="s">
        <v>47</v>
      </c>
      <c r="C2" s="13" t="s">
        <v>55</v>
      </c>
      <c r="D2" s="13" t="s">
        <v>57</v>
      </c>
      <c r="E2" s="13" t="s">
        <v>60</v>
      </c>
      <c r="F2" s="13" t="s">
        <v>62</v>
      </c>
      <c r="G2" s="13" t="s">
        <v>65</v>
      </c>
      <c r="H2" s="13" t="s">
        <v>68</v>
      </c>
      <c r="I2" s="13" t="s">
        <v>72</v>
      </c>
      <c r="J2" s="13" t="s">
        <v>74</v>
      </c>
    </row>
    <row r="3">
      <c r="A3" s="25" t="s">
        <v>88</v>
      </c>
      <c r="B3" s="25" t="s">
        <v>89</v>
      </c>
      <c r="C3" s="25" t="s">
        <v>89</v>
      </c>
      <c r="D3" s="25" t="s">
        <v>93</v>
      </c>
      <c r="E3" s="25" t="s">
        <v>88</v>
      </c>
      <c r="F3" s="25" t="s">
        <v>93</v>
      </c>
      <c r="G3" s="25" t="s">
        <v>88</v>
      </c>
      <c r="H3" s="25" t="s">
        <v>96</v>
      </c>
      <c r="I3" s="25" t="s">
        <v>93</v>
      </c>
      <c r="J3" s="25" t="s">
        <v>88</v>
      </c>
    </row>
    <row r="4">
      <c r="A4" s="30">
        <v>9030001.0</v>
      </c>
      <c r="B4" s="30" t="s">
        <v>238</v>
      </c>
      <c r="C4" s="30" t="s">
        <v>239</v>
      </c>
      <c r="D4" s="31" t="s">
        <v>242</v>
      </c>
      <c r="E4" s="30">
        <v>2000.0</v>
      </c>
      <c r="F4" s="34" t="s">
        <v>117</v>
      </c>
      <c r="G4" s="30">
        <v>0.0</v>
      </c>
      <c r="H4" s="30" t="b">
        <v>1</v>
      </c>
      <c r="I4" s="31" t="s">
        <v>242</v>
      </c>
      <c r="J4" s="30">
        <v>2000.0</v>
      </c>
    </row>
    <row r="5">
      <c r="A5" s="30">
        <v>9030002.0</v>
      </c>
      <c r="B5" s="30" t="s">
        <v>245</v>
      </c>
      <c r="C5" s="30" t="s">
        <v>239</v>
      </c>
      <c r="D5" s="31" t="s">
        <v>242</v>
      </c>
      <c r="E5" s="42">
        <f t="shared" ref="E5:E23" si="1">Round(E4*1.13,0)</f>
        <v>2260</v>
      </c>
      <c r="F5" s="34" t="s">
        <v>117</v>
      </c>
      <c r="G5" s="30">
        <v>0.0</v>
      </c>
      <c r="H5" s="30" t="b">
        <v>1</v>
      </c>
      <c r="I5" s="31" t="s">
        <v>242</v>
      </c>
      <c r="J5" s="30">
        <v>2000.0</v>
      </c>
    </row>
    <row r="6">
      <c r="A6" s="30">
        <v>9030003.0</v>
      </c>
      <c r="B6" s="30" t="s">
        <v>248</v>
      </c>
      <c r="C6" s="30" t="s">
        <v>239</v>
      </c>
      <c r="D6" s="31" t="s">
        <v>242</v>
      </c>
      <c r="E6" s="42">
        <f t="shared" si="1"/>
        <v>2554</v>
      </c>
      <c r="F6" s="34" t="s">
        <v>117</v>
      </c>
      <c r="G6" s="30">
        <v>0.0</v>
      </c>
      <c r="H6" s="30" t="b">
        <v>1</v>
      </c>
      <c r="I6" s="31" t="s">
        <v>242</v>
      </c>
      <c r="J6" s="30">
        <v>2000.0</v>
      </c>
    </row>
    <row r="7">
      <c r="A7" s="30">
        <v>9030004.0</v>
      </c>
      <c r="B7" s="30" t="s">
        <v>251</v>
      </c>
      <c r="C7" s="30" t="s">
        <v>239</v>
      </c>
      <c r="D7" s="31" t="s">
        <v>242</v>
      </c>
      <c r="E7" s="42">
        <f t="shared" si="1"/>
        <v>2886</v>
      </c>
      <c r="F7" s="34" t="s">
        <v>117</v>
      </c>
      <c r="G7" s="30">
        <v>0.0</v>
      </c>
      <c r="H7" s="30" t="b">
        <v>1</v>
      </c>
      <c r="I7" s="31" t="s">
        <v>242</v>
      </c>
      <c r="J7" s="30">
        <v>2000.0</v>
      </c>
    </row>
    <row r="8">
      <c r="A8" s="30">
        <v>9030005.0</v>
      </c>
      <c r="B8" s="30" t="s">
        <v>253</v>
      </c>
      <c r="C8" s="30" t="s">
        <v>239</v>
      </c>
      <c r="D8" s="31" t="s">
        <v>242</v>
      </c>
      <c r="E8" s="42">
        <f t="shared" si="1"/>
        <v>3261</v>
      </c>
      <c r="F8" s="34" t="s">
        <v>117</v>
      </c>
      <c r="G8" s="30">
        <v>0.0</v>
      </c>
      <c r="H8" s="30" t="b">
        <v>1</v>
      </c>
      <c r="I8" s="34" t="s">
        <v>160</v>
      </c>
      <c r="J8" s="30">
        <v>100.0</v>
      </c>
    </row>
    <row r="9">
      <c r="A9" s="30">
        <v>9030006.0</v>
      </c>
      <c r="B9" s="30" t="s">
        <v>257</v>
      </c>
      <c r="C9" s="30" t="s">
        <v>239</v>
      </c>
      <c r="D9" s="31" t="s">
        <v>242</v>
      </c>
      <c r="E9" s="42">
        <f t="shared" si="1"/>
        <v>3685</v>
      </c>
      <c r="F9" s="34" t="s">
        <v>117</v>
      </c>
      <c r="G9" s="30">
        <v>0.0</v>
      </c>
      <c r="H9" s="30" t="b">
        <v>1</v>
      </c>
      <c r="I9" s="31" t="s">
        <v>242</v>
      </c>
      <c r="J9" s="30">
        <v>2000.0</v>
      </c>
    </row>
    <row r="10">
      <c r="A10" s="30">
        <v>9030007.0</v>
      </c>
      <c r="B10" s="30" t="s">
        <v>260</v>
      </c>
      <c r="C10" s="30" t="s">
        <v>239</v>
      </c>
      <c r="D10" s="31" t="s">
        <v>242</v>
      </c>
      <c r="E10" s="42">
        <f t="shared" si="1"/>
        <v>4164</v>
      </c>
      <c r="F10" s="34" t="s">
        <v>117</v>
      </c>
      <c r="G10" s="30">
        <v>0.0</v>
      </c>
      <c r="H10" s="30" t="b">
        <v>1</v>
      </c>
      <c r="I10" s="31" t="s">
        <v>242</v>
      </c>
      <c r="J10" s="30">
        <v>2000.0</v>
      </c>
    </row>
    <row r="11">
      <c r="A11" s="30">
        <v>9030008.0</v>
      </c>
      <c r="B11" s="30" t="s">
        <v>262</v>
      </c>
      <c r="C11" s="30" t="s">
        <v>239</v>
      </c>
      <c r="D11" s="31" t="s">
        <v>242</v>
      </c>
      <c r="E11" s="42">
        <f t="shared" si="1"/>
        <v>4705</v>
      </c>
      <c r="F11" s="34" t="s">
        <v>117</v>
      </c>
      <c r="G11" s="30">
        <v>0.0</v>
      </c>
      <c r="H11" s="30" t="b">
        <v>1</v>
      </c>
      <c r="I11" s="31" t="s">
        <v>242</v>
      </c>
      <c r="J11" s="30">
        <v>2000.0</v>
      </c>
    </row>
    <row r="12">
      <c r="A12" s="30">
        <v>9030009.0</v>
      </c>
      <c r="B12" s="30" t="s">
        <v>264</v>
      </c>
      <c r="C12" s="30" t="s">
        <v>239</v>
      </c>
      <c r="D12" s="31" t="s">
        <v>242</v>
      </c>
      <c r="E12" s="42">
        <f t="shared" si="1"/>
        <v>5317</v>
      </c>
      <c r="F12" s="34" t="s">
        <v>117</v>
      </c>
      <c r="G12" s="30">
        <v>0.0</v>
      </c>
      <c r="H12" s="30" t="b">
        <v>1</v>
      </c>
      <c r="I12" s="31" t="s">
        <v>242</v>
      </c>
      <c r="J12" s="30">
        <v>2000.0</v>
      </c>
    </row>
    <row r="13">
      <c r="A13" s="30">
        <v>9030010.0</v>
      </c>
      <c r="B13" s="30" t="s">
        <v>266</v>
      </c>
      <c r="C13" s="30" t="s">
        <v>239</v>
      </c>
      <c r="D13" s="31" t="s">
        <v>242</v>
      </c>
      <c r="E13" s="42">
        <f t="shared" si="1"/>
        <v>6008</v>
      </c>
      <c r="F13" s="34" t="s">
        <v>117</v>
      </c>
      <c r="G13" s="30">
        <v>0.0</v>
      </c>
      <c r="H13" s="30" t="b">
        <v>1</v>
      </c>
      <c r="I13" s="34" t="s">
        <v>160</v>
      </c>
      <c r="J13" s="30">
        <v>100.0</v>
      </c>
    </row>
    <row r="14">
      <c r="A14" s="30">
        <v>9030011.0</v>
      </c>
      <c r="B14" s="30" t="s">
        <v>269</v>
      </c>
      <c r="C14" s="30" t="s">
        <v>239</v>
      </c>
      <c r="D14" s="31" t="s">
        <v>242</v>
      </c>
      <c r="E14" s="42">
        <f t="shared" si="1"/>
        <v>6789</v>
      </c>
      <c r="F14" s="34" t="s">
        <v>117</v>
      </c>
      <c r="G14" s="30">
        <v>0.0</v>
      </c>
      <c r="H14" s="30" t="b">
        <v>1</v>
      </c>
      <c r="I14" s="31" t="s">
        <v>242</v>
      </c>
      <c r="J14" s="30">
        <v>2000.0</v>
      </c>
    </row>
    <row r="15">
      <c r="A15" s="30">
        <v>9030012.0</v>
      </c>
      <c r="B15" s="30" t="s">
        <v>270</v>
      </c>
      <c r="C15" s="30" t="s">
        <v>239</v>
      </c>
      <c r="D15" s="31" t="s">
        <v>242</v>
      </c>
      <c r="E15" s="42">
        <f t="shared" si="1"/>
        <v>7672</v>
      </c>
      <c r="F15" s="34" t="s">
        <v>117</v>
      </c>
      <c r="G15" s="30">
        <v>0.0</v>
      </c>
      <c r="H15" s="30" t="b">
        <v>1</v>
      </c>
      <c r="I15" s="31" t="s">
        <v>242</v>
      </c>
      <c r="J15" s="30">
        <v>2000.0</v>
      </c>
    </row>
    <row r="16">
      <c r="A16" s="30">
        <v>9030013.0</v>
      </c>
      <c r="B16" s="30" t="s">
        <v>273</v>
      </c>
      <c r="C16" s="30" t="s">
        <v>239</v>
      </c>
      <c r="D16" s="31" t="s">
        <v>242</v>
      </c>
      <c r="E16" s="42">
        <f t="shared" si="1"/>
        <v>8669</v>
      </c>
      <c r="F16" s="34" t="s">
        <v>117</v>
      </c>
      <c r="G16" s="30">
        <v>0.0</v>
      </c>
      <c r="H16" s="30" t="b">
        <v>1</v>
      </c>
      <c r="I16" s="31" t="s">
        <v>242</v>
      </c>
      <c r="J16" s="30">
        <v>2000.0</v>
      </c>
    </row>
    <row r="17">
      <c r="A17" s="30">
        <v>9030014.0</v>
      </c>
      <c r="B17" s="30" t="s">
        <v>275</v>
      </c>
      <c r="C17" s="30" t="s">
        <v>239</v>
      </c>
      <c r="D17" s="31" t="s">
        <v>242</v>
      </c>
      <c r="E17" s="42">
        <f t="shared" si="1"/>
        <v>9796</v>
      </c>
      <c r="F17" s="34" t="s">
        <v>117</v>
      </c>
      <c r="G17" s="30">
        <v>0.0</v>
      </c>
      <c r="H17" s="30" t="b">
        <v>1</v>
      </c>
      <c r="I17" s="31" t="s">
        <v>242</v>
      </c>
      <c r="J17" s="30">
        <v>2000.0</v>
      </c>
    </row>
    <row r="18">
      <c r="A18" s="30">
        <v>9030015.0</v>
      </c>
      <c r="B18" s="30" t="s">
        <v>277</v>
      </c>
      <c r="C18" s="30" t="s">
        <v>239</v>
      </c>
      <c r="D18" s="31" t="s">
        <v>242</v>
      </c>
      <c r="E18" s="42">
        <f t="shared" si="1"/>
        <v>11069</v>
      </c>
      <c r="F18" s="34" t="s">
        <v>117</v>
      </c>
      <c r="G18" s="30">
        <v>0.0</v>
      </c>
      <c r="H18" s="30" t="b">
        <v>1</v>
      </c>
      <c r="I18" s="34" t="s">
        <v>160</v>
      </c>
      <c r="J18" s="30">
        <v>100.0</v>
      </c>
    </row>
    <row r="19">
      <c r="A19" s="30">
        <v>9030016.0</v>
      </c>
      <c r="B19" s="30" t="s">
        <v>280</v>
      </c>
      <c r="C19" s="30" t="s">
        <v>239</v>
      </c>
      <c r="D19" s="31" t="s">
        <v>242</v>
      </c>
      <c r="E19" s="42">
        <f t="shared" si="1"/>
        <v>12508</v>
      </c>
      <c r="F19" s="34" t="s">
        <v>117</v>
      </c>
      <c r="G19" s="30">
        <v>0.0</v>
      </c>
      <c r="H19" s="30" t="b">
        <v>1</v>
      </c>
      <c r="I19" s="31" t="s">
        <v>242</v>
      </c>
      <c r="J19" s="30">
        <v>2000.0</v>
      </c>
    </row>
    <row r="20">
      <c r="A20" s="30">
        <v>9030017.0</v>
      </c>
      <c r="B20" s="30" t="s">
        <v>281</v>
      </c>
      <c r="C20" s="30" t="s">
        <v>239</v>
      </c>
      <c r="D20" s="31" t="s">
        <v>242</v>
      </c>
      <c r="E20" s="42">
        <f t="shared" si="1"/>
        <v>14134</v>
      </c>
      <c r="F20" s="34" t="s">
        <v>117</v>
      </c>
      <c r="G20" s="30">
        <v>0.0</v>
      </c>
      <c r="H20" s="30" t="b">
        <v>1</v>
      </c>
      <c r="I20" s="31" t="s">
        <v>242</v>
      </c>
      <c r="J20" s="30">
        <v>2000.0</v>
      </c>
    </row>
    <row r="21">
      <c r="A21" s="30">
        <v>9030018.0</v>
      </c>
      <c r="B21" s="30" t="s">
        <v>283</v>
      </c>
      <c r="C21" s="30" t="s">
        <v>239</v>
      </c>
      <c r="D21" s="31" t="s">
        <v>242</v>
      </c>
      <c r="E21" s="42">
        <f t="shared" si="1"/>
        <v>15971</v>
      </c>
      <c r="F21" s="34" t="s">
        <v>117</v>
      </c>
      <c r="G21" s="30">
        <v>0.0</v>
      </c>
      <c r="H21" s="30" t="b">
        <v>1</v>
      </c>
      <c r="I21" s="31" t="s">
        <v>242</v>
      </c>
      <c r="J21" s="30">
        <v>2000.0</v>
      </c>
    </row>
    <row r="22">
      <c r="A22" s="30">
        <v>9030019.0</v>
      </c>
      <c r="B22" s="30" t="s">
        <v>284</v>
      </c>
      <c r="C22" s="30" t="s">
        <v>239</v>
      </c>
      <c r="D22" s="31" t="s">
        <v>242</v>
      </c>
      <c r="E22" s="42">
        <f t="shared" si="1"/>
        <v>18047</v>
      </c>
      <c r="F22" s="34" t="s">
        <v>117</v>
      </c>
      <c r="G22" s="30">
        <v>0.0</v>
      </c>
      <c r="H22" s="30" t="b">
        <v>1</v>
      </c>
      <c r="I22" s="31" t="s">
        <v>242</v>
      </c>
      <c r="J22" s="30">
        <v>2000.0</v>
      </c>
    </row>
    <row r="23">
      <c r="A23" s="30">
        <v>9030020.0</v>
      </c>
      <c r="B23" s="30" t="s">
        <v>287</v>
      </c>
      <c r="C23" s="30" t="s">
        <v>239</v>
      </c>
      <c r="D23" s="31" t="s">
        <v>242</v>
      </c>
      <c r="E23" s="42">
        <f t="shared" si="1"/>
        <v>20393</v>
      </c>
      <c r="F23" s="34" t="s">
        <v>117</v>
      </c>
      <c r="G23" s="30">
        <v>0.0</v>
      </c>
      <c r="H23" s="30" t="b">
        <v>1</v>
      </c>
      <c r="I23" s="34" t="s">
        <v>160</v>
      </c>
      <c r="J23" s="30">
        <v>100.0</v>
      </c>
    </row>
  </sheetData>
  <dataValidations>
    <dataValidation type="list" allowBlank="1" showErrorMessage="1" sqref="H4:H23">
      <formula1>"FALSE,TRUE"</formula1>
    </dataValidation>
    <dataValidation type="list" allowBlank="1" showErrorMessage="1" sqref="D4:D23 I4:I23">
      <formula1>"None,AncientRelic_Cost,Coin_Artifact,Coin_Character,Coin_Pet,Dia,RealCash,Exp,Gold,Guild_Coin_1,Guild_Coin_2,Guild_Coin_3,Guild_Cost_A,Guild_Ticket_1,Guild_Ticket_2,HolyRelic_Cost,Mertarial_equipment,Mertarial_monsterProduct,Mertarial_Plant,Mertarial_Requ"&amp;"est,Mertarial_specialhero,Ooparts_Cost,Relic_Cost,Ticket_Artifact,Ticket_Character,Ticket_Costum,Ticket_D1_gold,Ticket_D2_exp,Ticket_D3_artifact,Ticket_D4_equipment,Ticket_D5_trait,Trait_Cost,World_Coin,World_Ticket_1,World_Ticket_2,EqLevelUp_M,Ticket_Cha"&amp;"racter_P,Ticket_Character_N,Ticket_Character_UR,Ticket_Artifact_N,Ticket_Artifact_P,Coin_SD_Agency,Coin_SD_Garden,Coin_SD_Dungen,Mertarial_Request,Mertarial_Request2,Mertarial_Request3,Mertarial_Request4,ShopMileage,AD,Payment"</formula1>
    </dataValidation>
    <dataValidation type="list" allowBlank="1" showErrorMessage="1" sqref="F4:F23">
      <formula1>"None,AncientRelic_Cost,Coin_Artifact,Coin_Character,Coin_Pet,Dia,RealCash,Exp,Gold,Guild_Coin_1,Guild_Coin_2,Guild_Coin_3,Guild_Cost_A,Guild_Ticket_1,Guild_Ticket_2,HolyRelic_Cost,Mertarial_equipment,Mertarial_monsterProduct,Mertarial_Plant,Mertarial_Requ"&amp;"est,Mertarial_specialhero,Ooparts_Cost,Relic_Cost,Ticket_Artifact,Ticket_Character,Ticket_Costum,Ticket_D1_gold,Ticket_D2_exp,Ticket_D3_artifact,Ticket_D4_equipment,Ticket_D5_trait,Trait_Cost,World_Coin,World_Ticket_1,World_Ticket_2,EqLevelUp_M,Ticket_Cha"&amp;"racter_P,Ticket_Character_N,Ticket_Character_UR,Ticket_Artifact_N,Ticket_Artifact_P,Coin_SD_Agency,Coin_SD_Garden,Coin_SD_Dungen,Mertarial_Request,Mertarial_Request2,Mertarial_Request3,Mertarial_Request4,ShopMileage,AD,ArtifactLevelUp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22.0"/>
    <col customWidth="1" min="3" max="3" width="19.38"/>
    <col customWidth="1" min="4" max="4" width="18.5"/>
    <col customWidth="1" min="5" max="5" width="16.88"/>
    <col customWidth="1" min="6" max="6" width="17.38"/>
    <col customWidth="1" min="9" max="9" width="18.88"/>
    <col customWidth="1" min="10" max="10" width="19.5"/>
    <col customWidth="1" min="11" max="11" width="18.88"/>
    <col customWidth="1" min="12" max="12" width="17.38"/>
    <col customWidth="1" min="13" max="13" width="17.13"/>
    <col customWidth="1" min="14" max="14" width="16.75"/>
    <col customWidth="1" min="15" max="15" width="20.88"/>
    <col customWidth="1" min="16" max="16" width="19.38"/>
    <col customWidth="1" min="17" max="19" width="20.38"/>
    <col customWidth="1" min="20" max="20" width="76.13"/>
    <col customWidth="1" min="21" max="21" width="50.63"/>
  </cols>
  <sheetData>
    <row r="1" ht="100.5" customHeight="1">
      <c r="A1" s="1" t="s">
        <v>241</v>
      </c>
      <c r="B1" s="3" t="s">
        <v>3</v>
      </c>
      <c r="C1" s="1" t="s">
        <v>6</v>
      </c>
      <c r="D1" s="1" t="s">
        <v>10</v>
      </c>
      <c r="E1" s="1" t="s">
        <v>12</v>
      </c>
      <c r="F1" s="1" t="s">
        <v>17</v>
      </c>
      <c r="G1" s="3" t="s">
        <v>19</v>
      </c>
      <c r="H1" s="5" t="s">
        <v>21</v>
      </c>
      <c r="I1" s="3" t="s">
        <v>26</v>
      </c>
      <c r="J1" s="3" t="s">
        <v>29</v>
      </c>
      <c r="K1" s="3" t="s">
        <v>31</v>
      </c>
      <c r="L1" s="1" t="s">
        <v>34</v>
      </c>
      <c r="M1" s="1" t="s">
        <v>36</v>
      </c>
      <c r="N1" s="1" t="s">
        <v>38</v>
      </c>
      <c r="O1" s="1" t="s">
        <v>40</v>
      </c>
      <c r="P1" s="1" t="s">
        <v>41</v>
      </c>
      <c r="Q1" s="1" t="s">
        <v>42</v>
      </c>
      <c r="R1" s="1" t="s">
        <v>35</v>
      </c>
      <c r="S1" s="1" t="s">
        <v>43</v>
      </c>
      <c r="T1" s="9" t="s">
        <v>44</v>
      </c>
      <c r="U1" s="1" t="s">
        <v>45</v>
      </c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</row>
    <row r="2">
      <c r="A2" s="14" t="s">
        <v>46</v>
      </c>
      <c r="B2" s="14" t="s">
        <v>47</v>
      </c>
      <c r="C2" s="14" t="s">
        <v>59</v>
      </c>
      <c r="D2" s="16" t="s">
        <v>49</v>
      </c>
      <c r="E2" s="13" t="s">
        <v>64</v>
      </c>
      <c r="F2" s="13" t="s">
        <v>67</v>
      </c>
      <c r="G2" s="14" t="s">
        <v>69</v>
      </c>
      <c r="H2" s="17" t="s">
        <v>71</v>
      </c>
      <c r="I2" s="14" t="s">
        <v>76</v>
      </c>
      <c r="J2" s="14" t="s">
        <v>77</v>
      </c>
      <c r="K2" s="14" t="s">
        <v>78</v>
      </c>
      <c r="L2" s="14" t="s">
        <v>79</v>
      </c>
      <c r="M2" s="13" t="s">
        <v>80</v>
      </c>
      <c r="N2" s="12" t="s">
        <v>81</v>
      </c>
      <c r="O2" s="14" t="s">
        <v>82</v>
      </c>
      <c r="P2" s="14" t="s">
        <v>83</v>
      </c>
      <c r="Q2" s="14" t="s">
        <v>84</v>
      </c>
      <c r="R2" s="13" t="s">
        <v>70</v>
      </c>
      <c r="S2" s="13" t="s">
        <v>85</v>
      </c>
      <c r="T2" s="17" t="s">
        <v>86</v>
      </c>
      <c r="U2" s="14" t="s">
        <v>87</v>
      </c>
    </row>
    <row r="3">
      <c r="A3" s="19" t="s">
        <v>88</v>
      </c>
      <c r="B3" s="19" t="s">
        <v>89</v>
      </c>
      <c r="C3" s="19" t="s">
        <v>89</v>
      </c>
      <c r="D3" s="22" t="s">
        <v>90</v>
      </c>
      <c r="E3" s="22" t="s">
        <v>88</v>
      </c>
      <c r="F3" s="19" t="s">
        <v>88</v>
      </c>
      <c r="G3" s="22" t="s">
        <v>92</v>
      </c>
      <c r="H3" s="19" t="s">
        <v>92</v>
      </c>
      <c r="I3" s="19" t="s">
        <v>88</v>
      </c>
      <c r="J3" s="19" t="s">
        <v>88</v>
      </c>
      <c r="K3" s="19" t="s">
        <v>94</v>
      </c>
      <c r="L3" s="19" t="s">
        <v>88</v>
      </c>
      <c r="M3" s="19" t="s">
        <v>89</v>
      </c>
      <c r="N3" s="19" t="s">
        <v>88</v>
      </c>
      <c r="O3" s="19" t="s">
        <v>94</v>
      </c>
      <c r="P3" s="19" t="s">
        <v>94</v>
      </c>
      <c r="Q3" s="19" t="s">
        <v>94</v>
      </c>
      <c r="R3" s="27" t="s">
        <v>89</v>
      </c>
      <c r="S3" s="27" t="s">
        <v>89</v>
      </c>
      <c r="T3" s="27" t="s">
        <v>89</v>
      </c>
      <c r="U3" s="19" t="s">
        <v>95</v>
      </c>
    </row>
    <row r="4">
      <c r="A4" s="30">
        <v>9400001.0</v>
      </c>
      <c r="B4" s="30" t="s">
        <v>249</v>
      </c>
      <c r="C4" s="30" t="s">
        <v>250</v>
      </c>
      <c r="D4" s="34" t="s">
        <v>139</v>
      </c>
      <c r="E4" s="30">
        <v>1.0</v>
      </c>
      <c r="F4" s="36">
        <v>60000.0</v>
      </c>
      <c r="G4" s="37">
        <v>-1.0</v>
      </c>
      <c r="H4" s="38">
        <v>141201.0</v>
      </c>
      <c r="I4" s="30">
        <v>1.0</v>
      </c>
      <c r="J4" s="30">
        <v>1.0</v>
      </c>
      <c r="K4" s="30">
        <v>1.0</v>
      </c>
      <c r="L4" s="30">
        <v>-1.0</v>
      </c>
      <c r="M4" s="30">
        <v>300.0</v>
      </c>
      <c r="N4" s="30">
        <v>9040001.0</v>
      </c>
      <c r="O4" s="30">
        <v>1.0</v>
      </c>
      <c r="P4" s="30">
        <v>1.0</v>
      </c>
      <c r="Q4" s="30">
        <v>1.0</v>
      </c>
      <c r="R4" s="30" t="s">
        <v>254</v>
      </c>
      <c r="S4" s="30" t="s">
        <v>255</v>
      </c>
      <c r="T4" s="40" t="s">
        <v>215</v>
      </c>
      <c r="U4" s="34" t="s">
        <v>111</v>
      </c>
    </row>
    <row r="5">
      <c r="A5" s="42">
        <f t="shared" ref="A5:A23" si="2">A4+1</f>
        <v>9400002</v>
      </c>
      <c r="B5" s="30" t="s">
        <v>258</v>
      </c>
      <c r="C5" s="30" t="s">
        <v>250</v>
      </c>
      <c r="D5" s="34" t="s">
        <v>139</v>
      </c>
      <c r="E5" s="30">
        <v>2.0</v>
      </c>
      <c r="F5" s="36">
        <v>60000.0</v>
      </c>
      <c r="G5" s="37">
        <v>-1.0</v>
      </c>
      <c r="H5" s="38">
        <v>141201.0</v>
      </c>
      <c r="I5" s="30">
        <v>1.0</v>
      </c>
      <c r="J5" s="30">
        <v>1.0</v>
      </c>
      <c r="K5" s="30">
        <v>1.0</v>
      </c>
      <c r="L5" s="30">
        <v>-1.0</v>
      </c>
      <c r="M5" s="42">
        <v>435.0</v>
      </c>
      <c r="N5" s="30">
        <v>9040002.0</v>
      </c>
      <c r="O5" s="30">
        <f t="shared" ref="O5:P5" si="1">O4+0.12</f>
        <v>1.12</v>
      </c>
      <c r="P5" s="30">
        <f t="shared" si="1"/>
        <v>1.12</v>
      </c>
      <c r="Q5" s="30">
        <f t="shared" ref="Q5:Q13" si="4">Q4+0.45</f>
        <v>1.45</v>
      </c>
      <c r="R5" s="30" t="s">
        <v>254</v>
      </c>
      <c r="S5" s="30" t="s">
        <v>255</v>
      </c>
      <c r="T5" s="40" t="s">
        <v>215</v>
      </c>
      <c r="U5" s="34" t="s">
        <v>111</v>
      </c>
    </row>
    <row r="6">
      <c r="A6" s="42">
        <f t="shared" si="2"/>
        <v>9400003</v>
      </c>
      <c r="B6" s="30" t="s">
        <v>261</v>
      </c>
      <c r="C6" s="30" t="s">
        <v>250</v>
      </c>
      <c r="D6" s="34" t="s">
        <v>139</v>
      </c>
      <c r="E6" s="30">
        <v>3.0</v>
      </c>
      <c r="F6" s="36">
        <v>60000.0</v>
      </c>
      <c r="G6" s="37">
        <v>-1.0</v>
      </c>
      <c r="H6" s="38">
        <v>141201.0</v>
      </c>
      <c r="I6" s="30">
        <v>1.0</v>
      </c>
      <c r="J6" s="30">
        <v>1.0</v>
      </c>
      <c r="K6" s="30">
        <v>1.0</v>
      </c>
      <c r="L6" s="30">
        <v>-1.0</v>
      </c>
      <c r="M6" s="42">
        <v>631.0</v>
      </c>
      <c r="N6" s="30">
        <v>9040003.0</v>
      </c>
      <c r="O6" s="30">
        <f t="shared" ref="O6:P6" si="3">O5+0.12</f>
        <v>1.24</v>
      </c>
      <c r="P6" s="30">
        <f t="shared" si="3"/>
        <v>1.24</v>
      </c>
      <c r="Q6" s="30">
        <f t="shared" si="4"/>
        <v>1.9</v>
      </c>
      <c r="R6" s="30" t="s">
        <v>254</v>
      </c>
      <c r="S6" s="30" t="s">
        <v>255</v>
      </c>
      <c r="T6" s="40" t="s">
        <v>215</v>
      </c>
      <c r="U6" s="34" t="s">
        <v>111</v>
      </c>
    </row>
    <row r="7">
      <c r="A7" s="42">
        <f t="shared" si="2"/>
        <v>9400004</v>
      </c>
      <c r="B7" s="30" t="s">
        <v>265</v>
      </c>
      <c r="C7" s="30" t="s">
        <v>250</v>
      </c>
      <c r="D7" s="34" t="s">
        <v>139</v>
      </c>
      <c r="E7" s="30">
        <v>4.0</v>
      </c>
      <c r="F7" s="36">
        <v>60000.0</v>
      </c>
      <c r="G7" s="37">
        <v>-1.0</v>
      </c>
      <c r="H7" s="38">
        <v>141201.0</v>
      </c>
      <c r="I7" s="30">
        <v>1.0</v>
      </c>
      <c r="J7" s="30">
        <v>1.0</v>
      </c>
      <c r="K7" s="30">
        <v>1.0</v>
      </c>
      <c r="L7" s="30">
        <v>-1.0</v>
      </c>
      <c r="M7" s="42">
        <v>915.0</v>
      </c>
      <c r="N7" s="30">
        <v>9040004.0</v>
      </c>
      <c r="O7" s="30">
        <f t="shared" ref="O7:P7" si="5">O6+0.12</f>
        <v>1.36</v>
      </c>
      <c r="P7" s="30">
        <f t="shared" si="5"/>
        <v>1.36</v>
      </c>
      <c r="Q7" s="30">
        <f t="shared" si="4"/>
        <v>2.35</v>
      </c>
      <c r="R7" s="30" t="s">
        <v>254</v>
      </c>
      <c r="S7" s="30" t="s">
        <v>255</v>
      </c>
      <c r="T7" s="40" t="s">
        <v>215</v>
      </c>
      <c r="U7" s="34" t="s">
        <v>111</v>
      </c>
    </row>
    <row r="8">
      <c r="A8" s="42">
        <f t="shared" si="2"/>
        <v>9400005</v>
      </c>
      <c r="B8" s="30" t="s">
        <v>268</v>
      </c>
      <c r="C8" s="30" t="s">
        <v>250</v>
      </c>
      <c r="D8" s="34" t="s">
        <v>139</v>
      </c>
      <c r="E8" s="30">
        <v>5.0</v>
      </c>
      <c r="F8" s="36">
        <v>60000.0</v>
      </c>
      <c r="G8" s="37">
        <v>-1.0</v>
      </c>
      <c r="H8" s="38">
        <v>141201.0</v>
      </c>
      <c r="I8" s="30">
        <v>1.0</v>
      </c>
      <c r="J8" s="30">
        <v>1.0</v>
      </c>
      <c r="K8" s="30">
        <v>1.0</v>
      </c>
      <c r="L8" s="30">
        <v>-1.0</v>
      </c>
      <c r="M8" s="42">
        <v>1327.0</v>
      </c>
      <c r="N8" s="30">
        <v>9040005.0</v>
      </c>
      <c r="O8" s="30">
        <f t="shared" ref="O8:P8" si="6">O7+0.12</f>
        <v>1.48</v>
      </c>
      <c r="P8" s="30">
        <f t="shared" si="6"/>
        <v>1.48</v>
      </c>
      <c r="Q8" s="30">
        <f t="shared" si="4"/>
        <v>2.8</v>
      </c>
      <c r="R8" s="30" t="s">
        <v>254</v>
      </c>
      <c r="S8" s="30" t="s">
        <v>255</v>
      </c>
      <c r="T8" s="40" t="s">
        <v>215</v>
      </c>
      <c r="U8" s="34" t="s">
        <v>111</v>
      </c>
    </row>
    <row r="9">
      <c r="A9" s="42">
        <f t="shared" si="2"/>
        <v>9400006</v>
      </c>
      <c r="B9" s="30" t="s">
        <v>272</v>
      </c>
      <c r="C9" s="30" t="s">
        <v>250</v>
      </c>
      <c r="D9" s="34" t="s">
        <v>139</v>
      </c>
      <c r="E9" s="30">
        <v>6.0</v>
      </c>
      <c r="F9" s="36">
        <v>60000.0</v>
      </c>
      <c r="G9" s="37">
        <v>-1.0</v>
      </c>
      <c r="H9" s="38">
        <v>141201.0</v>
      </c>
      <c r="I9" s="30">
        <v>1.0</v>
      </c>
      <c r="J9" s="30">
        <v>1.0</v>
      </c>
      <c r="K9" s="30">
        <v>1.0</v>
      </c>
      <c r="L9" s="30">
        <v>-1.0</v>
      </c>
      <c r="M9" s="42">
        <v>1924.0</v>
      </c>
      <c r="N9" s="30">
        <v>9040006.0</v>
      </c>
      <c r="O9" s="30">
        <f t="shared" ref="O9:P9" si="7">O8+0.12</f>
        <v>1.6</v>
      </c>
      <c r="P9" s="30">
        <f t="shared" si="7"/>
        <v>1.6</v>
      </c>
      <c r="Q9" s="30">
        <f t="shared" si="4"/>
        <v>3.25</v>
      </c>
      <c r="R9" s="30" t="s">
        <v>254</v>
      </c>
      <c r="S9" s="30" t="s">
        <v>255</v>
      </c>
      <c r="T9" s="40" t="s">
        <v>215</v>
      </c>
      <c r="U9" s="34" t="s">
        <v>111</v>
      </c>
    </row>
    <row r="10">
      <c r="A10" s="42">
        <f t="shared" si="2"/>
        <v>9400007</v>
      </c>
      <c r="B10" s="30" t="s">
        <v>276</v>
      </c>
      <c r="C10" s="30" t="s">
        <v>250</v>
      </c>
      <c r="D10" s="34" t="s">
        <v>139</v>
      </c>
      <c r="E10" s="30">
        <v>7.0</v>
      </c>
      <c r="F10" s="36">
        <v>60000.0</v>
      </c>
      <c r="G10" s="37">
        <v>-1.0</v>
      </c>
      <c r="H10" s="38">
        <v>141201.0</v>
      </c>
      <c r="I10" s="30">
        <v>1.0</v>
      </c>
      <c r="J10" s="30">
        <v>1.0</v>
      </c>
      <c r="K10" s="30">
        <v>1.0</v>
      </c>
      <c r="L10" s="30">
        <v>-1.0</v>
      </c>
      <c r="M10" s="42">
        <v>2790.0</v>
      </c>
      <c r="N10" s="30">
        <v>9040007.0</v>
      </c>
      <c r="O10" s="30">
        <f t="shared" ref="O10:P10" si="8">O9+0.12</f>
        <v>1.72</v>
      </c>
      <c r="P10" s="30">
        <f t="shared" si="8"/>
        <v>1.72</v>
      </c>
      <c r="Q10" s="30">
        <f t="shared" si="4"/>
        <v>3.7</v>
      </c>
      <c r="R10" s="30" t="s">
        <v>254</v>
      </c>
      <c r="S10" s="30" t="s">
        <v>255</v>
      </c>
      <c r="T10" s="40" t="s">
        <v>215</v>
      </c>
      <c r="U10" s="34" t="s">
        <v>111</v>
      </c>
    </row>
    <row r="11">
      <c r="A11" s="42">
        <f t="shared" si="2"/>
        <v>9400008</v>
      </c>
      <c r="B11" s="30" t="s">
        <v>279</v>
      </c>
      <c r="C11" s="30" t="s">
        <v>250</v>
      </c>
      <c r="D11" s="34" t="s">
        <v>139</v>
      </c>
      <c r="E11" s="30">
        <v>8.0</v>
      </c>
      <c r="F11" s="36">
        <v>60000.0</v>
      </c>
      <c r="G11" s="37">
        <v>-1.0</v>
      </c>
      <c r="H11" s="38">
        <v>141201.0</v>
      </c>
      <c r="I11" s="30">
        <v>1.0</v>
      </c>
      <c r="J11" s="30">
        <v>1.0</v>
      </c>
      <c r="K11" s="30">
        <v>1.0</v>
      </c>
      <c r="L11" s="30">
        <v>-1.0</v>
      </c>
      <c r="M11" s="42">
        <v>4046.0</v>
      </c>
      <c r="N11" s="30">
        <v>9040008.0</v>
      </c>
      <c r="O11" s="30">
        <f t="shared" ref="O11:P11" si="9">O10+0.12</f>
        <v>1.84</v>
      </c>
      <c r="P11" s="30">
        <f t="shared" si="9"/>
        <v>1.84</v>
      </c>
      <c r="Q11" s="30">
        <f t="shared" si="4"/>
        <v>4.15</v>
      </c>
      <c r="R11" s="30" t="s">
        <v>254</v>
      </c>
      <c r="S11" s="30" t="s">
        <v>255</v>
      </c>
      <c r="T11" s="40" t="s">
        <v>215</v>
      </c>
      <c r="U11" s="34" t="s">
        <v>111</v>
      </c>
    </row>
    <row r="12">
      <c r="A12" s="42">
        <f t="shared" si="2"/>
        <v>9400009</v>
      </c>
      <c r="B12" s="30" t="s">
        <v>282</v>
      </c>
      <c r="C12" s="30" t="s">
        <v>250</v>
      </c>
      <c r="D12" s="34" t="s">
        <v>139</v>
      </c>
      <c r="E12" s="30">
        <v>9.0</v>
      </c>
      <c r="F12" s="36">
        <v>60000.0</v>
      </c>
      <c r="G12" s="37">
        <v>-1.0</v>
      </c>
      <c r="H12" s="38">
        <v>141201.0</v>
      </c>
      <c r="I12" s="30">
        <v>1.0</v>
      </c>
      <c r="J12" s="30">
        <v>1.0</v>
      </c>
      <c r="K12" s="30">
        <v>1.0</v>
      </c>
      <c r="L12" s="30">
        <v>-1.0</v>
      </c>
      <c r="M12" s="42">
        <v>5867.0</v>
      </c>
      <c r="N12" s="30">
        <v>9040009.0</v>
      </c>
      <c r="O12" s="30">
        <f t="shared" ref="O12:P12" si="10">O11+0.12</f>
        <v>1.96</v>
      </c>
      <c r="P12" s="30">
        <f t="shared" si="10"/>
        <v>1.96</v>
      </c>
      <c r="Q12" s="30">
        <f t="shared" si="4"/>
        <v>4.6</v>
      </c>
      <c r="R12" s="30" t="s">
        <v>254</v>
      </c>
      <c r="S12" s="30" t="s">
        <v>255</v>
      </c>
      <c r="T12" s="40" t="s">
        <v>215</v>
      </c>
      <c r="U12" s="34" t="s">
        <v>111</v>
      </c>
    </row>
    <row r="13">
      <c r="A13" s="42">
        <f t="shared" si="2"/>
        <v>9400010</v>
      </c>
      <c r="B13" s="30" t="s">
        <v>286</v>
      </c>
      <c r="C13" s="30" t="s">
        <v>250</v>
      </c>
      <c r="D13" s="34" t="s">
        <v>139</v>
      </c>
      <c r="E13" s="30">
        <v>10.0</v>
      </c>
      <c r="F13" s="36">
        <v>60000.0</v>
      </c>
      <c r="G13" s="37">
        <v>-1.0</v>
      </c>
      <c r="H13" s="38">
        <v>141201.0</v>
      </c>
      <c r="I13" s="30">
        <v>1.0</v>
      </c>
      <c r="J13" s="30">
        <v>1.0</v>
      </c>
      <c r="K13" s="30">
        <v>1.0</v>
      </c>
      <c r="L13" s="30">
        <v>-1.0</v>
      </c>
      <c r="M13" s="42">
        <v>8507.0</v>
      </c>
      <c r="N13" s="30">
        <v>9040010.0</v>
      </c>
      <c r="O13" s="30">
        <f t="shared" ref="O13:P13" si="11">O12+0.12</f>
        <v>2.08</v>
      </c>
      <c r="P13" s="30">
        <f t="shared" si="11"/>
        <v>2.08</v>
      </c>
      <c r="Q13" s="30">
        <f t="shared" si="4"/>
        <v>5.05</v>
      </c>
      <c r="R13" s="30" t="s">
        <v>254</v>
      </c>
      <c r="S13" s="30" t="s">
        <v>255</v>
      </c>
      <c r="T13" s="40" t="s">
        <v>215</v>
      </c>
      <c r="U13" s="34" t="s">
        <v>111</v>
      </c>
    </row>
    <row r="14">
      <c r="A14" s="42">
        <f t="shared" si="2"/>
        <v>9400011</v>
      </c>
      <c r="B14" s="30" t="s">
        <v>288</v>
      </c>
      <c r="C14" s="30" t="s">
        <v>250</v>
      </c>
      <c r="D14" s="34" t="s">
        <v>139</v>
      </c>
      <c r="E14" s="30">
        <v>11.0</v>
      </c>
      <c r="F14" s="36">
        <v>60000.0</v>
      </c>
      <c r="G14" s="37">
        <v>-1.0</v>
      </c>
      <c r="H14" s="38">
        <v>141201.0</v>
      </c>
      <c r="I14" s="30">
        <v>1.0</v>
      </c>
      <c r="J14" s="30">
        <v>1.0</v>
      </c>
      <c r="K14" s="30">
        <v>1.0</v>
      </c>
      <c r="L14" s="30">
        <v>-1.0</v>
      </c>
      <c r="M14" s="42">
        <v>12335.0</v>
      </c>
      <c r="N14" s="30">
        <v>9040011.0</v>
      </c>
      <c r="O14" s="30">
        <v>2.200000000000001</v>
      </c>
      <c r="P14" s="30">
        <v>2.200000000000001</v>
      </c>
      <c r="Q14" s="30">
        <v>5.500000000000001</v>
      </c>
      <c r="R14" s="30" t="s">
        <v>254</v>
      </c>
      <c r="S14" s="30" t="s">
        <v>255</v>
      </c>
      <c r="T14" s="40" t="s">
        <v>215</v>
      </c>
      <c r="U14" s="34" t="s">
        <v>111</v>
      </c>
    </row>
    <row r="15">
      <c r="A15" s="42">
        <f t="shared" si="2"/>
        <v>9400012</v>
      </c>
      <c r="B15" s="30" t="s">
        <v>289</v>
      </c>
      <c r="C15" s="30" t="s">
        <v>250</v>
      </c>
      <c r="D15" s="34" t="s">
        <v>139</v>
      </c>
      <c r="E15" s="30">
        <v>12.0</v>
      </c>
      <c r="F15" s="36">
        <v>60000.0</v>
      </c>
      <c r="G15" s="37">
        <v>-1.0</v>
      </c>
      <c r="H15" s="38">
        <v>141201.0</v>
      </c>
      <c r="I15" s="30">
        <v>1.0</v>
      </c>
      <c r="J15" s="30">
        <v>1.0</v>
      </c>
      <c r="K15" s="30">
        <v>1.0</v>
      </c>
      <c r="L15" s="30">
        <v>-1.0</v>
      </c>
      <c r="M15" s="42">
        <v>17886.0</v>
      </c>
      <c r="N15" s="30">
        <v>9040012.0</v>
      </c>
      <c r="O15" s="30">
        <v>2.320000000000001</v>
      </c>
      <c r="P15" s="30">
        <v>2.320000000000001</v>
      </c>
      <c r="Q15" s="30">
        <v>5.950000000000001</v>
      </c>
      <c r="R15" s="30" t="s">
        <v>254</v>
      </c>
      <c r="S15" s="30" t="s">
        <v>255</v>
      </c>
      <c r="T15" s="40" t="s">
        <v>215</v>
      </c>
      <c r="U15" s="34" t="s">
        <v>111</v>
      </c>
    </row>
    <row r="16">
      <c r="A16" s="42">
        <f t="shared" si="2"/>
        <v>9400013</v>
      </c>
      <c r="B16" s="30" t="s">
        <v>292</v>
      </c>
      <c r="C16" s="30" t="s">
        <v>250</v>
      </c>
      <c r="D16" s="34" t="s">
        <v>139</v>
      </c>
      <c r="E16" s="30">
        <v>13.0</v>
      </c>
      <c r="F16" s="36">
        <v>60000.0</v>
      </c>
      <c r="G16" s="37">
        <v>-1.0</v>
      </c>
      <c r="H16" s="38">
        <v>141201.0</v>
      </c>
      <c r="I16" s="30">
        <v>1.0</v>
      </c>
      <c r="J16" s="30">
        <v>1.0</v>
      </c>
      <c r="K16" s="30">
        <v>1.0</v>
      </c>
      <c r="L16" s="30">
        <v>-1.0</v>
      </c>
      <c r="M16" s="42">
        <v>25935.0</v>
      </c>
      <c r="N16" s="30">
        <v>9040013.0</v>
      </c>
      <c r="O16" s="30">
        <v>2.4400000000000013</v>
      </c>
      <c r="P16" s="30">
        <v>2.4400000000000013</v>
      </c>
      <c r="Q16" s="30">
        <v>6.400000000000001</v>
      </c>
      <c r="R16" s="30" t="s">
        <v>254</v>
      </c>
      <c r="S16" s="30" t="s">
        <v>255</v>
      </c>
      <c r="T16" s="40" t="s">
        <v>215</v>
      </c>
      <c r="U16" s="34" t="s">
        <v>111</v>
      </c>
    </row>
    <row r="17">
      <c r="A17" s="42">
        <f t="shared" si="2"/>
        <v>9400014</v>
      </c>
      <c r="B17" s="30" t="s">
        <v>294</v>
      </c>
      <c r="C17" s="30" t="s">
        <v>250</v>
      </c>
      <c r="D17" s="34" t="s">
        <v>139</v>
      </c>
      <c r="E17" s="30">
        <v>14.0</v>
      </c>
      <c r="F17" s="36">
        <v>60000.0</v>
      </c>
      <c r="G17" s="37">
        <v>-1.0</v>
      </c>
      <c r="H17" s="38">
        <v>141201.0</v>
      </c>
      <c r="I17" s="30">
        <v>1.0</v>
      </c>
      <c r="J17" s="30">
        <v>1.0</v>
      </c>
      <c r="K17" s="30">
        <v>1.0</v>
      </c>
      <c r="L17" s="30">
        <v>-1.0</v>
      </c>
      <c r="M17" s="42">
        <v>37606.0</v>
      </c>
      <c r="N17" s="30">
        <v>9040014.0</v>
      </c>
      <c r="O17" s="30">
        <v>2.5600000000000014</v>
      </c>
      <c r="P17" s="30">
        <v>2.5600000000000014</v>
      </c>
      <c r="Q17" s="30">
        <v>6.850000000000001</v>
      </c>
      <c r="R17" s="30" t="s">
        <v>254</v>
      </c>
      <c r="S17" s="30" t="s">
        <v>255</v>
      </c>
      <c r="T17" s="40" t="s">
        <v>215</v>
      </c>
      <c r="U17" s="34" t="s">
        <v>111</v>
      </c>
    </row>
    <row r="18">
      <c r="A18" s="42">
        <f t="shared" si="2"/>
        <v>9400015</v>
      </c>
      <c r="B18" s="30" t="s">
        <v>296</v>
      </c>
      <c r="C18" s="30" t="s">
        <v>250</v>
      </c>
      <c r="D18" s="34" t="s">
        <v>139</v>
      </c>
      <c r="E18" s="30">
        <v>15.0</v>
      </c>
      <c r="F18" s="36">
        <v>60000.0</v>
      </c>
      <c r="G18" s="37">
        <v>-1.0</v>
      </c>
      <c r="H18" s="38">
        <v>141201.0</v>
      </c>
      <c r="I18" s="30">
        <v>1.0</v>
      </c>
      <c r="J18" s="30">
        <v>1.0</v>
      </c>
      <c r="K18" s="30">
        <v>1.0</v>
      </c>
      <c r="L18" s="30">
        <v>-1.0</v>
      </c>
      <c r="M18" s="42">
        <v>54529.0</v>
      </c>
      <c r="N18" s="30">
        <v>9040015.0</v>
      </c>
      <c r="O18" s="30">
        <v>2.6800000000000015</v>
      </c>
      <c r="P18" s="30">
        <v>2.6800000000000015</v>
      </c>
      <c r="Q18" s="30">
        <v>7.300000000000002</v>
      </c>
      <c r="R18" s="30" t="s">
        <v>254</v>
      </c>
      <c r="S18" s="30" t="s">
        <v>255</v>
      </c>
      <c r="T18" s="40" t="s">
        <v>215</v>
      </c>
      <c r="U18" s="34" t="s">
        <v>111</v>
      </c>
    </row>
    <row r="19">
      <c r="A19" s="42">
        <f t="shared" si="2"/>
        <v>9400016</v>
      </c>
      <c r="B19" s="30" t="s">
        <v>297</v>
      </c>
      <c r="C19" s="30" t="s">
        <v>250</v>
      </c>
      <c r="D19" s="34" t="s">
        <v>139</v>
      </c>
      <c r="E19" s="30">
        <v>16.0</v>
      </c>
      <c r="F19" s="36">
        <v>60000.0</v>
      </c>
      <c r="G19" s="37">
        <v>-1.0</v>
      </c>
      <c r="H19" s="38">
        <v>141201.0</v>
      </c>
      <c r="I19" s="30">
        <v>1.0</v>
      </c>
      <c r="J19" s="30">
        <v>1.0</v>
      </c>
      <c r="K19" s="30">
        <v>1.0</v>
      </c>
      <c r="L19" s="30">
        <v>-1.0</v>
      </c>
      <c r="M19" s="42">
        <v>79067.0</v>
      </c>
      <c r="N19" s="30">
        <v>9040016.0</v>
      </c>
      <c r="O19" s="30">
        <v>2.8000000000000016</v>
      </c>
      <c r="P19" s="30">
        <v>2.8000000000000016</v>
      </c>
      <c r="Q19" s="30">
        <v>7.750000000000002</v>
      </c>
      <c r="R19" s="30" t="s">
        <v>254</v>
      </c>
      <c r="S19" s="30" t="s">
        <v>255</v>
      </c>
      <c r="T19" s="40" t="s">
        <v>215</v>
      </c>
      <c r="U19" s="34" t="s">
        <v>111</v>
      </c>
    </row>
    <row r="20">
      <c r="A20" s="42">
        <f t="shared" si="2"/>
        <v>9400017</v>
      </c>
      <c r="B20" s="30" t="s">
        <v>298</v>
      </c>
      <c r="C20" s="30" t="s">
        <v>250</v>
      </c>
      <c r="D20" s="34" t="s">
        <v>139</v>
      </c>
      <c r="E20" s="30">
        <v>17.0</v>
      </c>
      <c r="F20" s="36">
        <v>60000.0</v>
      </c>
      <c r="G20" s="37">
        <v>-1.0</v>
      </c>
      <c r="H20" s="38">
        <v>141201.0</v>
      </c>
      <c r="I20" s="30">
        <v>1.0</v>
      </c>
      <c r="J20" s="30">
        <v>1.0</v>
      </c>
      <c r="K20" s="30">
        <v>1.0</v>
      </c>
      <c r="L20" s="30">
        <v>-1.0</v>
      </c>
      <c r="M20" s="42">
        <v>114647.0</v>
      </c>
      <c r="N20" s="30">
        <v>9040017.0</v>
      </c>
      <c r="O20" s="30">
        <v>2.9200000000000017</v>
      </c>
      <c r="P20" s="30">
        <v>2.9200000000000017</v>
      </c>
      <c r="Q20" s="30">
        <v>8.200000000000001</v>
      </c>
      <c r="R20" s="30" t="s">
        <v>254</v>
      </c>
      <c r="S20" s="30" t="s">
        <v>255</v>
      </c>
      <c r="T20" s="40" t="s">
        <v>215</v>
      </c>
      <c r="U20" s="34" t="s">
        <v>111</v>
      </c>
    </row>
    <row r="21">
      <c r="A21" s="42">
        <f t="shared" si="2"/>
        <v>9400018</v>
      </c>
      <c r="B21" s="30" t="s">
        <v>301</v>
      </c>
      <c r="C21" s="30" t="s">
        <v>250</v>
      </c>
      <c r="D21" s="34" t="s">
        <v>139</v>
      </c>
      <c r="E21" s="30">
        <v>18.0</v>
      </c>
      <c r="F21" s="36">
        <v>60000.0</v>
      </c>
      <c r="G21" s="37">
        <v>-1.0</v>
      </c>
      <c r="H21" s="38">
        <v>141201.0</v>
      </c>
      <c r="I21" s="30">
        <v>1.0</v>
      </c>
      <c r="J21" s="30">
        <v>1.0</v>
      </c>
      <c r="K21" s="30">
        <v>1.0</v>
      </c>
      <c r="L21" s="30">
        <v>-1.0</v>
      </c>
      <c r="M21" s="42">
        <v>166238.0</v>
      </c>
      <c r="N21" s="30">
        <v>9040018.0</v>
      </c>
      <c r="O21" s="30">
        <v>3.040000000000002</v>
      </c>
      <c r="P21" s="30">
        <v>3.040000000000002</v>
      </c>
      <c r="Q21" s="30">
        <v>8.65</v>
      </c>
      <c r="R21" s="30" t="s">
        <v>254</v>
      </c>
      <c r="S21" s="30" t="s">
        <v>255</v>
      </c>
      <c r="T21" s="40" t="s">
        <v>215</v>
      </c>
      <c r="U21" s="34" t="s">
        <v>111</v>
      </c>
    </row>
    <row r="22">
      <c r="A22" s="42">
        <f t="shared" si="2"/>
        <v>9400019</v>
      </c>
      <c r="B22" s="30" t="s">
        <v>303</v>
      </c>
      <c r="C22" s="30" t="s">
        <v>250</v>
      </c>
      <c r="D22" s="34" t="s">
        <v>139</v>
      </c>
      <c r="E22" s="30">
        <v>19.0</v>
      </c>
      <c r="F22" s="36">
        <v>60000.0</v>
      </c>
      <c r="G22" s="37">
        <v>-1.0</v>
      </c>
      <c r="H22" s="38">
        <v>141201.0</v>
      </c>
      <c r="I22" s="30">
        <v>1.0</v>
      </c>
      <c r="J22" s="30">
        <v>1.0</v>
      </c>
      <c r="K22" s="30">
        <v>1.0</v>
      </c>
      <c r="L22" s="30">
        <v>-1.0</v>
      </c>
      <c r="M22" s="42">
        <v>241045.0</v>
      </c>
      <c r="N22" s="30">
        <v>9040019.0</v>
      </c>
      <c r="O22" s="30">
        <v>3.160000000000002</v>
      </c>
      <c r="P22" s="30">
        <v>3.160000000000002</v>
      </c>
      <c r="Q22" s="30">
        <v>9.1</v>
      </c>
      <c r="R22" s="30" t="s">
        <v>254</v>
      </c>
      <c r="S22" s="30" t="s">
        <v>255</v>
      </c>
      <c r="T22" s="40" t="s">
        <v>215</v>
      </c>
      <c r="U22" s="34" t="s">
        <v>111</v>
      </c>
    </row>
    <row r="23">
      <c r="A23" s="42">
        <f t="shared" si="2"/>
        <v>9400020</v>
      </c>
      <c r="B23" s="30" t="s">
        <v>304</v>
      </c>
      <c r="C23" s="30" t="s">
        <v>250</v>
      </c>
      <c r="D23" s="34" t="s">
        <v>139</v>
      </c>
      <c r="E23" s="30">
        <v>20.0</v>
      </c>
      <c r="F23" s="36">
        <v>60000.0</v>
      </c>
      <c r="G23" s="37">
        <v>-1.0</v>
      </c>
      <c r="H23" s="38">
        <v>141201.0</v>
      </c>
      <c r="I23" s="30">
        <v>1.0</v>
      </c>
      <c r="J23" s="30">
        <v>1.0</v>
      </c>
      <c r="K23" s="30">
        <v>1.0</v>
      </c>
      <c r="L23" s="30">
        <v>-1.0</v>
      </c>
      <c r="M23" s="42">
        <v>349515.0</v>
      </c>
      <c r="N23" s="30">
        <v>9040020.0</v>
      </c>
      <c r="O23" s="30">
        <v>3.280000000000002</v>
      </c>
      <c r="P23" s="30">
        <v>3.280000000000002</v>
      </c>
      <c r="Q23" s="30">
        <v>9.549999999999999</v>
      </c>
      <c r="R23" s="30" t="s">
        <v>254</v>
      </c>
      <c r="S23" s="30" t="s">
        <v>255</v>
      </c>
      <c r="T23" s="40" t="s">
        <v>215</v>
      </c>
      <c r="U23" s="34" t="s">
        <v>111</v>
      </c>
    </row>
  </sheetData>
  <dataValidations>
    <dataValidation type="list" allowBlank="1" showErrorMessage="1" sqref="D4:D23">
      <formula1>"Gold,EXP,Trait,Relic,Oopats,Equipment"</formula1>
    </dataValidation>
  </dataValidation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22.13"/>
    <col customWidth="1" min="3" max="3" width="18.13"/>
    <col customWidth="1" min="4" max="4" width="20.63"/>
    <col customWidth="1" min="5" max="5" width="19.0"/>
    <col customWidth="1" min="6" max="6" width="21.0"/>
    <col customWidth="1" min="7" max="7" width="20.13"/>
    <col customWidth="1" min="8" max="8" width="16.0"/>
    <col customWidth="1" min="9" max="9" width="26.0"/>
    <col customWidth="1" min="10" max="10" width="25.5"/>
  </cols>
  <sheetData>
    <row r="1" ht="93.75" customHeight="1">
      <c r="A1" s="1" t="s">
        <v>285</v>
      </c>
      <c r="B1" s="3" t="s">
        <v>3</v>
      </c>
      <c r="C1" s="3" t="s">
        <v>6</v>
      </c>
      <c r="D1" s="1" t="s">
        <v>9</v>
      </c>
      <c r="E1" s="1" t="s">
        <v>14</v>
      </c>
      <c r="F1" s="1" t="s">
        <v>16</v>
      </c>
      <c r="G1" s="1" t="s">
        <v>18</v>
      </c>
      <c r="H1" s="1" t="s">
        <v>22</v>
      </c>
      <c r="I1" s="1" t="s">
        <v>24</v>
      </c>
      <c r="J1" s="1" t="s">
        <v>28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4" t="s">
        <v>46</v>
      </c>
      <c r="B2" s="14" t="s">
        <v>47</v>
      </c>
      <c r="C2" s="13" t="s">
        <v>55</v>
      </c>
      <c r="D2" s="13" t="s">
        <v>57</v>
      </c>
      <c r="E2" s="13" t="s">
        <v>60</v>
      </c>
      <c r="F2" s="13" t="s">
        <v>62</v>
      </c>
      <c r="G2" s="13" t="s">
        <v>65</v>
      </c>
      <c r="H2" s="13" t="s">
        <v>68</v>
      </c>
      <c r="I2" s="13" t="s">
        <v>72</v>
      </c>
      <c r="J2" s="13" t="s">
        <v>74</v>
      </c>
    </row>
    <row r="3">
      <c r="A3" s="25" t="s">
        <v>88</v>
      </c>
      <c r="B3" s="25" t="s">
        <v>89</v>
      </c>
      <c r="C3" s="25" t="s">
        <v>89</v>
      </c>
      <c r="D3" s="25" t="s">
        <v>93</v>
      </c>
      <c r="E3" s="25" t="s">
        <v>88</v>
      </c>
      <c r="F3" s="25" t="s">
        <v>93</v>
      </c>
      <c r="G3" s="25" t="s">
        <v>88</v>
      </c>
      <c r="H3" s="25" t="s">
        <v>96</v>
      </c>
      <c r="I3" s="25" t="s">
        <v>93</v>
      </c>
      <c r="J3" s="25" t="s">
        <v>88</v>
      </c>
    </row>
    <row r="4">
      <c r="A4" s="30">
        <v>9040001.0</v>
      </c>
      <c r="B4" s="30" t="s">
        <v>290</v>
      </c>
      <c r="C4" s="30" t="s">
        <v>291</v>
      </c>
      <c r="D4" s="34" t="s">
        <v>293</v>
      </c>
      <c r="E4" s="30">
        <v>1500.0</v>
      </c>
      <c r="F4" s="34" t="s">
        <v>117</v>
      </c>
      <c r="G4" s="30">
        <v>0.0</v>
      </c>
      <c r="H4" s="30" t="b">
        <v>1</v>
      </c>
      <c r="I4" s="34" t="s">
        <v>293</v>
      </c>
      <c r="J4" s="30">
        <v>1500.0</v>
      </c>
    </row>
    <row r="5">
      <c r="A5" s="30">
        <v>9040002.0</v>
      </c>
      <c r="B5" s="30" t="s">
        <v>295</v>
      </c>
      <c r="C5" s="30" t="s">
        <v>291</v>
      </c>
      <c r="D5" s="34" t="s">
        <v>293</v>
      </c>
      <c r="E5" s="42">
        <f t="shared" ref="E5:E23" si="1">Round(E4*1.13,0)</f>
        <v>1695</v>
      </c>
      <c r="F5" s="34" t="s">
        <v>117</v>
      </c>
      <c r="G5" s="30">
        <v>0.0</v>
      </c>
      <c r="H5" s="30" t="b">
        <v>1</v>
      </c>
      <c r="I5" s="34" t="s">
        <v>293</v>
      </c>
      <c r="J5" s="30">
        <v>1500.0</v>
      </c>
    </row>
    <row r="6">
      <c r="A6" s="30">
        <v>9040003.0</v>
      </c>
      <c r="B6" s="30" t="s">
        <v>299</v>
      </c>
      <c r="C6" s="30" t="s">
        <v>291</v>
      </c>
      <c r="D6" s="34" t="s">
        <v>293</v>
      </c>
      <c r="E6" s="42">
        <f t="shared" si="1"/>
        <v>1915</v>
      </c>
      <c r="F6" s="34" t="s">
        <v>117</v>
      </c>
      <c r="G6" s="30">
        <v>0.0</v>
      </c>
      <c r="H6" s="30" t="b">
        <v>1</v>
      </c>
      <c r="I6" s="34" t="s">
        <v>293</v>
      </c>
      <c r="J6" s="30">
        <v>1500.0</v>
      </c>
    </row>
    <row r="7">
      <c r="A7" s="30">
        <v>9040004.0</v>
      </c>
      <c r="B7" s="30" t="s">
        <v>300</v>
      </c>
      <c r="C7" s="30" t="s">
        <v>291</v>
      </c>
      <c r="D7" s="34" t="s">
        <v>293</v>
      </c>
      <c r="E7" s="42">
        <f t="shared" si="1"/>
        <v>2164</v>
      </c>
      <c r="F7" s="34" t="s">
        <v>117</v>
      </c>
      <c r="G7" s="30">
        <v>0.0</v>
      </c>
      <c r="H7" s="30" t="b">
        <v>1</v>
      </c>
      <c r="I7" s="34" t="s">
        <v>293</v>
      </c>
      <c r="J7" s="30">
        <v>1500.0</v>
      </c>
    </row>
    <row r="8">
      <c r="A8" s="30">
        <v>9040005.0</v>
      </c>
      <c r="B8" s="30" t="s">
        <v>302</v>
      </c>
      <c r="C8" s="30" t="s">
        <v>291</v>
      </c>
      <c r="D8" s="34" t="s">
        <v>293</v>
      </c>
      <c r="E8" s="42">
        <f t="shared" si="1"/>
        <v>2445</v>
      </c>
      <c r="F8" s="34" t="s">
        <v>117</v>
      </c>
      <c r="G8" s="30">
        <v>0.0</v>
      </c>
      <c r="H8" s="30" t="b">
        <v>1</v>
      </c>
      <c r="I8" s="34" t="s">
        <v>160</v>
      </c>
      <c r="J8" s="30">
        <v>100.0</v>
      </c>
    </row>
    <row r="9">
      <c r="A9" s="30">
        <v>9040006.0</v>
      </c>
      <c r="B9" s="30" t="s">
        <v>305</v>
      </c>
      <c r="C9" s="30" t="s">
        <v>291</v>
      </c>
      <c r="D9" s="34" t="s">
        <v>293</v>
      </c>
      <c r="E9" s="42">
        <f t="shared" si="1"/>
        <v>2763</v>
      </c>
      <c r="F9" s="34" t="s">
        <v>117</v>
      </c>
      <c r="G9" s="30">
        <v>0.0</v>
      </c>
      <c r="H9" s="30" t="b">
        <v>1</v>
      </c>
      <c r="I9" s="34" t="s">
        <v>293</v>
      </c>
      <c r="J9" s="30">
        <v>1500.0</v>
      </c>
    </row>
    <row r="10">
      <c r="A10" s="30">
        <v>9040007.0</v>
      </c>
      <c r="B10" s="30" t="s">
        <v>306</v>
      </c>
      <c r="C10" s="30" t="s">
        <v>291</v>
      </c>
      <c r="D10" s="34" t="s">
        <v>293</v>
      </c>
      <c r="E10" s="42">
        <f t="shared" si="1"/>
        <v>3122</v>
      </c>
      <c r="F10" s="34" t="s">
        <v>117</v>
      </c>
      <c r="G10" s="30">
        <v>0.0</v>
      </c>
      <c r="H10" s="30" t="b">
        <v>1</v>
      </c>
      <c r="I10" s="34" t="s">
        <v>293</v>
      </c>
      <c r="J10" s="30">
        <v>1500.0</v>
      </c>
    </row>
    <row r="11">
      <c r="A11" s="30">
        <v>9040008.0</v>
      </c>
      <c r="B11" s="30" t="s">
        <v>307</v>
      </c>
      <c r="C11" s="30" t="s">
        <v>291</v>
      </c>
      <c r="D11" s="34" t="s">
        <v>293</v>
      </c>
      <c r="E11" s="42">
        <f t="shared" si="1"/>
        <v>3528</v>
      </c>
      <c r="F11" s="34" t="s">
        <v>117</v>
      </c>
      <c r="G11" s="30">
        <v>0.0</v>
      </c>
      <c r="H11" s="30" t="b">
        <v>1</v>
      </c>
      <c r="I11" s="34" t="s">
        <v>293</v>
      </c>
      <c r="J11" s="30">
        <v>1500.0</v>
      </c>
    </row>
    <row r="12">
      <c r="A12" s="30">
        <v>9040009.0</v>
      </c>
      <c r="B12" s="30" t="s">
        <v>308</v>
      </c>
      <c r="C12" s="30" t="s">
        <v>291</v>
      </c>
      <c r="D12" s="34" t="s">
        <v>293</v>
      </c>
      <c r="E12" s="42">
        <f t="shared" si="1"/>
        <v>3987</v>
      </c>
      <c r="F12" s="34" t="s">
        <v>117</v>
      </c>
      <c r="G12" s="30">
        <v>0.0</v>
      </c>
      <c r="H12" s="30" t="b">
        <v>1</v>
      </c>
      <c r="I12" s="34" t="s">
        <v>293</v>
      </c>
      <c r="J12" s="30">
        <v>1500.0</v>
      </c>
    </row>
    <row r="13">
      <c r="A13" s="30">
        <v>9040010.0</v>
      </c>
      <c r="B13" s="30" t="s">
        <v>309</v>
      </c>
      <c r="C13" s="30" t="s">
        <v>291</v>
      </c>
      <c r="D13" s="34" t="s">
        <v>293</v>
      </c>
      <c r="E13" s="42">
        <f t="shared" si="1"/>
        <v>4505</v>
      </c>
      <c r="F13" s="34" t="s">
        <v>117</v>
      </c>
      <c r="G13" s="30">
        <v>0.0</v>
      </c>
      <c r="H13" s="30" t="b">
        <v>1</v>
      </c>
      <c r="I13" s="34" t="s">
        <v>160</v>
      </c>
      <c r="J13" s="30">
        <v>100.0</v>
      </c>
    </row>
    <row r="14">
      <c r="A14" s="30">
        <v>9040011.0</v>
      </c>
      <c r="B14" s="30" t="s">
        <v>310</v>
      </c>
      <c r="C14" s="30" t="s">
        <v>291</v>
      </c>
      <c r="D14" s="34" t="s">
        <v>293</v>
      </c>
      <c r="E14" s="42">
        <f t="shared" si="1"/>
        <v>5091</v>
      </c>
      <c r="F14" s="34" t="s">
        <v>117</v>
      </c>
      <c r="G14" s="30">
        <v>0.0</v>
      </c>
      <c r="H14" s="30" t="b">
        <v>1</v>
      </c>
      <c r="I14" s="34" t="s">
        <v>293</v>
      </c>
      <c r="J14" s="30">
        <v>1500.0</v>
      </c>
    </row>
    <row r="15">
      <c r="A15" s="30">
        <v>9040012.0</v>
      </c>
      <c r="B15" s="30" t="s">
        <v>311</v>
      </c>
      <c r="C15" s="30" t="s">
        <v>291</v>
      </c>
      <c r="D15" s="34" t="s">
        <v>293</v>
      </c>
      <c r="E15" s="42">
        <f t="shared" si="1"/>
        <v>5753</v>
      </c>
      <c r="F15" s="34" t="s">
        <v>117</v>
      </c>
      <c r="G15" s="30">
        <v>0.0</v>
      </c>
      <c r="H15" s="30" t="b">
        <v>1</v>
      </c>
      <c r="I15" s="34" t="s">
        <v>293</v>
      </c>
      <c r="J15" s="30">
        <v>1500.0</v>
      </c>
    </row>
    <row r="16">
      <c r="A16" s="30">
        <v>9040013.0</v>
      </c>
      <c r="B16" s="30" t="s">
        <v>312</v>
      </c>
      <c r="C16" s="30" t="s">
        <v>291</v>
      </c>
      <c r="D16" s="34" t="s">
        <v>293</v>
      </c>
      <c r="E16" s="42">
        <f t="shared" si="1"/>
        <v>6501</v>
      </c>
      <c r="F16" s="34" t="s">
        <v>117</v>
      </c>
      <c r="G16" s="30">
        <v>0.0</v>
      </c>
      <c r="H16" s="30" t="b">
        <v>1</v>
      </c>
      <c r="I16" s="34" t="s">
        <v>293</v>
      </c>
      <c r="J16" s="30">
        <v>1500.0</v>
      </c>
    </row>
    <row r="17">
      <c r="A17" s="30">
        <v>9040014.0</v>
      </c>
      <c r="B17" s="30" t="s">
        <v>313</v>
      </c>
      <c r="C17" s="30" t="s">
        <v>291</v>
      </c>
      <c r="D17" s="34" t="s">
        <v>293</v>
      </c>
      <c r="E17" s="42">
        <f t="shared" si="1"/>
        <v>7346</v>
      </c>
      <c r="F17" s="34" t="s">
        <v>117</v>
      </c>
      <c r="G17" s="30">
        <v>0.0</v>
      </c>
      <c r="H17" s="30" t="b">
        <v>1</v>
      </c>
      <c r="I17" s="34" t="s">
        <v>293</v>
      </c>
      <c r="J17" s="30">
        <v>1500.0</v>
      </c>
    </row>
    <row r="18">
      <c r="A18" s="30">
        <v>9040015.0</v>
      </c>
      <c r="B18" s="30" t="s">
        <v>314</v>
      </c>
      <c r="C18" s="30" t="s">
        <v>291</v>
      </c>
      <c r="D18" s="34" t="s">
        <v>293</v>
      </c>
      <c r="E18" s="42">
        <f t="shared" si="1"/>
        <v>8301</v>
      </c>
      <c r="F18" s="34" t="s">
        <v>117</v>
      </c>
      <c r="G18" s="30">
        <v>0.0</v>
      </c>
      <c r="H18" s="30" t="b">
        <v>1</v>
      </c>
      <c r="I18" s="34" t="s">
        <v>160</v>
      </c>
      <c r="J18" s="30">
        <v>100.0</v>
      </c>
    </row>
    <row r="19">
      <c r="A19" s="30">
        <v>9040016.0</v>
      </c>
      <c r="B19" s="30" t="s">
        <v>315</v>
      </c>
      <c r="C19" s="30" t="s">
        <v>291</v>
      </c>
      <c r="D19" s="34" t="s">
        <v>293</v>
      </c>
      <c r="E19" s="42">
        <f t="shared" si="1"/>
        <v>9380</v>
      </c>
      <c r="F19" s="34" t="s">
        <v>117</v>
      </c>
      <c r="G19" s="30">
        <v>0.0</v>
      </c>
      <c r="H19" s="30" t="b">
        <v>1</v>
      </c>
      <c r="I19" s="34" t="s">
        <v>293</v>
      </c>
      <c r="J19" s="30">
        <v>1500.0</v>
      </c>
    </row>
    <row r="20">
      <c r="A20" s="30">
        <v>9040017.0</v>
      </c>
      <c r="B20" s="30" t="s">
        <v>316</v>
      </c>
      <c r="C20" s="30" t="s">
        <v>291</v>
      </c>
      <c r="D20" s="34" t="s">
        <v>293</v>
      </c>
      <c r="E20" s="42">
        <f t="shared" si="1"/>
        <v>10599</v>
      </c>
      <c r="F20" s="34" t="s">
        <v>117</v>
      </c>
      <c r="G20" s="30">
        <v>0.0</v>
      </c>
      <c r="H20" s="30" t="b">
        <v>1</v>
      </c>
      <c r="I20" s="34" t="s">
        <v>293</v>
      </c>
      <c r="J20" s="30">
        <v>1500.0</v>
      </c>
    </row>
    <row r="21">
      <c r="A21" s="30">
        <v>9040018.0</v>
      </c>
      <c r="B21" s="30" t="s">
        <v>317</v>
      </c>
      <c r="C21" s="30" t="s">
        <v>291</v>
      </c>
      <c r="D21" s="34" t="s">
        <v>293</v>
      </c>
      <c r="E21" s="42">
        <f t="shared" si="1"/>
        <v>11977</v>
      </c>
      <c r="F21" s="34" t="s">
        <v>117</v>
      </c>
      <c r="G21" s="30">
        <v>0.0</v>
      </c>
      <c r="H21" s="30" t="b">
        <v>1</v>
      </c>
      <c r="I21" s="34" t="s">
        <v>293</v>
      </c>
      <c r="J21" s="30">
        <v>1500.0</v>
      </c>
    </row>
    <row r="22">
      <c r="A22" s="30">
        <v>9040019.0</v>
      </c>
      <c r="B22" s="30" t="s">
        <v>318</v>
      </c>
      <c r="C22" s="30" t="s">
        <v>291</v>
      </c>
      <c r="D22" s="34" t="s">
        <v>293</v>
      </c>
      <c r="E22" s="42">
        <f t="shared" si="1"/>
        <v>13534</v>
      </c>
      <c r="F22" s="34" t="s">
        <v>117</v>
      </c>
      <c r="G22" s="30">
        <v>0.0</v>
      </c>
      <c r="H22" s="30" t="b">
        <v>1</v>
      </c>
      <c r="I22" s="34" t="s">
        <v>293</v>
      </c>
      <c r="J22" s="30">
        <v>1500.0</v>
      </c>
    </row>
    <row r="23">
      <c r="A23" s="30">
        <v>9040020.0</v>
      </c>
      <c r="B23" s="30" t="s">
        <v>319</v>
      </c>
      <c r="C23" s="30" t="s">
        <v>291</v>
      </c>
      <c r="D23" s="34" t="s">
        <v>293</v>
      </c>
      <c r="E23" s="42">
        <f t="shared" si="1"/>
        <v>15293</v>
      </c>
      <c r="F23" s="34" t="s">
        <v>117</v>
      </c>
      <c r="G23" s="30">
        <v>0.0</v>
      </c>
      <c r="H23" s="30" t="b">
        <v>1</v>
      </c>
      <c r="I23" s="34" t="s">
        <v>160</v>
      </c>
      <c r="J23" s="30">
        <v>100.0</v>
      </c>
    </row>
  </sheetData>
  <dataValidations>
    <dataValidation type="list" allowBlank="1" showErrorMessage="1" sqref="H4:H23">
      <formula1>"FALSE,TRUE"</formula1>
    </dataValidation>
    <dataValidation type="list" allowBlank="1" showErrorMessage="1" sqref="I8 I13 I18 I23">
      <formula1>"None,AncientRelic_Cost,Coin_Artifact,Coin_Character,Coin_Pet,Dia,RealCash,Exp,Gold,Guild_Coin_1,Guild_Coin_2,Guild_Coin_3,Guild_Cost_A,Guild_Ticket_1,Guild_Ticket_2,HolyRelic_Cost,Mertarial_equipment,Mertarial_monsterProduct,Mertarial_Plant,Mertarial_Requ"&amp;"est,Mertarial_specialhero,Ooparts_Cost,Relic_Cost,Ticket_Artifact,Ticket_Character,Ticket_Costum,Ticket_D1_gold,Ticket_D2_exp,Ticket_D3_artifact,Ticket_D4_equipment,Ticket_D5_trait,Trait_Cost,World_Coin,World_Ticket_1,World_Ticket_2,EqLevelUp_M,Ticket_Cha"&amp;"racter_P,Ticket_Character_N,Ticket_Character_UR,Ticket_Artifact_N,Ticket_Artifact_P,Coin_SD_Agency,Coin_SD_Garden,Coin_SD_Dungen,Mertarial_Request,Mertarial_Request2,Mertarial_Request3,Mertarial_Request4,ShopMileage,AD,Payment"</formula1>
    </dataValidation>
    <dataValidation type="list" allowBlank="1" showErrorMessage="1" sqref="I4:I7 I9:I12 I14:I17 I19:I22 D4:D23 F4:F23">
      <formula1>"None,AncientRelic_Cost,Coin_Artifact,Coin_Character,Coin_Pet,Dia,RealCash,Exp,Gold,Guild_Coin_1,Guild_Coin_2,Guild_Coin_3,Guild_Cost_A,Guild_Ticket_1,Guild_Ticket_2,HolyRelic_Cost,Mertarial_equipment,Mertarial_monsterProduct,Mertarial_Plant,Mertarial_Requ"&amp;"est,Mertarial_specialhero,Ooparts_Cost,Relic_Cost,Ticket_Artifact,Ticket_Character,Ticket_Costum,Ticket_D1_gold,Ticket_D2_exp,Ticket_D3_artifact,Ticket_D4_equipment,Ticket_D5_trait,Trait_Cost,World_Coin,World_Ticket_1,World_Ticket_2,EqLevelUp_M,Ticket_Cha"&amp;"racter_P,Ticket_Character_N,Ticket_Character_UR,Ticket_Artifact_N,Ticket_Artifact_P,Coin_SD_Agency,Coin_SD_Garden,Coin_SD_Dungen,Mertarial_Request,Mertarial_Request2,Mertarial_Request3,Mertarial_Request4,ShopMileage,AD,ArtifactLevelUp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2" max="2" width="18.63"/>
    <col customWidth="1" min="3" max="3" width="18.0"/>
    <col customWidth="1" min="4" max="4" width="19.5"/>
    <col customWidth="1" min="5" max="5" width="17.38"/>
    <col customWidth="1" min="6" max="6" width="17.88"/>
    <col customWidth="1" min="7" max="7" width="17.75"/>
    <col customWidth="1" min="8" max="8" width="17.13"/>
    <col customWidth="1" min="9" max="9" width="22.88"/>
    <col customWidth="1" min="10" max="10" width="19.38"/>
    <col customWidth="1" min="11" max="11" width="19.75"/>
    <col customWidth="1" min="12" max="12" width="19.25"/>
    <col customWidth="1" min="13" max="13" width="21.25"/>
    <col customWidth="1" min="14" max="14" width="20.0"/>
    <col customWidth="1" min="15" max="15" width="22.63"/>
    <col customWidth="1" min="16" max="16" width="21.13"/>
    <col customWidth="1" min="17" max="19" width="22.38"/>
    <col customWidth="1" min="20" max="20" width="76.63"/>
    <col customWidth="1" min="21" max="21" width="50.88"/>
  </cols>
  <sheetData>
    <row r="1" ht="99.75" customHeight="1">
      <c r="A1" s="1" t="s">
        <v>320</v>
      </c>
      <c r="B1" s="3" t="s">
        <v>3</v>
      </c>
      <c r="C1" s="1" t="s">
        <v>6</v>
      </c>
      <c r="D1" s="1" t="s">
        <v>10</v>
      </c>
      <c r="E1" s="1" t="s">
        <v>12</v>
      </c>
      <c r="F1" s="1" t="s">
        <v>17</v>
      </c>
      <c r="G1" s="3" t="s">
        <v>19</v>
      </c>
      <c r="H1" s="5" t="s">
        <v>21</v>
      </c>
      <c r="I1" s="3" t="s">
        <v>26</v>
      </c>
      <c r="J1" s="3" t="s">
        <v>29</v>
      </c>
      <c r="K1" s="3" t="s">
        <v>31</v>
      </c>
      <c r="L1" s="1" t="s">
        <v>34</v>
      </c>
      <c r="M1" s="1" t="s">
        <v>36</v>
      </c>
      <c r="N1" s="1" t="s">
        <v>38</v>
      </c>
      <c r="O1" s="1" t="s">
        <v>40</v>
      </c>
      <c r="P1" s="1" t="s">
        <v>41</v>
      </c>
      <c r="Q1" s="1" t="s">
        <v>42</v>
      </c>
      <c r="R1" s="1" t="s">
        <v>35</v>
      </c>
      <c r="S1" s="1" t="s">
        <v>43</v>
      </c>
      <c r="T1" s="9" t="s">
        <v>44</v>
      </c>
      <c r="U1" s="1" t="s">
        <v>45</v>
      </c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</row>
    <row r="2">
      <c r="A2" s="14" t="s">
        <v>46</v>
      </c>
      <c r="B2" s="14" t="s">
        <v>47</v>
      </c>
      <c r="C2" s="14" t="s">
        <v>59</v>
      </c>
      <c r="D2" s="16" t="s">
        <v>49</v>
      </c>
      <c r="E2" s="13" t="s">
        <v>64</v>
      </c>
      <c r="F2" s="13" t="s">
        <v>67</v>
      </c>
      <c r="G2" s="14" t="s">
        <v>69</v>
      </c>
      <c r="H2" s="17" t="s">
        <v>71</v>
      </c>
      <c r="I2" s="14" t="s">
        <v>76</v>
      </c>
      <c r="J2" s="14" t="s">
        <v>77</v>
      </c>
      <c r="K2" s="14" t="s">
        <v>78</v>
      </c>
      <c r="L2" s="14" t="s">
        <v>79</v>
      </c>
      <c r="M2" s="13" t="s">
        <v>80</v>
      </c>
      <c r="N2" s="12" t="s">
        <v>81</v>
      </c>
      <c r="O2" s="14" t="s">
        <v>82</v>
      </c>
      <c r="P2" s="14" t="s">
        <v>83</v>
      </c>
      <c r="Q2" s="14" t="s">
        <v>84</v>
      </c>
      <c r="R2" s="13" t="s">
        <v>70</v>
      </c>
      <c r="S2" s="13" t="s">
        <v>85</v>
      </c>
      <c r="T2" s="17" t="s">
        <v>86</v>
      </c>
      <c r="U2" s="14" t="s">
        <v>87</v>
      </c>
    </row>
    <row r="3">
      <c r="A3" s="19" t="s">
        <v>88</v>
      </c>
      <c r="B3" s="19" t="s">
        <v>89</v>
      </c>
      <c r="C3" s="19" t="s">
        <v>89</v>
      </c>
      <c r="D3" s="22" t="s">
        <v>90</v>
      </c>
      <c r="E3" s="22" t="s">
        <v>88</v>
      </c>
      <c r="F3" s="19" t="s">
        <v>88</v>
      </c>
      <c r="G3" s="22" t="s">
        <v>92</v>
      </c>
      <c r="H3" s="19" t="s">
        <v>92</v>
      </c>
      <c r="I3" s="19" t="s">
        <v>88</v>
      </c>
      <c r="J3" s="19" t="s">
        <v>88</v>
      </c>
      <c r="K3" s="19" t="s">
        <v>94</v>
      </c>
      <c r="L3" s="19" t="s">
        <v>88</v>
      </c>
      <c r="M3" s="19" t="s">
        <v>89</v>
      </c>
      <c r="N3" s="19" t="s">
        <v>88</v>
      </c>
      <c r="O3" s="19" t="s">
        <v>94</v>
      </c>
      <c r="P3" s="19" t="s">
        <v>94</v>
      </c>
      <c r="Q3" s="19" t="s">
        <v>94</v>
      </c>
      <c r="R3" s="27" t="s">
        <v>89</v>
      </c>
      <c r="S3" s="27" t="s">
        <v>89</v>
      </c>
      <c r="T3" s="27" t="s">
        <v>89</v>
      </c>
      <c r="U3" s="19" t="s">
        <v>95</v>
      </c>
    </row>
    <row r="4">
      <c r="A4" s="30">
        <v>9500001.0</v>
      </c>
      <c r="B4" s="30" t="s">
        <v>325</v>
      </c>
      <c r="C4" s="30" t="s">
        <v>326</v>
      </c>
      <c r="D4" s="34" t="s">
        <v>145</v>
      </c>
      <c r="E4" s="30">
        <v>1.0</v>
      </c>
      <c r="F4" s="36">
        <v>60000.0</v>
      </c>
      <c r="G4" s="41">
        <v>120401.0</v>
      </c>
      <c r="H4" s="36">
        <v>-1.0</v>
      </c>
      <c r="I4" s="30">
        <v>2.0</v>
      </c>
      <c r="J4" s="30">
        <v>20.0</v>
      </c>
      <c r="K4" s="30">
        <v>1.0</v>
      </c>
      <c r="L4" s="30">
        <v>40.0</v>
      </c>
      <c r="M4" s="30">
        <v>300.0</v>
      </c>
      <c r="N4" s="30">
        <v>9050001.0</v>
      </c>
      <c r="O4" s="30">
        <v>1.0</v>
      </c>
      <c r="P4" s="30">
        <v>1.0</v>
      </c>
      <c r="Q4" s="30">
        <v>1.0</v>
      </c>
      <c r="R4" s="30" t="s">
        <v>327</v>
      </c>
      <c r="S4" s="30" t="s">
        <v>328</v>
      </c>
      <c r="T4" s="44" t="s">
        <v>215</v>
      </c>
      <c r="U4" s="34" t="s">
        <v>111</v>
      </c>
    </row>
    <row r="5">
      <c r="A5" s="42">
        <f t="shared" ref="A5:A23" si="2">A4+1</f>
        <v>9500002</v>
      </c>
      <c r="B5" s="30" t="s">
        <v>330</v>
      </c>
      <c r="C5" s="30" t="s">
        <v>326</v>
      </c>
      <c r="D5" s="34" t="s">
        <v>145</v>
      </c>
      <c r="E5" s="30">
        <v>2.0</v>
      </c>
      <c r="F5" s="36">
        <v>60000.0</v>
      </c>
      <c r="G5" s="41">
        <v>120401.0</v>
      </c>
      <c r="H5" s="36">
        <v>-1.0</v>
      </c>
      <c r="I5" s="30">
        <v>2.0</v>
      </c>
      <c r="J5" s="30">
        <v>20.0</v>
      </c>
      <c r="K5" s="30">
        <v>1.0</v>
      </c>
      <c r="L5" s="30">
        <v>40.0</v>
      </c>
      <c r="M5" s="42">
        <f t="shared" ref="M5:M23" si="3">ROUND(M4*1.45,0)</f>
        <v>435</v>
      </c>
      <c r="N5" s="30">
        <v>9050002.0</v>
      </c>
      <c r="O5" s="46">
        <f t="shared" ref="O5:P5" si="1">O4+(O4*0.5)</f>
        <v>1.5</v>
      </c>
      <c r="P5" s="46">
        <f t="shared" si="1"/>
        <v>1.5</v>
      </c>
      <c r="Q5" s="30">
        <f>Q4*(1+(E5-1))</f>
        <v>2</v>
      </c>
      <c r="R5" s="30" t="s">
        <v>327</v>
      </c>
      <c r="S5" s="30" t="s">
        <v>328</v>
      </c>
      <c r="T5" s="44" t="s">
        <v>215</v>
      </c>
      <c r="U5" s="34" t="s">
        <v>111</v>
      </c>
    </row>
    <row r="6">
      <c r="A6" s="42">
        <f t="shared" si="2"/>
        <v>9500003</v>
      </c>
      <c r="B6" s="30" t="s">
        <v>335</v>
      </c>
      <c r="C6" s="30" t="s">
        <v>326</v>
      </c>
      <c r="D6" s="34" t="s">
        <v>145</v>
      </c>
      <c r="E6" s="30">
        <v>3.0</v>
      </c>
      <c r="F6" s="36">
        <v>60000.0</v>
      </c>
      <c r="G6" s="41">
        <v>120401.0</v>
      </c>
      <c r="H6" s="36">
        <v>-1.0</v>
      </c>
      <c r="I6" s="30">
        <v>2.0</v>
      </c>
      <c r="J6" s="30">
        <v>20.0</v>
      </c>
      <c r="K6" s="30">
        <v>1.0</v>
      </c>
      <c r="L6" s="30">
        <v>40.0</v>
      </c>
      <c r="M6" s="42">
        <f t="shared" si="3"/>
        <v>631</v>
      </c>
      <c r="N6" s="30">
        <v>9050003.0</v>
      </c>
      <c r="O6" s="46">
        <f t="shared" ref="O6:P6" si="4">O5+(O5*0.5)</f>
        <v>2.25</v>
      </c>
      <c r="P6" s="46">
        <f t="shared" si="4"/>
        <v>2.25</v>
      </c>
      <c r="Q6" s="30">
        <f t="shared" ref="Q6:Q13" si="6">Q5+(1*(E6-1))</f>
        <v>4</v>
      </c>
      <c r="R6" s="30" t="s">
        <v>327</v>
      </c>
      <c r="S6" s="30" t="s">
        <v>328</v>
      </c>
      <c r="T6" s="44" t="s">
        <v>215</v>
      </c>
      <c r="U6" s="34" t="s">
        <v>111</v>
      </c>
    </row>
    <row r="7">
      <c r="A7" s="42">
        <f t="shared" si="2"/>
        <v>9500004</v>
      </c>
      <c r="B7" s="30" t="s">
        <v>339</v>
      </c>
      <c r="C7" s="30" t="s">
        <v>326</v>
      </c>
      <c r="D7" s="34" t="s">
        <v>145</v>
      </c>
      <c r="E7" s="30">
        <v>4.0</v>
      </c>
      <c r="F7" s="36">
        <v>60000.0</v>
      </c>
      <c r="G7" s="41">
        <v>120401.0</v>
      </c>
      <c r="H7" s="36">
        <v>-1.0</v>
      </c>
      <c r="I7" s="30">
        <v>2.0</v>
      </c>
      <c r="J7" s="30">
        <v>20.0</v>
      </c>
      <c r="K7" s="30">
        <v>1.0</v>
      </c>
      <c r="L7" s="30">
        <v>40.0</v>
      </c>
      <c r="M7" s="42">
        <f t="shared" si="3"/>
        <v>915</v>
      </c>
      <c r="N7" s="30">
        <v>9050004.0</v>
      </c>
      <c r="O7" s="46">
        <f t="shared" ref="O7:P7" si="5">O6+(O6*0.5)</f>
        <v>3.375</v>
      </c>
      <c r="P7" s="46">
        <f t="shared" si="5"/>
        <v>3.375</v>
      </c>
      <c r="Q7" s="30">
        <f t="shared" si="6"/>
        <v>7</v>
      </c>
      <c r="R7" s="30" t="s">
        <v>327</v>
      </c>
      <c r="S7" s="30" t="s">
        <v>328</v>
      </c>
      <c r="T7" s="44" t="s">
        <v>215</v>
      </c>
      <c r="U7" s="34" t="s">
        <v>111</v>
      </c>
    </row>
    <row r="8">
      <c r="A8" s="42">
        <f t="shared" si="2"/>
        <v>9500005</v>
      </c>
      <c r="B8" s="30" t="s">
        <v>343</v>
      </c>
      <c r="C8" s="30" t="s">
        <v>326</v>
      </c>
      <c r="D8" s="34" t="s">
        <v>145</v>
      </c>
      <c r="E8" s="30">
        <v>5.0</v>
      </c>
      <c r="F8" s="36">
        <v>60000.0</v>
      </c>
      <c r="G8" s="41">
        <v>120401.0</v>
      </c>
      <c r="H8" s="36">
        <v>-1.0</v>
      </c>
      <c r="I8" s="30">
        <v>2.0</v>
      </c>
      <c r="J8" s="30">
        <v>20.0</v>
      </c>
      <c r="K8" s="30">
        <v>1.0</v>
      </c>
      <c r="L8" s="30">
        <v>40.0</v>
      </c>
      <c r="M8" s="42">
        <f t="shared" si="3"/>
        <v>1327</v>
      </c>
      <c r="N8" s="30">
        <v>9050005.0</v>
      </c>
      <c r="O8" s="46">
        <f t="shared" ref="O8:P8" si="7">O7+(O7*0.5)</f>
        <v>5.0625</v>
      </c>
      <c r="P8" s="46">
        <f t="shared" si="7"/>
        <v>5.0625</v>
      </c>
      <c r="Q8" s="30">
        <f t="shared" si="6"/>
        <v>11</v>
      </c>
      <c r="R8" s="30" t="s">
        <v>327</v>
      </c>
      <c r="S8" s="30" t="s">
        <v>328</v>
      </c>
      <c r="T8" s="44" t="s">
        <v>215</v>
      </c>
      <c r="U8" s="34" t="s">
        <v>111</v>
      </c>
    </row>
    <row r="9">
      <c r="A9" s="42">
        <f t="shared" si="2"/>
        <v>9500006</v>
      </c>
      <c r="B9" s="30" t="s">
        <v>347</v>
      </c>
      <c r="C9" s="30" t="s">
        <v>326</v>
      </c>
      <c r="D9" s="34" t="s">
        <v>145</v>
      </c>
      <c r="E9" s="30">
        <v>6.0</v>
      </c>
      <c r="F9" s="36">
        <v>60000.0</v>
      </c>
      <c r="G9" s="41">
        <v>120401.0</v>
      </c>
      <c r="H9" s="36">
        <v>-1.0</v>
      </c>
      <c r="I9" s="30">
        <v>2.0</v>
      </c>
      <c r="J9" s="30">
        <v>20.0</v>
      </c>
      <c r="K9" s="30">
        <v>1.0</v>
      </c>
      <c r="L9" s="30">
        <v>40.0</v>
      </c>
      <c r="M9" s="42">
        <f t="shared" si="3"/>
        <v>1924</v>
      </c>
      <c r="N9" s="30">
        <v>9050006.0</v>
      </c>
      <c r="O9" s="46">
        <f t="shared" ref="O9:P9" si="8">O8+(O8*0.5)</f>
        <v>7.59375</v>
      </c>
      <c r="P9" s="46">
        <f t="shared" si="8"/>
        <v>7.59375</v>
      </c>
      <c r="Q9" s="30">
        <f t="shared" si="6"/>
        <v>16</v>
      </c>
      <c r="R9" s="30" t="s">
        <v>327</v>
      </c>
      <c r="S9" s="30" t="s">
        <v>328</v>
      </c>
      <c r="T9" s="44" t="s">
        <v>215</v>
      </c>
      <c r="U9" s="34" t="s">
        <v>111</v>
      </c>
    </row>
    <row r="10">
      <c r="A10" s="42">
        <f t="shared" si="2"/>
        <v>9500007</v>
      </c>
      <c r="B10" s="30" t="s">
        <v>350</v>
      </c>
      <c r="C10" s="30" t="s">
        <v>326</v>
      </c>
      <c r="D10" s="34" t="s">
        <v>145</v>
      </c>
      <c r="E10" s="30">
        <v>7.0</v>
      </c>
      <c r="F10" s="36">
        <v>60000.0</v>
      </c>
      <c r="G10" s="41">
        <v>120401.0</v>
      </c>
      <c r="H10" s="36">
        <v>-1.0</v>
      </c>
      <c r="I10" s="30">
        <v>2.0</v>
      </c>
      <c r="J10" s="30">
        <v>20.0</v>
      </c>
      <c r="K10" s="30">
        <v>1.0</v>
      </c>
      <c r="L10" s="30">
        <v>40.0</v>
      </c>
      <c r="M10" s="42">
        <f t="shared" si="3"/>
        <v>2790</v>
      </c>
      <c r="N10" s="30">
        <v>9050007.0</v>
      </c>
      <c r="O10" s="46">
        <f t="shared" ref="O10:P10" si="9">O9+(O9*0.5)</f>
        <v>11.390625</v>
      </c>
      <c r="P10" s="46">
        <f t="shared" si="9"/>
        <v>11.390625</v>
      </c>
      <c r="Q10" s="30">
        <f t="shared" si="6"/>
        <v>22</v>
      </c>
      <c r="R10" s="30" t="s">
        <v>327</v>
      </c>
      <c r="S10" s="30" t="s">
        <v>328</v>
      </c>
      <c r="T10" s="44" t="s">
        <v>215</v>
      </c>
      <c r="U10" s="34" t="s">
        <v>111</v>
      </c>
    </row>
    <row r="11">
      <c r="A11" s="42">
        <f t="shared" si="2"/>
        <v>9500008</v>
      </c>
      <c r="B11" s="30" t="s">
        <v>354</v>
      </c>
      <c r="C11" s="30" t="s">
        <v>326</v>
      </c>
      <c r="D11" s="34" t="s">
        <v>145</v>
      </c>
      <c r="E11" s="30">
        <v>8.0</v>
      </c>
      <c r="F11" s="36">
        <v>60000.0</v>
      </c>
      <c r="G11" s="41">
        <v>120401.0</v>
      </c>
      <c r="H11" s="36">
        <v>-1.0</v>
      </c>
      <c r="I11" s="30">
        <v>2.0</v>
      </c>
      <c r="J11" s="30">
        <v>20.0</v>
      </c>
      <c r="K11" s="30">
        <v>1.0</v>
      </c>
      <c r="L11" s="30">
        <v>40.0</v>
      </c>
      <c r="M11" s="42">
        <f t="shared" si="3"/>
        <v>4046</v>
      </c>
      <c r="N11" s="30">
        <v>9050008.0</v>
      </c>
      <c r="O11" s="46">
        <f t="shared" ref="O11:P11" si="10">O10+(O10*0.5)</f>
        <v>17.0859375</v>
      </c>
      <c r="P11" s="46">
        <f t="shared" si="10"/>
        <v>17.0859375</v>
      </c>
      <c r="Q11" s="30">
        <f t="shared" si="6"/>
        <v>29</v>
      </c>
      <c r="R11" s="30" t="s">
        <v>327</v>
      </c>
      <c r="S11" s="30" t="s">
        <v>328</v>
      </c>
      <c r="T11" s="44" t="s">
        <v>215</v>
      </c>
      <c r="U11" s="34" t="s">
        <v>111</v>
      </c>
    </row>
    <row r="12">
      <c r="A12" s="42">
        <f t="shared" si="2"/>
        <v>9500009</v>
      </c>
      <c r="B12" s="30" t="s">
        <v>355</v>
      </c>
      <c r="C12" s="30" t="s">
        <v>326</v>
      </c>
      <c r="D12" s="34" t="s">
        <v>145</v>
      </c>
      <c r="E12" s="30">
        <v>9.0</v>
      </c>
      <c r="F12" s="36">
        <v>60000.0</v>
      </c>
      <c r="G12" s="41">
        <v>120401.0</v>
      </c>
      <c r="H12" s="36">
        <v>-1.0</v>
      </c>
      <c r="I12" s="30">
        <v>2.0</v>
      </c>
      <c r="J12" s="30">
        <v>20.0</v>
      </c>
      <c r="K12" s="30">
        <v>1.0</v>
      </c>
      <c r="L12" s="30">
        <v>40.0</v>
      </c>
      <c r="M12" s="42">
        <f t="shared" si="3"/>
        <v>5867</v>
      </c>
      <c r="N12" s="30">
        <v>9050009.0</v>
      </c>
      <c r="O12" s="46">
        <f t="shared" ref="O12:P12" si="11">O11+(O11*0.5)</f>
        <v>25.62890625</v>
      </c>
      <c r="P12" s="46">
        <f t="shared" si="11"/>
        <v>25.62890625</v>
      </c>
      <c r="Q12" s="30">
        <f t="shared" si="6"/>
        <v>37</v>
      </c>
      <c r="R12" s="30" t="s">
        <v>327</v>
      </c>
      <c r="S12" s="30" t="s">
        <v>328</v>
      </c>
      <c r="T12" s="44" t="s">
        <v>215</v>
      </c>
      <c r="U12" s="34" t="s">
        <v>111</v>
      </c>
    </row>
    <row r="13">
      <c r="A13" s="42">
        <f t="shared" si="2"/>
        <v>9500010</v>
      </c>
      <c r="B13" s="30" t="s">
        <v>356</v>
      </c>
      <c r="C13" s="30" t="s">
        <v>326</v>
      </c>
      <c r="D13" s="34" t="s">
        <v>145</v>
      </c>
      <c r="E13" s="30">
        <v>10.0</v>
      </c>
      <c r="F13" s="36">
        <v>60000.0</v>
      </c>
      <c r="G13" s="41">
        <v>120401.0</v>
      </c>
      <c r="H13" s="36">
        <v>-1.0</v>
      </c>
      <c r="I13" s="30">
        <v>2.0</v>
      </c>
      <c r="J13" s="30">
        <v>20.0</v>
      </c>
      <c r="K13" s="30">
        <v>1.0</v>
      </c>
      <c r="L13" s="30">
        <v>40.0</v>
      </c>
      <c r="M13" s="42">
        <f t="shared" si="3"/>
        <v>8507</v>
      </c>
      <c r="N13" s="30">
        <v>9050010.0</v>
      </c>
      <c r="O13" s="46">
        <f t="shared" ref="O13:P13" si="12">O12+(O12*0.5)</f>
        <v>38.44335938</v>
      </c>
      <c r="P13" s="46">
        <f t="shared" si="12"/>
        <v>38.44335938</v>
      </c>
      <c r="Q13" s="30">
        <f t="shared" si="6"/>
        <v>46</v>
      </c>
      <c r="R13" s="30" t="s">
        <v>327</v>
      </c>
      <c r="S13" s="30" t="s">
        <v>328</v>
      </c>
      <c r="T13" s="44" t="s">
        <v>215</v>
      </c>
      <c r="U13" s="34" t="s">
        <v>111</v>
      </c>
    </row>
    <row r="14">
      <c r="A14" s="42">
        <f t="shared" si="2"/>
        <v>9500011</v>
      </c>
      <c r="B14" s="30" t="s">
        <v>357</v>
      </c>
      <c r="C14" s="30" t="s">
        <v>326</v>
      </c>
      <c r="D14" s="34" t="s">
        <v>145</v>
      </c>
      <c r="E14" s="30">
        <v>11.0</v>
      </c>
      <c r="F14" s="36">
        <v>60000.0</v>
      </c>
      <c r="G14" s="41">
        <v>120401.0</v>
      </c>
      <c r="H14" s="36">
        <v>-1.0</v>
      </c>
      <c r="I14" s="30">
        <v>2.0</v>
      </c>
      <c r="J14" s="30">
        <v>20.0</v>
      </c>
      <c r="K14" s="30">
        <v>1.0</v>
      </c>
      <c r="L14" s="30">
        <v>40.0</v>
      </c>
      <c r="M14" s="42">
        <f t="shared" si="3"/>
        <v>12335</v>
      </c>
      <c r="N14" s="30">
        <v>9050011.0</v>
      </c>
      <c r="O14" s="30">
        <v>2.200000000000001</v>
      </c>
      <c r="P14" s="30">
        <v>2.200000000000001</v>
      </c>
      <c r="Q14" s="30">
        <v>5.500000000000001</v>
      </c>
      <c r="R14" s="30" t="s">
        <v>327</v>
      </c>
      <c r="S14" s="30" t="s">
        <v>328</v>
      </c>
      <c r="T14" s="44" t="s">
        <v>215</v>
      </c>
      <c r="U14" s="34" t="s">
        <v>111</v>
      </c>
    </row>
    <row r="15">
      <c r="A15" s="42">
        <f t="shared" si="2"/>
        <v>9500012</v>
      </c>
      <c r="B15" s="30" t="s">
        <v>358</v>
      </c>
      <c r="C15" s="30" t="s">
        <v>326</v>
      </c>
      <c r="D15" s="34" t="s">
        <v>145</v>
      </c>
      <c r="E15" s="30">
        <v>12.0</v>
      </c>
      <c r="F15" s="36">
        <v>60000.0</v>
      </c>
      <c r="G15" s="41">
        <v>120401.0</v>
      </c>
      <c r="H15" s="36">
        <v>-1.0</v>
      </c>
      <c r="I15" s="30">
        <v>2.0</v>
      </c>
      <c r="J15" s="30">
        <v>20.0</v>
      </c>
      <c r="K15" s="30">
        <v>1.0</v>
      </c>
      <c r="L15" s="30">
        <v>40.0</v>
      </c>
      <c r="M15" s="42">
        <f t="shared" si="3"/>
        <v>17886</v>
      </c>
      <c r="N15" s="30">
        <v>9050012.0</v>
      </c>
      <c r="O15" s="30">
        <v>2.320000000000001</v>
      </c>
      <c r="P15" s="30">
        <v>2.320000000000001</v>
      </c>
      <c r="Q15" s="30">
        <v>5.950000000000001</v>
      </c>
      <c r="R15" s="30" t="s">
        <v>327</v>
      </c>
      <c r="S15" s="30" t="s">
        <v>328</v>
      </c>
      <c r="T15" s="44" t="s">
        <v>215</v>
      </c>
      <c r="U15" s="34" t="s">
        <v>111</v>
      </c>
    </row>
    <row r="16">
      <c r="A16" s="42">
        <f t="shared" si="2"/>
        <v>9500013</v>
      </c>
      <c r="B16" s="30" t="s">
        <v>359</v>
      </c>
      <c r="C16" s="30" t="s">
        <v>326</v>
      </c>
      <c r="D16" s="34" t="s">
        <v>145</v>
      </c>
      <c r="E16" s="30">
        <v>13.0</v>
      </c>
      <c r="F16" s="36">
        <v>60000.0</v>
      </c>
      <c r="G16" s="41">
        <v>120401.0</v>
      </c>
      <c r="H16" s="36">
        <v>-1.0</v>
      </c>
      <c r="I16" s="30">
        <v>2.0</v>
      </c>
      <c r="J16" s="30">
        <v>20.0</v>
      </c>
      <c r="K16" s="30">
        <v>1.0</v>
      </c>
      <c r="L16" s="30">
        <v>40.0</v>
      </c>
      <c r="M16" s="42">
        <f t="shared" si="3"/>
        <v>25935</v>
      </c>
      <c r="N16" s="30">
        <v>9050013.0</v>
      </c>
      <c r="O16" s="30">
        <v>2.4400000000000013</v>
      </c>
      <c r="P16" s="30">
        <v>2.4400000000000013</v>
      </c>
      <c r="Q16" s="30">
        <v>6.400000000000001</v>
      </c>
      <c r="R16" s="30" t="s">
        <v>327</v>
      </c>
      <c r="S16" s="30" t="s">
        <v>328</v>
      </c>
      <c r="T16" s="44" t="s">
        <v>215</v>
      </c>
      <c r="U16" s="34" t="s">
        <v>111</v>
      </c>
    </row>
    <row r="17">
      <c r="A17" s="42">
        <f t="shared" si="2"/>
        <v>9500014</v>
      </c>
      <c r="B17" s="30" t="s">
        <v>360</v>
      </c>
      <c r="C17" s="30" t="s">
        <v>326</v>
      </c>
      <c r="D17" s="34" t="s">
        <v>145</v>
      </c>
      <c r="E17" s="30">
        <v>14.0</v>
      </c>
      <c r="F17" s="36">
        <v>60000.0</v>
      </c>
      <c r="G17" s="41">
        <v>120401.0</v>
      </c>
      <c r="H17" s="36">
        <v>-1.0</v>
      </c>
      <c r="I17" s="30">
        <v>2.0</v>
      </c>
      <c r="J17" s="30">
        <v>20.0</v>
      </c>
      <c r="K17" s="30">
        <v>1.0</v>
      </c>
      <c r="L17" s="30">
        <v>40.0</v>
      </c>
      <c r="M17" s="42">
        <f t="shared" si="3"/>
        <v>37606</v>
      </c>
      <c r="N17" s="30">
        <v>9050014.0</v>
      </c>
      <c r="O17" s="30">
        <v>2.5600000000000014</v>
      </c>
      <c r="P17" s="30">
        <v>2.5600000000000014</v>
      </c>
      <c r="Q17" s="30">
        <v>6.850000000000001</v>
      </c>
      <c r="R17" s="30" t="s">
        <v>327</v>
      </c>
      <c r="S17" s="30" t="s">
        <v>328</v>
      </c>
      <c r="T17" s="44" t="s">
        <v>215</v>
      </c>
      <c r="U17" s="34" t="s">
        <v>111</v>
      </c>
    </row>
    <row r="18">
      <c r="A18" s="42">
        <f t="shared" si="2"/>
        <v>9500015</v>
      </c>
      <c r="B18" s="30" t="s">
        <v>361</v>
      </c>
      <c r="C18" s="30" t="s">
        <v>326</v>
      </c>
      <c r="D18" s="34" t="s">
        <v>145</v>
      </c>
      <c r="E18" s="30">
        <v>15.0</v>
      </c>
      <c r="F18" s="36">
        <v>60000.0</v>
      </c>
      <c r="G18" s="41">
        <v>120401.0</v>
      </c>
      <c r="H18" s="36">
        <v>-1.0</v>
      </c>
      <c r="I18" s="30">
        <v>2.0</v>
      </c>
      <c r="J18" s="30">
        <v>20.0</v>
      </c>
      <c r="K18" s="30">
        <v>1.0</v>
      </c>
      <c r="L18" s="30">
        <v>40.0</v>
      </c>
      <c r="M18" s="42">
        <f t="shared" si="3"/>
        <v>54529</v>
      </c>
      <c r="N18" s="30">
        <v>9050015.0</v>
      </c>
      <c r="O18" s="30">
        <v>2.6800000000000015</v>
      </c>
      <c r="P18" s="30">
        <v>2.6800000000000015</v>
      </c>
      <c r="Q18" s="30">
        <v>7.300000000000002</v>
      </c>
      <c r="R18" s="30" t="s">
        <v>327</v>
      </c>
      <c r="S18" s="30" t="s">
        <v>328</v>
      </c>
      <c r="T18" s="44" t="s">
        <v>215</v>
      </c>
      <c r="U18" s="34" t="s">
        <v>111</v>
      </c>
    </row>
    <row r="19">
      <c r="A19" s="42">
        <f t="shared" si="2"/>
        <v>9500016</v>
      </c>
      <c r="B19" s="30" t="s">
        <v>362</v>
      </c>
      <c r="C19" s="30" t="s">
        <v>326</v>
      </c>
      <c r="D19" s="34" t="s">
        <v>145</v>
      </c>
      <c r="E19" s="30">
        <v>16.0</v>
      </c>
      <c r="F19" s="36">
        <v>60000.0</v>
      </c>
      <c r="G19" s="41">
        <v>120401.0</v>
      </c>
      <c r="H19" s="36">
        <v>-1.0</v>
      </c>
      <c r="I19" s="30">
        <v>2.0</v>
      </c>
      <c r="J19" s="30">
        <v>20.0</v>
      </c>
      <c r="K19" s="30">
        <v>1.0</v>
      </c>
      <c r="L19" s="30">
        <v>40.0</v>
      </c>
      <c r="M19" s="42">
        <f t="shared" si="3"/>
        <v>79067</v>
      </c>
      <c r="N19" s="30">
        <v>9050016.0</v>
      </c>
      <c r="O19" s="30">
        <v>2.8000000000000016</v>
      </c>
      <c r="P19" s="30">
        <v>2.8000000000000016</v>
      </c>
      <c r="Q19" s="30">
        <v>7.750000000000002</v>
      </c>
      <c r="R19" s="30" t="s">
        <v>327</v>
      </c>
      <c r="S19" s="30" t="s">
        <v>328</v>
      </c>
      <c r="T19" s="44" t="s">
        <v>215</v>
      </c>
      <c r="U19" s="34" t="s">
        <v>111</v>
      </c>
    </row>
    <row r="20">
      <c r="A20" s="42">
        <f t="shared" si="2"/>
        <v>9500017</v>
      </c>
      <c r="B20" s="30" t="s">
        <v>363</v>
      </c>
      <c r="C20" s="30" t="s">
        <v>326</v>
      </c>
      <c r="D20" s="34" t="s">
        <v>145</v>
      </c>
      <c r="E20" s="30">
        <v>17.0</v>
      </c>
      <c r="F20" s="36">
        <v>60000.0</v>
      </c>
      <c r="G20" s="41">
        <v>120401.0</v>
      </c>
      <c r="H20" s="36">
        <v>-1.0</v>
      </c>
      <c r="I20" s="30">
        <v>2.0</v>
      </c>
      <c r="J20" s="30">
        <v>20.0</v>
      </c>
      <c r="K20" s="30">
        <v>1.0</v>
      </c>
      <c r="L20" s="30">
        <v>40.0</v>
      </c>
      <c r="M20" s="42">
        <f t="shared" si="3"/>
        <v>114647</v>
      </c>
      <c r="N20" s="30">
        <v>9050017.0</v>
      </c>
      <c r="O20" s="30">
        <v>2.9200000000000017</v>
      </c>
      <c r="P20" s="30">
        <v>2.9200000000000017</v>
      </c>
      <c r="Q20" s="30">
        <v>8.200000000000001</v>
      </c>
      <c r="R20" s="30" t="s">
        <v>327</v>
      </c>
      <c r="S20" s="30" t="s">
        <v>328</v>
      </c>
      <c r="T20" s="44" t="s">
        <v>215</v>
      </c>
      <c r="U20" s="34" t="s">
        <v>111</v>
      </c>
    </row>
    <row r="21">
      <c r="A21" s="42">
        <f t="shared" si="2"/>
        <v>9500018</v>
      </c>
      <c r="B21" s="30" t="s">
        <v>364</v>
      </c>
      <c r="C21" s="30" t="s">
        <v>326</v>
      </c>
      <c r="D21" s="34" t="s">
        <v>145</v>
      </c>
      <c r="E21" s="30">
        <v>18.0</v>
      </c>
      <c r="F21" s="36">
        <v>60000.0</v>
      </c>
      <c r="G21" s="41">
        <v>120401.0</v>
      </c>
      <c r="H21" s="36">
        <v>-1.0</v>
      </c>
      <c r="I21" s="30">
        <v>2.0</v>
      </c>
      <c r="J21" s="30">
        <v>20.0</v>
      </c>
      <c r="K21" s="30">
        <v>1.0</v>
      </c>
      <c r="L21" s="30">
        <v>40.0</v>
      </c>
      <c r="M21" s="42">
        <f t="shared" si="3"/>
        <v>166238</v>
      </c>
      <c r="N21" s="30">
        <v>9050018.0</v>
      </c>
      <c r="O21" s="30">
        <v>3.040000000000002</v>
      </c>
      <c r="P21" s="30">
        <v>3.040000000000002</v>
      </c>
      <c r="Q21" s="30">
        <v>8.65</v>
      </c>
      <c r="R21" s="30" t="s">
        <v>327</v>
      </c>
      <c r="S21" s="30" t="s">
        <v>328</v>
      </c>
      <c r="T21" s="44" t="s">
        <v>215</v>
      </c>
      <c r="U21" s="34" t="s">
        <v>111</v>
      </c>
    </row>
    <row r="22">
      <c r="A22" s="42">
        <f t="shared" si="2"/>
        <v>9500019</v>
      </c>
      <c r="B22" s="30" t="s">
        <v>365</v>
      </c>
      <c r="C22" s="30" t="s">
        <v>326</v>
      </c>
      <c r="D22" s="34" t="s">
        <v>145</v>
      </c>
      <c r="E22" s="30">
        <v>19.0</v>
      </c>
      <c r="F22" s="36">
        <v>60000.0</v>
      </c>
      <c r="G22" s="41">
        <v>120401.0</v>
      </c>
      <c r="H22" s="36">
        <v>-1.0</v>
      </c>
      <c r="I22" s="30">
        <v>2.0</v>
      </c>
      <c r="J22" s="30">
        <v>20.0</v>
      </c>
      <c r="K22" s="30">
        <v>1.0</v>
      </c>
      <c r="L22" s="30">
        <v>40.0</v>
      </c>
      <c r="M22" s="42">
        <f t="shared" si="3"/>
        <v>241045</v>
      </c>
      <c r="N22" s="30">
        <v>9050019.0</v>
      </c>
      <c r="O22" s="30">
        <v>3.160000000000002</v>
      </c>
      <c r="P22" s="30">
        <v>3.160000000000002</v>
      </c>
      <c r="Q22" s="30">
        <v>9.1</v>
      </c>
      <c r="R22" s="30" t="s">
        <v>327</v>
      </c>
      <c r="S22" s="30" t="s">
        <v>328</v>
      </c>
      <c r="T22" s="44" t="s">
        <v>215</v>
      </c>
      <c r="U22" s="34" t="s">
        <v>111</v>
      </c>
    </row>
    <row r="23">
      <c r="A23" s="42">
        <f t="shared" si="2"/>
        <v>9500020</v>
      </c>
      <c r="B23" s="30" t="s">
        <v>366</v>
      </c>
      <c r="C23" s="30" t="s">
        <v>326</v>
      </c>
      <c r="D23" s="34" t="s">
        <v>145</v>
      </c>
      <c r="E23" s="30">
        <v>20.0</v>
      </c>
      <c r="F23" s="36">
        <v>60000.0</v>
      </c>
      <c r="G23" s="41">
        <v>120401.0</v>
      </c>
      <c r="H23" s="36">
        <v>-1.0</v>
      </c>
      <c r="I23" s="30">
        <v>2.0</v>
      </c>
      <c r="J23" s="30">
        <v>20.0</v>
      </c>
      <c r="K23" s="30">
        <v>1.0</v>
      </c>
      <c r="L23" s="30">
        <v>40.0</v>
      </c>
      <c r="M23" s="42">
        <f t="shared" si="3"/>
        <v>349515</v>
      </c>
      <c r="N23" s="30">
        <v>9050020.0</v>
      </c>
      <c r="O23" s="30">
        <v>3.280000000000002</v>
      </c>
      <c r="P23" s="30">
        <v>3.280000000000002</v>
      </c>
      <c r="Q23" s="30">
        <v>9.549999999999999</v>
      </c>
      <c r="R23" s="30" t="s">
        <v>327</v>
      </c>
      <c r="S23" s="30" t="s">
        <v>328</v>
      </c>
      <c r="T23" s="44" t="s">
        <v>215</v>
      </c>
      <c r="U23" s="34" t="s">
        <v>111</v>
      </c>
    </row>
  </sheetData>
  <dataValidations>
    <dataValidation type="list" allowBlank="1" showErrorMessage="1" sqref="D4:D23">
      <formula1>"Gold,EXP,Trait,Relic,Ooparts,Equipment"</formula1>
    </dataValidation>
  </dataValidation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23.5"/>
    <col customWidth="1" min="3" max="3" width="22.25"/>
    <col customWidth="1" min="4" max="4" width="21.75"/>
    <col customWidth="1" min="5" max="5" width="20.0"/>
    <col customWidth="1" min="6" max="6" width="23.0"/>
    <col customWidth="1" min="7" max="7" width="21.5"/>
    <col customWidth="1" min="8" max="8" width="19.25"/>
    <col customWidth="1" min="9" max="9" width="25.5"/>
    <col customWidth="1" min="10" max="10" width="23.0"/>
  </cols>
  <sheetData>
    <row r="1" ht="106.5" customHeight="1">
      <c r="A1" s="1" t="s">
        <v>321</v>
      </c>
      <c r="B1" s="3" t="s">
        <v>3</v>
      </c>
      <c r="C1" s="3" t="s">
        <v>6</v>
      </c>
      <c r="D1" s="1" t="s">
        <v>9</v>
      </c>
      <c r="E1" s="1" t="s">
        <v>14</v>
      </c>
      <c r="F1" s="1" t="s">
        <v>16</v>
      </c>
      <c r="G1" s="1" t="s">
        <v>18</v>
      </c>
      <c r="H1" s="1" t="s">
        <v>22</v>
      </c>
      <c r="I1" s="1" t="s">
        <v>24</v>
      </c>
      <c r="J1" s="1" t="s">
        <v>28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4" t="s">
        <v>46</v>
      </c>
      <c r="B2" s="14" t="s">
        <v>47</v>
      </c>
      <c r="C2" s="13" t="s">
        <v>55</v>
      </c>
      <c r="D2" s="13" t="s">
        <v>57</v>
      </c>
      <c r="E2" s="13" t="s">
        <v>60</v>
      </c>
      <c r="F2" s="13" t="s">
        <v>62</v>
      </c>
      <c r="G2" s="13" t="s">
        <v>65</v>
      </c>
      <c r="H2" s="13" t="s">
        <v>68</v>
      </c>
      <c r="I2" s="13" t="s">
        <v>72</v>
      </c>
      <c r="J2" s="13" t="s">
        <v>74</v>
      </c>
    </row>
    <row r="3">
      <c r="A3" s="25" t="s">
        <v>88</v>
      </c>
      <c r="B3" s="25" t="s">
        <v>89</v>
      </c>
      <c r="C3" s="25" t="s">
        <v>89</v>
      </c>
      <c r="D3" s="25" t="s">
        <v>93</v>
      </c>
      <c r="E3" s="25" t="s">
        <v>88</v>
      </c>
      <c r="F3" s="25" t="s">
        <v>93</v>
      </c>
      <c r="G3" s="25" t="s">
        <v>88</v>
      </c>
      <c r="H3" s="25" t="s">
        <v>96</v>
      </c>
      <c r="I3" s="25" t="s">
        <v>93</v>
      </c>
      <c r="J3" s="25" t="s">
        <v>88</v>
      </c>
    </row>
    <row r="4">
      <c r="A4" s="30">
        <v>9050001.0</v>
      </c>
      <c r="B4" s="30" t="s">
        <v>322</v>
      </c>
      <c r="C4" s="30" t="s">
        <v>323</v>
      </c>
      <c r="D4" s="34" t="s">
        <v>324</v>
      </c>
      <c r="E4" s="30">
        <v>2000.0</v>
      </c>
      <c r="F4" s="34" t="s">
        <v>117</v>
      </c>
      <c r="G4" s="30">
        <v>0.0</v>
      </c>
      <c r="H4" s="30" t="b">
        <v>1</v>
      </c>
      <c r="I4" s="34" t="s">
        <v>324</v>
      </c>
      <c r="J4" s="30">
        <v>2000.0</v>
      </c>
    </row>
    <row r="5">
      <c r="A5" s="30">
        <v>9050002.0</v>
      </c>
      <c r="B5" s="30" t="s">
        <v>329</v>
      </c>
      <c r="C5" s="30" t="s">
        <v>323</v>
      </c>
      <c r="D5" s="34" t="s">
        <v>324</v>
      </c>
      <c r="E5" s="42">
        <f t="shared" ref="E5:E23" si="1">Round(E4*1.13,0)</f>
        <v>2260</v>
      </c>
      <c r="F5" s="34" t="s">
        <v>117</v>
      </c>
      <c r="G5" s="30">
        <v>0.0</v>
      </c>
      <c r="H5" s="30" t="b">
        <v>1</v>
      </c>
      <c r="I5" s="34" t="s">
        <v>324</v>
      </c>
      <c r="J5" s="30">
        <v>2000.0</v>
      </c>
    </row>
    <row r="6">
      <c r="A6" s="30">
        <v>9050003.0</v>
      </c>
      <c r="B6" s="30" t="s">
        <v>331</v>
      </c>
      <c r="C6" s="30" t="s">
        <v>323</v>
      </c>
      <c r="D6" s="34" t="s">
        <v>324</v>
      </c>
      <c r="E6" s="42">
        <f t="shared" si="1"/>
        <v>2554</v>
      </c>
      <c r="F6" s="34" t="s">
        <v>117</v>
      </c>
      <c r="G6" s="30">
        <v>0.0</v>
      </c>
      <c r="H6" s="30" t="b">
        <v>1</v>
      </c>
      <c r="I6" s="34" t="s">
        <v>324</v>
      </c>
      <c r="J6" s="30">
        <v>2000.0</v>
      </c>
    </row>
    <row r="7">
      <c r="A7" s="30">
        <v>9050004.0</v>
      </c>
      <c r="B7" s="30" t="s">
        <v>332</v>
      </c>
      <c r="C7" s="30" t="s">
        <v>323</v>
      </c>
      <c r="D7" s="34" t="s">
        <v>324</v>
      </c>
      <c r="E7" s="42">
        <f t="shared" si="1"/>
        <v>2886</v>
      </c>
      <c r="F7" s="34" t="s">
        <v>117</v>
      </c>
      <c r="G7" s="30">
        <v>0.0</v>
      </c>
      <c r="H7" s="30" t="b">
        <v>1</v>
      </c>
      <c r="I7" s="34" t="s">
        <v>324</v>
      </c>
      <c r="J7" s="30">
        <v>2000.0</v>
      </c>
    </row>
    <row r="8">
      <c r="A8" s="30">
        <v>9050005.0</v>
      </c>
      <c r="B8" s="30" t="s">
        <v>333</v>
      </c>
      <c r="C8" s="30" t="s">
        <v>323</v>
      </c>
      <c r="D8" s="34" t="s">
        <v>324</v>
      </c>
      <c r="E8" s="42">
        <f t="shared" si="1"/>
        <v>3261</v>
      </c>
      <c r="F8" s="34" t="s">
        <v>117</v>
      </c>
      <c r="G8" s="30">
        <v>0.0</v>
      </c>
      <c r="H8" s="30" t="b">
        <v>1</v>
      </c>
      <c r="I8" s="34" t="s">
        <v>160</v>
      </c>
      <c r="J8" s="30">
        <v>100.0</v>
      </c>
    </row>
    <row r="9">
      <c r="A9" s="30">
        <v>9050006.0</v>
      </c>
      <c r="B9" s="30" t="s">
        <v>334</v>
      </c>
      <c r="C9" s="30" t="s">
        <v>323</v>
      </c>
      <c r="D9" s="34" t="s">
        <v>324</v>
      </c>
      <c r="E9" s="42">
        <f t="shared" si="1"/>
        <v>3685</v>
      </c>
      <c r="F9" s="34" t="s">
        <v>117</v>
      </c>
      <c r="G9" s="30">
        <v>0.0</v>
      </c>
      <c r="H9" s="30" t="b">
        <v>1</v>
      </c>
      <c r="I9" s="34" t="s">
        <v>324</v>
      </c>
      <c r="J9" s="30">
        <v>2000.0</v>
      </c>
    </row>
    <row r="10">
      <c r="A10" s="30">
        <v>9050007.0</v>
      </c>
      <c r="B10" s="30" t="s">
        <v>336</v>
      </c>
      <c r="C10" s="30" t="s">
        <v>323</v>
      </c>
      <c r="D10" s="34" t="s">
        <v>324</v>
      </c>
      <c r="E10" s="42">
        <f t="shared" si="1"/>
        <v>4164</v>
      </c>
      <c r="F10" s="34" t="s">
        <v>117</v>
      </c>
      <c r="G10" s="30">
        <v>0.0</v>
      </c>
      <c r="H10" s="30" t="b">
        <v>1</v>
      </c>
      <c r="I10" s="34" t="s">
        <v>324</v>
      </c>
      <c r="J10" s="30">
        <v>2000.0</v>
      </c>
    </row>
    <row r="11">
      <c r="A11" s="30">
        <v>9050008.0</v>
      </c>
      <c r="B11" s="30" t="s">
        <v>337</v>
      </c>
      <c r="C11" s="30" t="s">
        <v>323</v>
      </c>
      <c r="D11" s="34" t="s">
        <v>324</v>
      </c>
      <c r="E11" s="42">
        <f t="shared" si="1"/>
        <v>4705</v>
      </c>
      <c r="F11" s="34" t="s">
        <v>117</v>
      </c>
      <c r="G11" s="30">
        <v>0.0</v>
      </c>
      <c r="H11" s="30" t="b">
        <v>1</v>
      </c>
      <c r="I11" s="34" t="s">
        <v>324</v>
      </c>
      <c r="J11" s="30">
        <v>2000.0</v>
      </c>
    </row>
    <row r="12">
      <c r="A12" s="30">
        <v>9050009.0</v>
      </c>
      <c r="B12" s="30" t="s">
        <v>338</v>
      </c>
      <c r="C12" s="30" t="s">
        <v>323</v>
      </c>
      <c r="D12" s="34" t="s">
        <v>324</v>
      </c>
      <c r="E12" s="42">
        <f t="shared" si="1"/>
        <v>5317</v>
      </c>
      <c r="F12" s="34" t="s">
        <v>117</v>
      </c>
      <c r="G12" s="30">
        <v>0.0</v>
      </c>
      <c r="H12" s="30" t="b">
        <v>1</v>
      </c>
      <c r="I12" s="34" t="s">
        <v>324</v>
      </c>
      <c r="J12" s="30">
        <v>2000.0</v>
      </c>
    </row>
    <row r="13">
      <c r="A13" s="30">
        <v>9050010.0</v>
      </c>
      <c r="B13" s="30" t="s">
        <v>340</v>
      </c>
      <c r="C13" s="30" t="s">
        <v>323</v>
      </c>
      <c r="D13" s="34" t="s">
        <v>324</v>
      </c>
      <c r="E13" s="42">
        <f t="shared" si="1"/>
        <v>6008</v>
      </c>
      <c r="F13" s="34" t="s">
        <v>117</v>
      </c>
      <c r="G13" s="30">
        <v>0.0</v>
      </c>
      <c r="H13" s="30" t="b">
        <v>1</v>
      </c>
      <c r="I13" s="34" t="s">
        <v>160</v>
      </c>
      <c r="J13" s="30">
        <v>100.0</v>
      </c>
    </row>
    <row r="14">
      <c r="A14" s="30">
        <v>9050011.0</v>
      </c>
      <c r="B14" s="30" t="s">
        <v>341</v>
      </c>
      <c r="C14" s="30" t="s">
        <v>323</v>
      </c>
      <c r="D14" s="34" t="s">
        <v>324</v>
      </c>
      <c r="E14" s="42">
        <f t="shared" si="1"/>
        <v>6789</v>
      </c>
      <c r="F14" s="34" t="s">
        <v>117</v>
      </c>
      <c r="G14" s="30">
        <v>0.0</v>
      </c>
      <c r="H14" s="30" t="b">
        <v>1</v>
      </c>
      <c r="I14" s="34" t="s">
        <v>324</v>
      </c>
      <c r="J14" s="30">
        <v>2000.0</v>
      </c>
    </row>
    <row r="15">
      <c r="A15" s="30">
        <v>9050012.0</v>
      </c>
      <c r="B15" s="30" t="s">
        <v>342</v>
      </c>
      <c r="C15" s="30" t="s">
        <v>323</v>
      </c>
      <c r="D15" s="34" t="s">
        <v>324</v>
      </c>
      <c r="E15" s="42">
        <f t="shared" si="1"/>
        <v>7672</v>
      </c>
      <c r="F15" s="34" t="s">
        <v>117</v>
      </c>
      <c r="G15" s="30">
        <v>0.0</v>
      </c>
      <c r="H15" s="30" t="b">
        <v>1</v>
      </c>
      <c r="I15" s="34" t="s">
        <v>324</v>
      </c>
      <c r="J15" s="30">
        <v>2000.0</v>
      </c>
    </row>
    <row r="16">
      <c r="A16" s="30">
        <v>9050013.0</v>
      </c>
      <c r="B16" s="30" t="s">
        <v>344</v>
      </c>
      <c r="C16" s="30" t="s">
        <v>323</v>
      </c>
      <c r="D16" s="34" t="s">
        <v>324</v>
      </c>
      <c r="E16" s="42">
        <f t="shared" si="1"/>
        <v>8669</v>
      </c>
      <c r="F16" s="34" t="s">
        <v>117</v>
      </c>
      <c r="G16" s="30">
        <v>0.0</v>
      </c>
      <c r="H16" s="30" t="b">
        <v>1</v>
      </c>
      <c r="I16" s="34" t="s">
        <v>324</v>
      </c>
      <c r="J16" s="30">
        <v>2000.0</v>
      </c>
    </row>
    <row r="17">
      <c r="A17" s="30">
        <v>9050014.0</v>
      </c>
      <c r="B17" s="30" t="s">
        <v>345</v>
      </c>
      <c r="C17" s="30" t="s">
        <v>323</v>
      </c>
      <c r="D17" s="34" t="s">
        <v>324</v>
      </c>
      <c r="E17" s="42">
        <f t="shared" si="1"/>
        <v>9796</v>
      </c>
      <c r="F17" s="34" t="s">
        <v>117</v>
      </c>
      <c r="G17" s="30">
        <v>0.0</v>
      </c>
      <c r="H17" s="30" t="b">
        <v>1</v>
      </c>
      <c r="I17" s="34" t="s">
        <v>324</v>
      </c>
      <c r="J17" s="30">
        <v>2000.0</v>
      </c>
    </row>
    <row r="18">
      <c r="A18" s="30">
        <v>9050015.0</v>
      </c>
      <c r="B18" s="30" t="s">
        <v>346</v>
      </c>
      <c r="C18" s="30" t="s">
        <v>323</v>
      </c>
      <c r="D18" s="34" t="s">
        <v>324</v>
      </c>
      <c r="E18" s="42">
        <f t="shared" si="1"/>
        <v>11069</v>
      </c>
      <c r="F18" s="34" t="s">
        <v>117</v>
      </c>
      <c r="G18" s="30">
        <v>0.0</v>
      </c>
      <c r="H18" s="30" t="b">
        <v>1</v>
      </c>
      <c r="I18" s="34" t="s">
        <v>160</v>
      </c>
      <c r="J18" s="30">
        <v>100.0</v>
      </c>
    </row>
    <row r="19">
      <c r="A19" s="30">
        <v>9050016.0</v>
      </c>
      <c r="B19" s="30" t="s">
        <v>348</v>
      </c>
      <c r="C19" s="30" t="s">
        <v>323</v>
      </c>
      <c r="D19" s="34" t="s">
        <v>324</v>
      </c>
      <c r="E19" s="42">
        <f t="shared" si="1"/>
        <v>12508</v>
      </c>
      <c r="F19" s="34" t="s">
        <v>117</v>
      </c>
      <c r="G19" s="30">
        <v>0.0</v>
      </c>
      <c r="H19" s="30" t="b">
        <v>1</v>
      </c>
      <c r="I19" s="34" t="s">
        <v>324</v>
      </c>
      <c r="J19" s="30">
        <v>2000.0</v>
      </c>
    </row>
    <row r="20">
      <c r="A20" s="30">
        <v>9050017.0</v>
      </c>
      <c r="B20" s="30" t="s">
        <v>349</v>
      </c>
      <c r="C20" s="30" t="s">
        <v>323</v>
      </c>
      <c r="D20" s="34" t="s">
        <v>324</v>
      </c>
      <c r="E20" s="42">
        <f t="shared" si="1"/>
        <v>14134</v>
      </c>
      <c r="F20" s="34" t="s">
        <v>117</v>
      </c>
      <c r="G20" s="30">
        <v>0.0</v>
      </c>
      <c r="H20" s="30" t="b">
        <v>1</v>
      </c>
      <c r="I20" s="34" t="s">
        <v>324</v>
      </c>
      <c r="J20" s="30">
        <v>2000.0</v>
      </c>
    </row>
    <row r="21">
      <c r="A21" s="30">
        <v>9050018.0</v>
      </c>
      <c r="B21" s="30" t="s">
        <v>351</v>
      </c>
      <c r="C21" s="30" t="s">
        <v>323</v>
      </c>
      <c r="D21" s="34" t="s">
        <v>324</v>
      </c>
      <c r="E21" s="42">
        <f t="shared" si="1"/>
        <v>15971</v>
      </c>
      <c r="F21" s="34" t="s">
        <v>117</v>
      </c>
      <c r="G21" s="30">
        <v>0.0</v>
      </c>
      <c r="H21" s="30" t="b">
        <v>1</v>
      </c>
      <c r="I21" s="34" t="s">
        <v>324</v>
      </c>
      <c r="J21" s="30">
        <v>2000.0</v>
      </c>
    </row>
    <row r="22">
      <c r="A22" s="30">
        <v>9050019.0</v>
      </c>
      <c r="B22" s="30" t="s">
        <v>352</v>
      </c>
      <c r="C22" s="30" t="s">
        <v>323</v>
      </c>
      <c r="D22" s="34" t="s">
        <v>324</v>
      </c>
      <c r="E22" s="42">
        <f t="shared" si="1"/>
        <v>18047</v>
      </c>
      <c r="F22" s="34" t="s">
        <v>117</v>
      </c>
      <c r="G22" s="30">
        <v>0.0</v>
      </c>
      <c r="H22" s="30" t="b">
        <v>1</v>
      </c>
      <c r="I22" s="34" t="s">
        <v>324</v>
      </c>
      <c r="J22" s="30">
        <v>2000.0</v>
      </c>
    </row>
    <row r="23">
      <c r="A23" s="30">
        <v>9050020.0</v>
      </c>
      <c r="B23" s="30" t="s">
        <v>353</v>
      </c>
      <c r="C23" s="30" t="s">
        <v>323</v>
      </c>
      <c r="D23" s="34" t="s">
        <v>324</v>
      </c>
      <c r="E23" s="42">
        <f t="shared" si="1"/>
        <v>20393</v>
      </c>
      <c r="F23" s="34" t="s">
        <v>117</v>
      </c>
      <c r="G23" s="30">
        <v>0.0</v>
      </c>
      <c r="H23" s="30" t="b">
        <v>1</v>
      </c>
      <c r="I23" s="34" t="s">
        <v>160</v>
      </c>
      <c r="J23" s="30">
        <v>100.0</v>
      </c>
    </row>
  </sheetData>
  <dataValidations>
    <dataValidation type="list" allowBlank="1" showErrorMessage="1" sqref="H4:H23">
      <formula1>"FALSE,TRUE"</formula1>
    </dataValidation>
    <dataValidation type="list" allowBlank="1" showErrorMessage="1" sqref="D4:D23 I4:I23">
      <formula1>"None,AncientRelic_Cost,Coin_Artifact,Coin_Character,Coin_Pet,Dia,RealCash,Exp,Gold,Guild_Coin_1,Guild_Coin_2,Guild_Coin_3,Guild_Cost_A,Guild_Ticket_1,Guild_Ticket_2,HolyRelic_Cost,Mertarial_equipment,Mertarial_monsterProduct,Mertarial_Plant,Mertarial_Requ"&amp;"est,Mertarial_specialhero,Ooparts_Cost,Relic_Cost,Ticket_Artifact,Ticket_Character,Ticket_Costum,Ticket_D1_gold,Ticket_D2_exp,Ticket_D3_artifact,Ticket_D4_equipment,Ticket_D5_trait,Trait_Cost,World_Coin,World_Ticket_1,World_Ticket_2,EqLevelUp_M,Ticket_Cha"&amp;"racter_P,Ticket_Character_N,Ticket_Character_UR,Ticket_Artifact_N,Ticket_Artifact_P,Coin_SD_Agency,Coin_SD_Garden,Coin_SD_Dungen,Mertarial_Request,Mertarial_Request2,Mertarial_Request3,Mertarial_Request4,ShopMileage,AD,Payment"</formula1>
    </dataValidation>
    <dataValidation type="list" allowBlank="1" showErrorMessage="1" sqref="F4:F23">
      <formula1>"None,AncientRelic_Cost,Coin_Artifact,Coin_Character,Coin_Pet,Dia,RealCash,Exp,Gold,Guild_Coin_1,Guild_Coin_2,Guild_Coin_3,Guild_Cost_A,Guild_Ticket_1,Guild_Ticket_2,HolyRelic_Cost,Mertarial_equipment,Mertarial_monsterProduct,Mertarial_Plant,Mertarial_Requ"&amp;"est,Mertarial_specialhero,Ooparts_Cost,Relic_Cost,Ticket_Artifact,Ticket_Character,Ticket_Costum,Ticket_D1_gold,Ticket_D2_exp,Ticket_D3_artifact,Ticket_D4_equipment,Ticket_D5_trait,Trait_Cost,World_Coin,World_Ticket_1,World_Ticket_2,EqLevelUp_M,Ticket_Cha"&amp;"racter_P,Ticket_Character_N,Ticket_Character_UR,Ticket_Artifact_N,Ticket_Artifact_P,Coin_SD_Agency,Coin_SD_Garden,Coin_SD_Dungen,Mertarial_Request,Mertarial_Request2,Mertarial_Request3,Mertarial_Request4,ShopMileage,AD,ArtifactLevelUp"</formula1>
    </dataValidation>
  </dataValidations>
  <drawing r:id="rId1"/>
</worksheet>
</file>