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on" sheetId="1" r:id="rId5"/>
    <sheet state="visible" name="BuffName" sheetId="2" r:id="rId6"/>
    <sheet state="visible" name="CharacterName" sheetId="3" r:id="rId7"/>
    <sheet state="visible" name="ArtifactName" sheetId="4" r:id="rId8"/>
    <sheet state="visible" name="CollectionName" sheetId="5" r:id="rId9"/>
    <sheet state="visible" name="EnumName" sheetId="6" r:id="rId10"/>
    <sheet state="visible" name="ItemName" sheetId="7" r:id="rId11"/>
    <sheet state="visible" name="ShortCutName" sheetId="8" r:id="rId12"/>
    <sheet state="visible" name="EquipName" sheetId="9" r:id="rId13"/>
    <sheet state="visible" name="PackageName" sheetId="10" r:id="rId14"/>
    <sheet state="visible" name="GrowthName" sheetId="11" r:id="rId15"/>
    <sheet state="visible" name="AgencyName" sheetId="12" r:id="rId16"/>
    <sheet state="visible" name="DungeonName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[카테고리]_[이름]</t>
      </text>
    </comment>
    <comment authorId="0" ref="A7">
      <text>
        <t xml:space="preserve">16337129267367936</t>
      </text>
    </comment>
    <comment authorId="0" ref="A6">
      <text>
        <t xml:space="preserve">1957706174464</t>
      </text>
    </comment>
    <comment authorId="0" ref="A5">
      <text>
        <t xml:space="preserve">7245469421568</t>
      </text>
    </comment>
    <comment authorId="0" ref="A4">
      <text>
        <t xml:space="preserve">1846863302656</t>
      </text>
    </comment>
    <comment authorId="0" ref="A3">
      <text>
        <t xml:space="preserve">194353664000</t>
      </text>
    </comment>
    <comment authorId="0" ref="A2">
      <text>
        <t xml:space="preserve">59091554304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[카테고리]_[이름]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[카테고리].[종류].[등급]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EnumName. [카테고리]_[이름]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EnumName. [카테고리]_[이름]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 [카테고리]_[이름]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ShortCutName.[종류]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EquipName.[종류]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PackageName.</t>
      </text>
    </comment>
  </commentList>
</comments>
</file>

<file path=xl/sharedStrings.xml><?xml version="1.0" encoding="utf-8"?>
<sst xmlns="http://schemas.openxmlformats.org/spreadsheetml/2006/main" count="2639" uniqueCount="2389">
  <si>
    <t>Key</t>
  </si>
  <si>
    <t>English(en)</t>
  </si>
  <si>
    <t>Korean(ko)</t>
  </si>
  <si>
    <t>Common.OK</t>
  </si>
  <si>
    <t>OK</t>
  </si>
  <si>
    <t>확인</t>
  </si>
  <si>
    <t>Common.Cancel</t>
  </si>
  <si>
    <t>Cancel</t>
  </si>
  <si>
    <t>취소</t>
  </si>
  <si>
    <t>Common.Start</t>
  </si>
  <si>
    <t>Start</t>
  </si>
  <si>
    <t>시작</t>
  </si>
  <si>
    <t>Common.Continue</t>
  </si>
  <si>
    <t>Continue</t>
  </si>
  <si>
    <t>이어하기</t>
  </si>
  <si>
    <t>ArtifactName.Ruin.UR_1</t>
  </si>
  <si>
    <t>Common.Exit</t>
  </si>
  <si>
    <t>CharacterName.Iris</t>
  </si>
  <si>
    <t>Exit</t>
  </si>
  <si>
    <t>나가기</t>
  </si>
  <si>
    <t>Ruthless Vanguard Kaneb</t>
  </si>
  <si>
    <t>Common.Option</t>
  </si>
  <si>
    <t>냉혹한 선봉장 카네브</t>
  </si>
  <si>
    <t>Iris</t>
  </si>
  <si>
    <t>Option</t>
  </si>
  <si>
    <t>ArtifactName.Ruin.UR_2</t>
  </si>
  <si>
    <t>아이리스</t>
  </si>
  <si>
    <t>Savage Gale Grius</t>
  </si>
  <si>
    <t>옵션</t>
  </si>
  <si>
    <t>사나운 질풍 그리우스</t>
  </si>
  <si>
    <t>Common.TouchToStart</t>
  </si>
  <si>
    <t>BuffName.Passive.</t>
  </si>
  <si>
    <t>CharacterName.Baraka</t>
  </si>
  <si>
    <t>Touch the screen to start the game.</t>
  </si>
  <si>
    <t>ArtifactName.Ruin.UR_3</t>
  </si>
  <si>
    <t>화면을 터치하여 게임을 시작하세요.</t>
  </si>
  <si>
    <t>Baraka</t>
  </si>
  <si>
    <t>Reversal Blade Mars</t>
  </si>
  <si>
    <t>바라카</t>
  </si>
  <si>
    <t>역전의 칼날 마르스</t>
  </si>
  <si>
    <t>체력 증가 버프1</t>
  </si>
  <si>
    <t>CharacterName.Dorka</t>
  </si>
  <si>
    <t>ArtifactName.Ruin.UR_4</t>
  </si>
  <si>
    <t>Dorka</t>
  </si>
  <si>
    <t>Scattering Embers Ronesian</t>
  </si>
  <si>
    <t>도르카</t>
  </si>
  <si>
    <t>흩날리는 화편 로네시안</t>
  </si>
  <si>
    <t>자신의 체력이 10% 증가합니다.</t>
  </si>
  <si>
    <t>CharacterName.Bathory</t>
  </si>
  <si>
    <t>ArtifactName.Ruin.UR_5</t>
  </si>
  <si>
    <t>Bathory</t>
  </si>
  <si>
    <t>Shadow Silhouette Ravil</t>
  </si>
  <si>
    <t>바소리</t>
  </si>
  <si>
    <t>어둠의 실루엣 레빌</t>
  </si>
  <si>
    <t>CharacterName.Rachel</t>
  </si>
  <si>
    <t>ArtifactName.Ruin.UR_6</t>
  </si>
  <si>
    <t>Rachel</t>
  </si>
  <si>
    <t>Death's Eulogist Uno</t>
  </si>
  <si>
    <t>레이켈</t>
  </si>
  <si>
    <t>죽음의 예찬자 우노</t>
  </si>
  <si>
    <t>CharacterName.Rudley</t>
  </si>
  <si>
    <t>ArtifactName.Ruin.UR_7</t>
  </si>
  <si>
    <t>Storm-Cleaving Rudy</t>
  </si>
  <si>
    <t>Rudley</t>
  </si>
  <si>
    <t>폭풍을 가르는 루디</t>
  </si>
  <si>
    <t>러들리</t>
  </si>
  <si>
    <t>ArtifactName.Ruin.UR_8</t>
  </si>
  <si>
    <t>CharacterName.Valarr</t>
  </si>
  <si>
    <t>Crescent Moon Fiend Assemble</t>
  </si>
  <si>
    <t>Valarr</t>
  </si>
  <si>
    <t>현월의 귀축 어셈블</t>
  </si>
  <si>
    <t>공격력 증가 버프1</t>
  </si>
  <si>
    <t>발라르</t>
  </si>
  <si>
    <t>자신의 공격력이 10% 증가합니다.</t>
  </si>
  <si>
    <t>ArtifactName.Ruin.SSR_1</t>
  </si>
  <si>
    <t>CharacterName.Alexei</t>
  </si>
  <si>
    <t>Roar of Fury Rynel</t>
  </si>
  <si>
    <t>Alexei</t>
  </si>
  <si>
    <t>분노의 포효 라이넬</t>
  </si>
  <si>
    <t>알렉세이</t>
  </si>
  <si>
    <t>ArtifactName.Ruin.SSR_2</t>
  </si>
  <si>
    <t>CharacterName.Anastasia</t>
  </si>
  <si>
    <t>Anastasia</t>
  </si>
  <si>
    <t>Twin-Blade Swordsman Magnum</t>
  </si>
  <si>
    <t>아나스타샤</t>
  </si>
  <si>
    <t>쌍검의 검사 매그넘</t>
  </si>
  <si>
    <t>CharacterName.Bernadette</t>
  </si>
  <si>
    <t>ArtifactName.Ruin.SSR_3</t>
  </si>
  <si>
    <t>Bernadette</t>
  </si>
  <si>
    <t>Enduring Will Ceris</t>
  </si>
  <si>
    <t>베르나데트</t>
  </si>
  <si>
    <t>이어가는 의지 세리스</t>
  </si>
  <si>
    <t>CharacterName.Jinai</t>
  </si>
  <si>
    <t>ArtifactName.Ruin.SSR_4</t>
  </si>
  <si>
    <t>Jinai</t>
  </si>
  <si>
    <t>Azure Scimitar Bihyeon</t>
  </si>
  <si>
    <t>푸른 언월도 비현</t>
  </si>
  <si>
    <t>지나이</t>
  </si>
  <si>
    <t>ArtifactName.Ruin.SR_1</t>
  </si>
  <si>
    <t>CharacterName.Talia</t>
  </si>
  <si>
    <t>Vital-Strike Woodcutter</t>
  </si>
  <si>
    <t>Talia</t>
  </si>
  <si>
    <t>급소를 노리는 나무꾼</t>
  </si>
  <si>
    <t>탈리아</t>
  </si>
  <si>
    <t>ArtifactName.Ruin.SR_2</t>
  </si>
  <si>
    <t>CharacterName.Zeon</t>
  </si>
  <si>
    <t>방어력 증가 버프1</t>
  </si>
  <si>
    <t>Ruthless Red Frenzy</t>
  </si>
  <si>
    <t>Zeon</t>
  </si>
  <si>
    <t>자신의 방어력이 10% 증가합니다.</t>
  </si>
  <si>
    <t>제온</t>
  </si>
  <si>
    <t>냉혹한 레드 프렌지</t>
  </si>
  <si>
    <t>CharacterName.Seoa</t>
  </si>
  <si>
    <t>Seo-a</t>
  </si>
  <si>
    <t>ArtifactName.Ruin.SR_3</t>
  </si>
  <si>
    <t>서아</t>
  </si>
  <si>
    <t>Northern Gravekeeper</t>
  </si>
  <si>
    <t>CharacterName.Shell</t>
  </si>
  <si>
    <t>북방의 묘지기</t>
  </si>
  <si>
    <t>Shell</t>
  </si>
  <si>
    <t>쉘</t>
  </si>
  <si>
    <t>ArtifactName.Ruin.SR_4</t>
  </si>
  <si>
    <t>Guardian Sylphid</t>
  </si>
  <si>
    <t>수호의 실피드</t>
  </si>
  <si>
    <t>ArtifactName.Ruin.R_1</t>
  </si>
  <si>
    <t>Knight's Pride</t>
  </si>
  <si>
    <t>CharacterName.Prithiof</t>
  </si>
  <si>
    <t>기사의 긍지</t>
  </si>
  <si>
    <t>Prithiof</t>
  </si>
  <si>
    <t>ArtifactName.Ruin.R_2</t>
  </si>
  <si>
    <t>명중률 증가 버프1</t>
  </si>
  <si>
    <t>프리시오프</t>
  </si>
  <si>
    <t>Tirag</t>
  </si>
  <si>
    <t>자신의 명중률이 10% 증가합니다.</t>
  </si>
  <si>
    <t>티라그</t>
  </si>
  <si>
    <t>CharacterName.Shufraken</t>
  </si>
  <si>
    <t>ArtifactName.Ruin.R_3</t>
  </si>
  <si>
    <t>Shufraken</t>
  </si>
  <si>
    <t>Emerald Corte</t>
  </si>
  <si>
    <t>에메랄드 코르테</t>
  </si>
  <si>
    <t>슈프라켄</t>
  </si>
  <si>
    <t>ArtifactName.Ruin.R_4</t>
  </si>
  <si>
    <t>CharacterName.Garff</t>
  </si>
  <si>
    <t>Juicer Juicy</t>
  </si>
  <si>
    <t>착즙의 쥬시</t>
  </si>
  <si>
    <t>Garff</t>
  </si>
  <si>
    <t>ArtifactName.Ruin.N_1</t>
  </si>
  <si>
    <t>가르프</t>
  </si>
  <si>
    <t>Starving Hyena</t>
  </si>
  <si>
    <t>CharacterName.Brook</t>
  </si>
  <si>
    <t>굶주린 하이에나</t>
  </si>
  <si>
    <t>Brook</t>
  </si>
  <si>
    <t>ArtifactName.Ruin.N_2</t>
  </si>
  <si>
    <t>브룩크</t>
  </si>
  <si>
    <t>Righteous Wally</t>
  </si>
  <si>
    <t>정의로운 월리</t>
  </si>
  <si>
    <t>CharacterName.Jinn</t>
  </si>
  <si>
    <t>ArtifactName.Guard.UR_1</t>
  </si>
  <si>
    <t>Jinn</t>
  </si>
  <si>
    <t>Enchanting Sword Dance Lovely</t>
  </si>
  <si>
    <t>매료의 검무 러블리</t>
  </si>
  <si>
    <t>진</t>
  </si>
  <si>
    <t>회피율 증가 버프1</t>
  </si>
  <si>
    <t>ArtifactName.Guard.UR_2</t>
  </si>
  <si>
    <t>자신의 회피율 10% 증가합니다.</t>
  </si>
  <si>
    <t>Deadline Watch Vivi</t>
  </si>
  <si>
    <t>CharacterName.Ramge</t>
  </si>
  <si>
    <t>사선의 경계 비비</t>
  </si>
  <si>
    <t>Ramge</t>
  </si>
  <si>
    <t>ArtifactName.Guard.UR_3</t>
  </si>
  <si>
    <t>레임지</t>
  </si>
  <si>
    <t>Burning Iron Fist Braysian</t>
  </si>
  <si>
    <t>불타는 철권 브레이시안</t>
  </si>
  <si>
    <t>CharacterName.Minea</t>
  </si>
  <si>
    <t>ArtifactName.Guard.UR_4</t>
  </si>
  <si>
    <t>Minea</t>
  </si>
  <si>
    <t>Unbreakable Rampart Messian</t>
  </si>
  <si>
    <t>무너지지않는 옹벽 메시앙</t>
  </si>
  <si>
    <t>미네아</t>
  </si>
  <si>
    <t>ArtifactName.Guard.UR_5</t>
  </si>
  <si>
    <t>Upright Mercy Olivia</t>
  </si>
  <si>
    <t>올곧은 자비 올리비아</t>
  </si>
  <si>
    <t>CharacterName.Leger</t>
  </si>
  <si>
    <t>ArtifactName.Guard.UR_6</t>
  </si>
  <si>
    <t>Leger</t>
  </si>
  <si>
    <t>Golden Fury Ulex</t>
  </si>
  <si>
    <t>레제</t>
  </si>
  <si>
    <t>황금빛 맹위 울렉스</t>
  </si>
  <si>
    <t>ArtifactName.Guard.UR_7</t>
  </si>
  <si>
    <t>Scorned Noble Doven</t>
  </si>
  <si>
    <t>CharacterName.Magi</t>
  </si>
  <si>
    <t>지탄의 귀공자 도븐</t>
  </si>
  <si>
    <t>Magi</t>
  </si>
  <si>
    <t>ArtifactName.Guard.UR_8</t>
  </si>
  <si>
    <t>마기</t>
  </si>
  <si>
    <t>CharacterName.Emma</t>
  </si>
  <si>
    <t>Emma</t>
  </si>
  <si>
    <t>엠마</t>
  </si>
  <si>
    <t>CharacterName.Dana</t>
  </si>
  <si>
    <t>Dana</t>
  </si>
  <si>
    <t>다나</t>
  </si>
  <si>
    <t>CharacterName.Pan</t>
  </si>
  <si>
    <t>Pan</t>
  </si>
  <si>
    <t>Infinite Chain Famiyan</t>
  </si>
  <si>
    <t>무한의 연쇄 파미얀</t>
  </si>
  <si>
    <t>판</t>
  </si>
  <si>
    <t>ArtifactName.Guard.SSR_1</t>
  </si>
  <si>
    <t>Republic's Barrier Nickel</t>
  </si>
  <si>
    <t>공화국의 방어막 니켈</t>
  </si>
  <si>
    <t>치명타 확률 증가 버프1</t>
  </si>
  <si>
    <t>CharacterName.Otard</t>
  </si>
  <si>
    <t>ArtifactName.Guard.SSR_2</t>
  </si>
  <si>
    <t>자신의 공격이 치명타로 적용될 확률이 10% 증가합니다.</t>
  </si>
  <si>
    <t>Otard</t>
  </si>
  <si>
    <t>Pure White Shield Aegis</t>
  </si>
  <si>
    <t>순백의 방패 이지스</t>
  </si>
  <si>
    <t>오타르</t>
  </si>
  <si>
    <t>ArtifactName.Guard.SSR_3</t>
  </si>
  <si>
    <t>Explosive Batter Patrasche</t>
  </si>
  <si>
    <t>CollectionName.Iris</t>
  </si>
  <si>
    <t>폭렬의 타자 파트라슈</t>
  </si>
  <si>
    <t>ArtifactName.Guard.SSR_4</t>
  </si>
  <si>
    <t>CharacterName.Pitbull</t>
  </si>
  <si>
    <t>Iron-Shot Marksman Big Run</t>
  </si>
  <si>
    <t>Pitbull</t>
  </si>
  <si>
    <t>철탄의 사수 빅런</t>
  </si>
  <si>
    <t>CollectionName.Bathory</t>
  </si>
  <si>
    <t>핏불</t>
  </si>
  <si>
    <t>ArtifactName.Guard.SSR_5</t>
  </si>
  <si>
    <t>Softly Glowing Tektite</t>
  </si>
  <si>
    <t>은은히 빛나는 텍타이트</t>
  </si>
  <si>
    <t>CharacterName.Zarienne</t>
  </si>
  <si>
    <t>CollectionName.Dorka</t>
  </si>
  <si>
    <t>ArtifactName.Guard.SSR_6</t>
  </si>
  <si>
    <t>Zarienne</t>
  </si>
  <si>
    <t>Ultimate Bloodfight Leonart</t>
  </si>
  <si>
    <t>자리엔느</t>
  </si>
  <si>
    <t>극한의 혈투 레온아트</t>
  </si>
  <si>
    <t>CollectionName.Rachel</t>
  </si>
  <si>
    <t>ArtifactName.Guard.SR_1</t>
  </si>
  <si>
    <t>CharacterName.Nero</t>
  </si>
  <si>
    <t>Remnant of the Past</t>
  </si>
  <si>
    <t>Nero</t>
  </si>
  <si>
    <t>과거의 잔재</t>
  </si>
  <si>
    <t>네로</t>
  </si>
  <si>
    <t>ArtifactName.Guard.SR_2</t>
  </si>
  <si>
    <t>CollectionName.Baraka</t>
  </si>
  <si>
    <t>Mister Frank</t>
  </si>
  <si>
    <t>치명타 대미지 증가 버프1</t>
  </si>
  <si>
    <t>미스터 프랑크</t>
  </si>
  <si>
    <t>CharacterName.Rera</t>
  </si>
  <si>
    <t>대상에게 치명타가 적용됐을 때 피해량이 10% 증가합니다.</t>
  </si>
  <si>
    <t>Rera</t>
  </si>
  <si>
    <t>ArtifactName.Guard.SR_3</t>
  </si>
  <si>
    <t>CollectionName.Rudley</t>
  </si>
  <si>
    <t>Blizzard Wizard</t>
  </si>
  <si>
    <t>레라</t>
  </si>
  <si>
    <t>블리자드 비자드</t>
  </si>
  <si>
    <t>ArtifactName.Guard.SR_4</t>
  </si>
  <si>
    <t>CharacterName.Gale</t>
  </si>
  <si>
    <t>Source of the Foundation</t>
  </si>
  <si>
    <t>CollectionName.Valarr</t>
  </si>
  <si>
    <t>재단의 근원</t>
  </si>
  <si>
    <t>Gale</t>
  </si>
  <si>
    <t>ArtifactName.Guard.SR_5</t>
  </si>
  <si>
    <t>게일</t>
  </si>
  <si>
    <t>Fire-Breathing Gunter</t>
  </si>
  <si>
    <t>불을 뿜는 군터</t>
  </si>
  <si>
    <t>CollectionName.Alexei</t>
  </si>
  <si>
    <t>CharacterName.Chati</t>
  </si>
  <si>
    <t>ArtifactName.Guard.R_1</t>
  </si>
  <si>
    <t>Chati</t>
  </si>
  <si>
    <t>Bru MK v.2</t>
  </si>
  <si>
    <t>브루MKv.2</t>
  </si>
  <si>
    <t>챠티</t>
  </si>
  <si>
    <t>CollectionName.Cond.Level</t>
  </si>
  <si>
    <t>ArtifactName.Guard.R_2</t>
  </si>
  <si>
    <t>CharacterName.Yao</t>
  </si>
  <si>
    <t>Level</t>
  </si>
  <si>
    <t>Frailest Milli</t>
  </si>
  <si>
    <t>레벨</t>
  </si>
  <si>
    <t>최약체 밀리</t>
  </si>
  <si>
    <t>Yao</t>
  </si>
  <si>
    <t>CollectionName.Cond.StarLevel</t>
  </si>
  <si>
    <t>야오</t>
  </si>
  <si>
    <t>ArtifactName.Guard.R_3</t>
  </si>
  <si>
    <t>StarLevel</t>
  </si>
  <si>
    <t>Partner Jack &amp; Flo</t>
  </si>
  <si>
    <t>성급</t>
  </si>
  <si>
    <t>블록 확률 증가 버프1</t>
  </si>
  <si>
    <t>CharacterName.Lepin</t>
  </si>
  <si>
    <t>파트너 잭&amp;플로</t>
  </si>
  <si>
    <t>자신의 블록 확률이 10% 증가합니다.</t>
  </si>
  <si>
    <t>CollectionName.Brunn</t>
  </si>
  <si>
    <t>Lepin</t>
  </si>
  <si>
    <t>ArtifactName.Guard.N_1</t>
  </si>
  <si>
    <t>Brunn</t>
  </si>
  <si>
    <t>Sapphire Golem</t>
  </si>
  <si>
    <t>브룬</t>
  </si>
  <si>
    <t>사파이어 골렘</t>
  </si>
  <si>
    <t>레핀</t>
  </si>
  <si>
    <t>CollectionName.Estoris</t>
  </si>
  <si>
    <t>ArtifactName.Guard.N_2</t>
  </si>
  <si>
    <t>Estoris</t>
  </si>
  <si>
    <t>Fate-Chasing Bird</t>
  </si>
  <si>
    <t>CharacterName.Glenn</t>
  </si>
  <si>
    <t>운명을 쫓는 새</t>
  </si>
  <si>
    <t>데스토리아</t>
  </si>
  <si>
    <t>Glenn</t>
  </si>
  <si>
    <t>ArtifactName.Chaos.UR_1</t>
  </si>
  <si>
    <t>CollectionName.Frosti</t>
  </si>
  <si>
    <t>글렌</t>
  </si>
  <si>
    <t>Clear-Sky Assassin Mechia</t>
  </si>
  <si>
    <t>Frosti</t>
  </si>
  <si>
    <t>청명한 암살자 메치아</t>
  </si>
  <si>
    <t>프로스티</t>
  </si>
  <si>
    <t>CharacterName.Liffy</t>
  </si>
  <si>
    <t>ArtifactName.Chaos.UR_2</t>
  </si>
  <si>
    <t>Carefree Crown Prince Nidlia</t>
  </si>
  <si>
    <t>Liffy</t>
  </si>
  <si>
    <t>CollectionName.GreenLand</t>
  </si>
  <si>
    <t>여유로운 황태자 니들리아</t>
  </si>
  <si>
    <t>GreenLand</t>
  </si>
  <si>
    <t>리피</t>
  </si>
  <si>
    <t>ArtifactName.Chaos.UR_3</t>
  </si>
  <si>
    <t>그린랜드</t>
  </si>
  <si>
    <t>Sandstorm Conductor Chun</t>
  </si>
  <si>
    <t>모래먼지의 지휘자 츈</t>
  </si>
  <si>
    <t>CollectionName.Lemonbe</t>
  </si>
  <si>
    <t>CharacterName.Tereia</t>
  </si>
  <si>
    <t>Lemonbe</t>
  </si>
  <si>
    <t>ArtifactName.Chaos.UR_4</t>
  </si>
  <si>
    <t>Tereia</t>
  </si>
  <si>
    <t>르노브</t>
  </si>
  <si>
    <t>Outcast of Civilization Assemble</t>
  </si>
  <si>
    <t>테라리아</t>
  </si>
  <si>
    <t>문명의 배척자 어셈블</t>
  </si>
  <si>
    <t>CollectionName.Marinos</t>
  </si>
  <si>
    <t>Marinos</t>
  </si>
  <si>
    <t>ArtifactName.Chaos.UR_5</t>
  </si>
  <si>
    <t>블록 대미지 감소 버프1</t>
  </si>
  <si>
    <t>마리노스</t>
  </si>
  <si>
    <t>Abyssal Writhing Carbon</t>
  </si>
  <si>
    <t>CharacterName.Freesia</t>
  </si>
  <si>
    <t>심연의 몸부림 카본</t>
  </si>
  <si>
    <t>자신의 블록 대미지가 10% 증가합니다.</t>
  </si>
  <si>
    <t>CollectionName.Phedas</t>
  </si>
  <si>
    <t>Freesia</t>
  </si>
  <si>
    <t>Phedas</t>
  </si>
  <si>
    <t>ArtifactName.Chaos.UR_6</t>
  </si>
  <si>
    <t>프리지아</t>
  </si>
  <si>
    <t>페다스</t>
  </si>
  <si>
    <t>Dreamlike Oasis Defor</t>
  </si>
  <si>
    <t>몽환의 오아시스 데포르</t>
  </si>
  <si>
    <t>CollectionName.Saintwest</t>
  </si>
  <si>
    <t>CharacterName.Berol</t>
  </si>
  <si>
    <t>Saintwest</t>
  </si>
  <si>
    <t>ArtifactName.Chaos.UR_7</t>
  </si>
  <si>
    <t>Berol</t>
  </si>
  <si>
    <t>세인트 웨스트</t>
  </si>
  <si>
    <t>Living Spirit's Lantern Carbon</t>
  </si>
  <si>
    <t>베롤</t>
  </si>
  <si>
    <t>생령의 등화 카본</t>
  </si>
  <si>
    <t>CollectionName.Cond.Level.10</t>
  </si>
  <si>
    <t>Level 10</t>
  </si>
  <si>
    <t>ArtifactName.Chaos.SSR_1</t>
  </si>
  <si>
    <t>CharacterName.Kinberra</t>
  </si>
  <si>
    <t>Bold Assassin Hwei</t>
  </si>
  <si>
    <t>레벨 10 만들기</t>
  </si>
  <si>
    <t>당당한 암살자 훼이</t>
  </si>
  <si>
    <t>Kinberra</t>
  </si>
  <si>
    <t>CollectionName.Cond.Level.20</t>
  </si>
  <si>
    <t>ArtifactName.Chaos.SSR_2</t>
  </si>
  <si>
    <t>킨버라</t>
  </si>
  <si>
    <t>Level 20</t>
  </si>
  <si>
    <t>Diligent Arrow Hilden</t>
  </si>
  <si>
    <t>레벨 20 만들기</t>
  </si>
  <si>
    <t>성실한 화살 힐던</t>
  </si>
  <si>
    <t>CharacterName.Reedmarie</t>
  </si>
  <si>
    <t>Reedmarie</t>
  </si>
  <si>
    <t>CollectionName.Cond.Level.30</t>
  </si>
  <si>
    <t>ArtifactName.Chaos.SSR_3</t>
  </si>
  <si>
    <t>리드마리</t>
  </si>
  <si>
    <t>Level 30</t>
  </si>
  <si>
    <t>Whisper of Death Whispers</t>
  </si>
  <si>
    <t>죽음의 속삭임 위퍼스</t>
  </si>
  <si>
    <t>ArtifactName.Chaos.SSR_4</t>
  </si>
  <si>
    <t>Master of Evasion Patrick</t>
  </si>
  <si>
    <t>레벨 30 만들기</t>
  </si>
  <si>
    <t>마법 방어력 증가 버프1</t>
  </si>
  <si>
    <t>회피의 달인 패릭</t>
  </si>
  <si>
    <t>CollectionName.Cond.Level.40</t>
  </si>
  <si>
    <t>ArtifactName.Chaos.SSR_5</t>
  </si>
  <si>
    <t>Level 40</t>
  </si>
  <si>
    <t>None</t>
  </si>
  <si>
    <t>Precise Phantom Thief Blinkcat</t>
  </si>
  <si>
    <t>레벨 40 만들기</t>
  </si>
  <si>
    <t>정밀한 괴도 블링캣</t>
  </si>
  <si>
    <t>CollectionName.Cond.Level.50</t>
  </si>
  <si>
    <t>ArtifactName.Chaos.SSR_6</t>
  </si>
  <si>
    <t>Level 50</t>
  </si>
  <si>
    <t>Radiant Mia Aporit</t>
  </si>
  <si>
    <t>레벨 50 만들기</t>
  </si>
  <si>
    <t>광채의 미아 아포릿</t>
  </si>
  <si>
    <t>CollectionName.Cond.Level.60</t>
  </si>
  <si>
    <t>CharacterName.Sabrina</t>
  </si>
  <si>
    <t>Level 60</t>
  </si>
  <si>
    <t>ArtifactName.Chaos.SR_1</t>
  </si>
  <si>
    <t>레벨 60 만들기</t>
  </si>
  <si>
    <t>Book-Chasing Luriet</t>
  </si>
  <si>
    <t>Sabrina</t>
  </si>
  <si>
    <t>CollectionName.Cond.Level.70</t>
  </si>
  <si>
    <t>책을 쫓는 루리엣</t>
  </si>
  <si>
    <t>Level 70</t>
  </si>
  <si>
    <t>사브리나</t>
  </si>
  <si>
    <t>레벨 70 만들기</t>
  </si>
  <si>
    <t>ArtifactName.Chaos.SR_2</t>
  </si>
  <si>
    <t>Black-Hearted Priest</t>
  </si>
  <si>
    <t>CollectionName.Cond.Level.80</t>
  </si>
  <si>
    <t>흑심의 사제</t>
  </si>
  <si>
    <t>Level 80</t>
  </si>
  <si>
    <t>CharacterName.Obellia</t>
  </si>
  <si>
    <t>레벨 80 만들기</t>
  </si>
  <si>
    <t>ArtifactName.Chaos.SR_3</t>
  </si>
  <si>
    <t>Obellia</t>
  </si>
  <si>
    <t>CollectionName.Cond.Level.90</t>
  </si>
  <si>
    <t>Nimble Golden Monkey</t>
  </si>
  <si>
    <t>Level 90</t>
  </si>
  <si>
    <t>오벨리아</t>
  </si>
  <si>
    <t>재빠른 골든몽키</t>
  </si>
  <si>
    <t>레벨 90 만들기</t>
  </si>
  <si>
    <t>CollectionName.Cond.Level.100</t>
  </si>
  <si>
    <t>ArtifactName.Chaos.SR_4</t>
  </si>
  <si>
    <t>Level 100</t>
  </si>
  <si>
    <t>CharacterName.Spica</t>
  </si>
  <si>
    <t>Gilded Mask</t>
  </si>
  <si>
    <t>레벨 100 만들기</t>
  </si>
  <si>
    <t>Spica</t>
  </si>
  <si>
    <t>금박의 마스크</t>
  </si>
  <si>
    <t>CollectionName.Cond.Obtain Hero</t>
  </si>
  <si>
    <t>스피카</t>
  </si>
  <si>
    <t>Obtain Hero</t>
  </si>
  <si>
    <t>ArtifactName.Chaos.SR_5</t>
  </si>
  <si>
    <t>해당 캐릭터 보유하기</t>
  </si>
  <si>
    <t>Dimensional Leaper</t>
  </si>
  <si>
    <t>CollectionName.Cond.StarLevel.1</t>
  </si>
  <si>
    <t>이동 속도 증가 버프1</t>
  </si>
  <si>
    <t>CharacterName.Sernando</t>
  </si>
  <si>
    <t>차원의 도약자</t>
  </si>
  <si>
    <t>StarLevel 1</t>
  </si>
  <si>
    <t>자신의 이동 속도가 10% 증가합니다.</t>
  </si>
  <si>
    <t>성급 1 달성하기</t>
  </si>
  <si>
    <t>Sernando</t>
  </si>
  <si>
    <t>ArtifactName.Chaos.R_1</t>
  </si>
  <si>
    <t>CollectionName.Cond.StarLevel.2</t>
  </si>
  <si>
    <t>Elemental Magma</t>
  </si>
  <si>
    <t>세르난도</t>
  </si>
  <si>
    <t>StarLevel 2</t>
  </si>
  <si>
    <t>엘리멘탈 마그마</t>
  </si>
  <si>
    <t>성급 2 달성하기</t>
  </si>
  <si>
    <t>ArtifactName.Chaos.R_2</t>
  </si>
  <si>
    <t>CharacterName.Wilkes</t>
  </si>
  <si>
    <t>Liquefying Rusha</t>
  </si>
  <si>
    <t>CollectionName.Cond.StarLevel.3</t>
  </si>
  <si>
    <t>Wilkes</t>
  </si>
  <si>
    <t>액화의 루샤</t>
  </si>
  <si>
    <t>StarLevel 3</t>
  </si>
  <si>
    <t>윌크스</t>
  </si>
  <si>
    <t>성급 3 달성하기</t>
  </si>
  <si>
    <t>ArtifactName.Chaos.R_3</t>
  </si>
  <si>
    <t>Watcher Wydler</t>
  </si>
  <si>
    <t>CollectionName.Cond.StarLevel.4</t>
  </si>
  <si>
    <t>감시자 와이들러</t>
  </si>
  <si>
    <t>CharacterName.Title.Underworker</t>
  </si>
  <si>
    <t>StarLevel 4</t>
  </si>
  <si>
    <t>ArtifactName.Chaos.N_1</t>
  </si>
  <si>
    <t>성급 4 달성하기</t>
  </si>
  <si>
    <t>Shadow Wolf</t>
  </si>
  <si>
    <t>CollectionName.Cond.StarLevel.5</t>
  </si>
  <si>
    <t>그림자 늑대</t>
  </si>
  <si>
    <t>StarLevel 5</t>
  </si>
  <si>
    <t>ArtifactName.Chaos.N_2</t>
  </si>
  <si>
    <t>성급 5 달성하기</t>
  </si>
  <si>
    <t>Observer of Slumber</t>
  </si>
  <si>
    <t>수면의 관찰자</t>
  </si>
  <si>
    <t>CollectionName.Cond.StarLevel.6</t>
  </si>
  <si>
    <t>StarLevel 6</t>
  </si>
  <si>
    <t>ArtifactName.Grace.UR_1</t>
  </si>
  <si>
    <t>성급 6 달성하기</t>
  </si>
  <si>
    <t>Harmony of Paradise Habon</t>
  </si>
  <si>
    <t>CollectionName.Cond.StarLevel.7</t>
  </si>
  <si>
    <t>낙원의 하모니 하본</t>
  </si>
  <si>
    <t>StarLevel 7</t>
  </si>
  <si>
    <t>성급 7 달성하기</t>
  </si>
  <si>
    <t>ArtifactName.Grace.UR_2</t>
  </si>
  <si>
    <t>Living Melody Biryeong</t>
  </si>
  <si>
    <t>CollectionName.Cond.StarLevel.8</t>
  </si>
  <si>
    <t>살아있는 선율 비령</t>
  </si>
  <si>
    <t>StarLevel 8</t>
  </si>
  <si>
    <t>성급 8 달성하기</t>
  </si>
  <si>
    <t>ArtifactName.Grace.UR_3</t>
  </si>
  <si>
    <t>공격 속도 증가 버프1</t>
  </si>
  <si>
    <t>CollectionName.Cond.StarLevel.9</t>
  </si>
  <si>
    <t>Pristine Church Helena</t>
  </si>
  <si>
    <t>StarLevel 9</t>
  </si>
  <si>
    <t>청정의 교회 헬레나</t>
  </si>
  <si>
    <t>자신의 공격 속도가 10% 증가합니다.</t>
  </si>
  <si>
    <t>성급 9 달성하기</t>
  </si>
  <si>
    <t>ArtifactName.Grace.UR_4</t>
  </si>
  <si>
    <t>Leader of the Black Veil Munryeo</t>
  </si>
  <si>
    <t>언더워커</t>
  </si>
  <si>
    <t>검은장막의 인솔자 문려</t>
  </si>
  <si>
    <t>ArtifactName.Grace.UR_5</t>
  </si>
  <si>
    <t>Golden Wing's Resonance Allard</t>
  </si>
  <si>
    <t>CharacterName.Title.UnderworkerElite</t>
  </si>
  <si>
    <t>황익의 파장 알라드</t>
  </si>
  <si>
    <t>CollectionName.Cond.StarLevel.10</t>
  </si>
  <si>
    <t>ArtifactName.Grace.UR_6</t>
  </si>
  <si>
    <t>StarLevel 10</t>
  </si>
  <si>
    <t>Dimensional Hub Linend</t>
  </si>
  <si>
    <t>차원의 허브 리넨드</t>
  </si>
  <si>
    <t>성급 10 달성하기</t>
  </si>
  <si>
    <t>언더워커 정예</t>
  </si>
  <si>
    <t>ArtifactName.Grace.UR_7</t>
  </si>
  <si>
    <t>Witch of Light Chia</t>
  </si>
  <si>
    <t>광명의 마녀 치아</t>
  </si>
  <si>
    <t>CharacterName.Title.Exceed</t>
  </si>
  <si>
    <t>ArtifactName.Grace.UR_8</t>
  </si>
  <si>
    <t>Two-Faced Persona Melvir</t>
  </si>
  <si>
    <t>엑시드</t>
  </si>
  <si>
    <t>양면의 페르소나 멜비르</t>
  </si>
  <si>
    <t>ArtifactName.Grace.SSR_1</t>
  </si>
  <si>
    <t>CharacterName.Title.EliteExceed</t>
  </si>
  <si>
    <t>Crimson-Haired Hongryeon</t>
  </si>
  <si>
    <t>붉은 머리 홍련</t>
  </si>
  <si>
    <t>ArtifactName.Grace.SSR_2</t>
  </si>
  <si>
    <t>Guardian of Balance Blinkcat</t>
  </si>
  <si>
    <t>엑시드 정예</t>
  </si>
  <si>
    <t>균형의 수호자 블링캣</t>
  </si>
  <si>
    <t>ArtifactName.Grace.SSR_3</t>
  </si>
  <si>
    <t>CharacterName.Title.Accor</t>
  </si>
  <si>
    <t>Master Thief's Pride Golden Monkey</t>
  </si>
  <si>
    <t>대도의 자긍심 골든몽키</t>
  </si>
  <si>
    <t>ArtifactName.Grace.SSR_4</t>
  </si>
  <si>
    <t>Hammer of Destruction Collapse</t>
  </si>
  <si>
    <t>파괴의 망치 컬랩스</t>
  </si>
  <si>
    <t>아코르</t>
  </si>
  <si>
    <t>ArtifactName.Grace.SSR_5</t>
  </si>
  <si>
    <t>Lonely Concerto Breden</t>
  </si>
  <si>
    <t>체력 회복률 증가 버프1</t>
  </si>
  <si>
    <t>CharacterName.Title.Vaivara</t>
  </si>
  <si>
    <t>쓸쓸한 협주곡 브레덴</t>
  </si>
  <si>
    <t>자신의 체력 회복률이 10% 증가합니다.</t>
  </si>
  <si>
    <t>ArtifactName.Grace.SR_1</t>
  </si>
  <si>
    <t>Resonant Pensir</t>
  </si>
  <si>
    <t>공명의 펜셔</t>
  </si>
  <si>
    <t>바이바라</t>
  </si>
  <si>
    <t>ArtifactName.Grace.SR_2</t>
  </si>
  <si>
    <t>Twisted Tmos</t>
  </si>
  <si>
    <t>뒤틀린 트모스</t>
  </si>
  <si>
    <t>CharacterName.Title.BlueDeer</t>
  </si>
  <si>
    <t>ArtifactName.Grace.SR_3</t>
  </si>
  <si>
    <t>Silent Maniac</t>
  </si>
  <si>
    <t>사일런트 매니악</t>
  </si>
  <si>
    <t>ArtifactName.Grace.SR_4</t>
  </si>
  <si>
    <t>푸른사슴 부족</t>
  </si>
  <si>
    <t>Flamboyant Red Frenzy</t>
  </si>
  <si>
    <t>화려한 레드 프렌지</t>
  </si>
  <si>
    <t>CharacterName.Title.EliteBlueDeer</t>
  </si>
  <si>
    <t>ArtifactName.Grace.R_1</t>
  </si>
  <si>
    <t>Butler of Frost</t>
  </si>
  <si>
    <t>Elite Blue Deer</t>
  </si>
  <si>
    <t>냉기의 집사</t>
  </si>
  <si>
    <t>푸른사슴 부족 정예</t>
  </si>
  <si>
    <t>ArtifactName.Grace.R_2</t>
  </si>
  <si>
    <t>Sweety Cat</t>
  </si>
  <si>
    <t>CharacterName.Ashiki</t>
  </si>
  <si>
    <t>스위티 캣</t>
  </si>
  <si>
    <t>ArtifactName.Grace.N_1</t>
  </si>
  <si>
    <t>Librarian's Gaze</t>
  </si>
  <si>
    <t>사서의 주시</t>
  </si>
  <si>
    <t>아시키</t>
  </si>
  <si>
    <t>ArtifactName.Grace.N_2</t>
  </si>
  <si>
    <t>Automaton Teddy</t>
  </si>
  <si>
    <t>보스 대미지 감소량 증가 버프1</t>
  </si>
  <si>
    <t>자동인형 테디</t>
  </si>
  <si>
    <t>CharacterName.Blaska</t>
  </si>
  <si>
    <t>보스 몬스터에게 받는 대미지가 10% 감소합니다.</t>
  </si>
  <si>
    <t>블라스카</t>
  </si>
  <si>
    <t>CharacterName.Mamanti</t>
  </si>
  <si>
    <t>마만티</t>
  </si>
  <si>
    <t>CharacterName.Tashume</t>
  </si>
  <si>
    <t>타슈메</t>
  </si>
  <si>
    <t>CharacterName.Wagni</t>
  </si>
  <si>
    <t>근거리 공격력 증가 버프1</t>
  </si>
  <si>
    <t>근거리 직군의 공격력이 10% 증가합니다.</t>
  </si>
  <si>
    <t>와그니</t>
  </si>
  <si>
    <t>CharacterName.Title.Bellien</t>
  </si>
  <si>
    <t>Bellien</t>
  </si>
  <si>
    <t>벨리언</t>
  </si>
  <si>
    <t>CharacterName.Title.EliteBellien</t>
  </si>
  <si>
    <t>Elite Bellien</t>
  </si>
  <si>
    <t>정예 벨리언</t>
  </si>
  <si>
    <t>CharacterName.Title.Marinose</t>
  </si>
  <si>
    <t>Marinose</t>
  </si>
  <si>
    <t>CharacterName.Title.EliteMarinose</t>
  </si>
  <si>
    <t>Elite Marinose</t>
  </si>
  <si>
    <t>마리노스 정예</t>
  </si>
  <si>
    <t>원거리 공격력 증가 버프1</t>
  </si>
  <si>
    <t>CharacterName.Title.Brunn</t>
  </si>
  <si>
    <t>원거리 직군의 공격력이 10% 증가합니다.</t>
  </si>
  <si>
    <t>CharacterName.Title.OfficerBrunn</t>
  </si>
  <si>
    <t>Officer Brunn</t>
  </si>
  <si>
    <t>브룬 군관</t>
  </si>
  <si>
    <t>CharacterName.Title.EliteBrunn</t>
  </si>
  <si>
    <t>Elite Brunn</t>
  </si>
  <si>
    <t>브룬 정예</t>
  </si>
  <si>
    <t>CharacterName.Title.OfficerEliteBrunn</t>
  </si>
  <si>
    <t>방어형 공격력 증가 버프1</t>
  </si>
  <si>
    <t>방어형 직군의 공격력이 10% 증가합니다.</t>
  </si>
  <si>
    <t>Officer Elite Brunn</t>
  </si>
  <si>
    <t>브룬 정예 군관</t>
  </si>
  <si>
    <t>CharacterName.Title.Cardmoss</t>
  </si>
  <si>
    <t>Cardmoss</t>
  </si>
  <si>
    <t>카드모스</t>
  </si>
  <si>
    <t>EnumName.JobType.Tanker</t>
  </si>
  <si>
    <t>Tanker</t>
  </si>
  <si>
    <t>CharacterName.Title.CompanyofSwords</t>
  </si>
  <si>
    <t>지원형 공격력 증가 버프1</t>
  </si>
  <si>
    <t>방어형</t>
  </si>
  <si>
    <t>Company of Swords</t>
  </si>
  <si>
    <t>지원형 직군의 공격력이 10% 증가합니다.</t>
  </si>
  <si>
    <t>EnumName.JobType.Melee</t>
  </si>
  <si>
    <t>용병단</t>
  </si>
  <si>
    <t>Melee</t>
  </si>
  <si>
    <t>근거리</t>
  </si>
  <si>
    <t>CharacterName.Title.EliteFalcon</t>
  </si>
  <si>
    <t>EnumName.JobType.Ranged</t>
  </si>
  <si>
    <t>Elite Falcon</t>
  </si>
  <si>
    <t>Ranged</t>
  </si>
  <si>
    <t>팔콘 정예</t>
  </si>
  <si>
    <t>원거리</t>
  </si>
  <si>
    <t>CharacterName.Title.TreasureHunter</t>
  </si>
  <si>
    <t>EnumName.JobType.Support</t>
  </si>
  <si>
    <t>Treasure Hunter</t>
  </si>
  <si>
    <t>Support</t>
  </si>
  <si>
    <t>트레저헌터</t>
  </si>
  <si>
    <t>지원형</t>
  </si>
  <si>
    <t>EnumName.ArtifactJobType.Ruin</t>
  </si>
  <si>
    <t>Ruin</t>
  </si>
  <si>
    <t>CharacterName.MineWorker</t>
  </si>
  <si>
    <t>파괴</t>
  </si>
  <si>
    <t>EnumName.ArtifactJobType.Guard</t>
  </si>
  <si>
    <t>Guard</t>
  </si>
  <si>
    <t>수호</t>
  </si>
  <si>
    <t>EnumName.ArtifactJobType.Chaos</t>
  </si>
  <si>
    <t>광부 단원</t>
  </si>
  <si>
    <t>Chaos</t>
  </si>
  <si>
    <t>교란</t>
  </si>
  <si>
    <t>CharacterName.Hammer</t>
  </si>
  <si>
    <t>EnumName.ArtifactJobType.Grace</t>
  </si>
  <si>
    <t>Grace</t>
  </si>
  <si>
    <t>축복</t>
  </si>
  <si>
    <t>EnumName.TargetType.Self</t>
  </si>
  <si>
    <t>근거리 방어력 증가 버프1</t>
  </si>
  <si>
    <t>Self</t>
  </si>
  <si>
    <t>해머 단원</t>
  </si>
  <si>
    <t>자신</t>
  </si>
  <si>
    <t>근거리 직군의 방어력이 10% 증가합니다.</t>
  </si>
  <si>
    <t>EnumName.TargetType.Team</t>
  </si>
  <si>
    <t>CharacterName.Gauntlet</t>
  </si>
  <si>
    <t>Team</t>
  </si>
  <si>
    <t>gauntlet</t>
  </si>
  <si>
    <t>우리 편</t>
  </si>
  <si>
    <t>건틀렛 단원</t>
  </si>
  <si>
    <t>EnumName.TargetType.Friendly</t>
  </si>
  <si>
    <t>Friendly</t>
  </si>
  <si>
    <t>CharacterName.Assassin</t>
  </si>
  <si>
    <t>자신을 제외한 우리 편</t>
  </si>
  <si>
    <t>EnumName.TargetType.Enemy</t>
  </si>
  <si>
    <t>Enemy</t>
  </si>
  <si>
    <t>자객 단원</t>
  </si>
  <si>
    <t>적</t>
  </si>
  <si>
    <t>EnumName.TargetType.All</t>
  </si>
  <si>
    <t>CharacterName.Priest</t>
  </si>
  <si>
    <t>All</t>
  </si>
  <si>
    <t>모두</t>
  </si>
  <si>
    <t>EnumName.StatType.MHP</t>
  </si>
  <si>
    <t>MHP</t>
  </si>
  <si>
    <t>체력</t>
  </si>
  <si>
    <t>사제 단원</t>
  </si>
  <si>
    <t>EnumName.StatType.ATK</t>
  </si>
  <si>
    <t>ATK</t>
  </si>
  <si>
    <t>공격력</t>
  </si>
  <si>
    <t>CharacterName.Crossbow</t>
  </si>
  <si>
    <t>EnumName.StatType.DEF</t>
  </si>
  <si>
    <t>원거리 방어력 증가 버프1</t>
  </si>
  <si>
    <t>DEF</t>
  </si>
  <si>
    <t>방어력</t>
  </si>
  <si>
    <t>원거리 직군의 방어력이 10% 증가합니다.</t>
  </si>
  <si>
    <t>석궁 단원</t>
  </si>
  <si>
    <t>EnumName.StatType.MDEF</t>
  </si>
  <si>
    <t>MDEF</t>
  </si>
  <si>
    <t>마법 방어력</t>
  </si>
  <si>
    <t>CharacterName.Warrior</t>
  </si>
  <si>
    <t>EnumName.StatType.HIT</t>
  </si>
  <si>
    <t>HIT</t>
  </si>
  <si>
    <t>명중률</t>
  </si>
  <si>
    <t>EnumName.StatType.DODGE</t>
  </si>
  <si>
    <t>DODGE</t>
  </si>
  <si>
    <t>회피율</t>
  </si>
  <si>
    <t>전사 단원</t>
  </si>
  <si>
    <t>EnumName.StatType.CRIT_RATE</t>
  </si>
  <si>
    <t>CRIT Rate</t>
  </si>
  <si>
    <t>치명타 확률</t>
  </si>
  <si>
    <t>CharacterName.Spearman</t>
  </si>
  <si>
    <t>EnumName.StatType.CRIT_DMG</t>
  </si>
  <si>
    <t>CRIT Damage</t>
  </si>
  <si>
    <t>치명타 대미지</t>
  </si>
  <si>
    <t>EnumName.StatType.BLOCK_RATE</t>
  </si>
  <si>
    <t>Block Rate</t>
  </si>
  <si>
    <t>창병 단원</t>
  </si>
  <si>
    <t>블록 확률</t>
  </si>
  <si>
    <t>EnumName.StatType.BLOCK_DMG</t>
  </si>
  <si>
    <t>Block Damage</t>
  </si>
  <si>
    <t>CharacterName.Archer</t>
  </si>
  <si>
    <t>블록 데미지</t>
  </si>
  <si>
    <t>EnumName.StatType.MOVE_SPEED</t>
  </si>
  <si>
    <t>MOV Speed</t>
  </si>
  <si>
    <t>이동 속도</t>
  </si>
  <si>
    <t>궁수 단원</t>
  </si>
  <si>
    <t>EnumName.StatType.ATTACK_SPEED</t>
  </si>
  <si>
    <t>방어형 방어력 증가 버프1</t>
  </si>
  <si>
    <t>ATK Speed</t>
  </si>
  <si>
    <t>CharacterName.Wizard</t>
  </si>
  <si>
    <t>공격 속도</t>
  </si>
  <si>
    <t>방어형 직군의 방어력이 10% 증가합니다.</t>
  </si>
  <si>
    <t>EnumName.StatType.COOLDOWN_REDUCE</t>
  </si>
  <si>
    <t>Cool Time Reduction Rate</t>
  </si>
  <si>
    <t>쿨타임 감소율</t>
  </si>
  <si>
    <t>마법사 단원</t>
  </si>
  <si>
    <t>EnumName.StatType.MHP_RESELCTION</t>
  </si>
  <si>
    <t>HP Recovery</t>
  </si>
  <si>
    <t>CharacterName.AxeWielder</t>
  </si>
  <si>
    <t>체력 회복률</t>
  </si>
  <si>
    <t>EnumName.StatType.GOLD_BONUS</t>
  </si>
  <si>
    <t>GOLD BONUS</t>
  </si>
  <si>
    <t>골드 획득량</t>
  </si>
  <si>
    <t>EnumName.StatType.EXP_BONUS</t>
  </si>
  <si>
    <t>도끼병 단원</t>
  </si>
  <si>
    <t>EXP BONUS</t>
  </si>
  <si>
    <t>경험치 획득량</t>
  </si>
  <si>
    <t>EnumName.StatType.OFFLINE_GOLD_BONUS</t>
  </si>
  <si>
    <t>CharacterName.Swordsman</t>
  </si>
  <si>
    <t>OFFLINE GOLD BONUS</t>
  </si>
  <si>
    <t>오프라인 골득 획득량</t>
  </si>
  <si>
    <t>EnumName.StatType.BOSS_DMG</t>
  </si>
  <si>
    <t>BOSS DMG</t>
  </si>
  <si>
    <t>검병 단원</t>
  </si>
  <si>
    <t>보스에게 주는 대미지 증가량</t>
  </si>
  <si>
    <t>EnumName.StatType.BOSS_REDUCE</t>
  </si>
  <si>
    <t>CharacterName.SwordAndShield</t>
  </si>
  <si>
    <t>BOSS REDUCE</t>
  </si>
  <si>
    <t>검방패병 단원</t>
  </si>
  <si>
    <t>보스에게 받는 대미지 감소량</t>
  </si>
  <si>
    <t>CharacterName.Musketeer</t>
  </si>
  <si>
    <t>EnumName.SkillSubType.Melee</t>
  </si>
  <si>
    <t>근접 공격</t>
  </si>
  <si>
    <t>지원형 방어력 증가 버프1</t>
  </si>
  <si>
    <t>지원형 직군의 방어력이 10% 증가합니다.</t>
  </si>
  <si>
    <t>총병 단원</t>
  </si>
  <si>
    <t>EnumName.SkillSubType.Magic</t>
  </si>
  <si>
    <t>Magic</t>
  </si>
  <si>
    <t>마법 공격</t>
  </si>
  <si>
    <t>근거리 체력 증가 버프1</t>
  </si>
  <si>
    <t>근거리 직군의 체력이 10% 증가합니다.</t>
  </si>
  <si>
    <t>EnumName.SkillSubType.Heal</t>
  </si>
  <si>
    <t>CharacterName.Slayer</t>
  </si>
  <si>
    <t>Heal</t>
  </si>
  <si>
    <t>힐</t>
  </si>
  <si>
    <t>Slayer</t>
  </si>
  <si>
    <t>EnumName.SkillSubType.DotHeal</t>
  </si>
  <si>
    <t>DoT Heal</t>
  </si>
  <si>
    <t>대검병 단원</t>
  </si>
  <si>
    <t>도트 힐</t>
  </si>
  <si>
    <t>CharacterName.Title.Dawn</t>
  </si>
  <si>
    <t>EnumName.BuffType.Passive</t>
  </si>
  <si>
    <t>Passive</t>
  </si>
  <si>
    <t>영구적 버프</t>
  </si>
  <si>
    <t>EnumName.BuffType.Active</t>
  </si>
  <si>
    <t>Active</t>
  </si>
  <si>
    <t>시간 제한 버프</t>
  </si>
  <si>
    <t>EnumName.AttributeType.Fire</t>
  </si>
  <si>
    <t>Attribute of Fire</t>
  </si>
  <si>
    <t>불의 힘</t>
  </si>
  <si>
    <t>EnumName.AttributeType.Ice</t>
  </si>
  <si>
    <t>ItemName.Cur.Gold</t>
  </si>
  <si>
    <t>Attribute of Ice</t>
  </si>
  <si>
    <t>원거리 체력 증가 버프1</t>
  </si>
  <si>
    <t>얼음의 힘</t>
  </si>
  <si>
    <t>Gold</t>
  </si>
  <si>
    <t>원거리 직군의 체력이 10% 증가합니다.</t>
  </si>
  <si>
    <t>EnumName.AttributeType.Nature</t>
  </si>
  <si>
    <t>Attribute of Nature</t>
  </si>
  <si>
    <t>자연의 힘</t>
  </si>
  <si>
    <t>골드</t>
  </si>
  <si>
    <t>여명의</t>
  </si>
  <si>
    <t>EnumName.AttributeType.Holy</t>
  </si>
  <si>
    <t>Attribute of Holy</t>
  </si>
  <si>
    <t>ItemName.Cur.Dia</t>
  </si>
  <si>
    <t>신성한 힘</t>
  </si>
  <si>
    <t>CharacterName.Title.Boss</t>
  </si>
  <si>
    <t>Diamond</t>
  </si>
  <si>
    <t>EnumName.AttributeType.Dark</t>
  </si>
  <si>
    <t>Attribute of Dark</t>
  </si>
  <si>
    <t>다이아</t>
  </si>
  <si>
    <t>악의 힘</t>
  </si>
  <si>
    <t>보스</t>
  </si>
  <si>
    <t>EnumName.AttributeType.Iron</t>
  </si>
  <si>
    <t>Attribute of Iron</t>
  </si>
  <si>
    <t>ItemName.Cur.EXP</t>
  </si>
  <si>
    <t>기계 속성</t>
  </si>
  <si>
    <t>CharacterName.Title.Elite</t>
  </si>
  <si>
    <t>EnumName.BuffConditionType.Time</t>
  </si>
  <si>
    <t>Time Buff</t>
  </si>
  <si>
    <t>EXP</t>
  </si>
  <si>
    <t>상시 지속 강화</t>
  </si>
  <si>
    <t>정예</t>
  </si>
  <si>
    <t>영웅 경험치</t>
  </si>
  <si>
    <t>EnumName.BuffConditionType.Hit</t>
  </si>
  <si>
    <t>Hit Buff</t>
  </si>
  <si>
    <t>피해 누적 강화</t>
  </si>
  <si>
    <t>ItemName.Cur.Trait</t>
  </si>
  <si>
    <t>EnumName.CurrencyType.Gold</t>
  </si>
  <si>
    <t>Trait Coin</t>
  </si>
  <si>
    <t>특성 재화</t>
  </si>
  <si>
    <t>EnumName.CurrencyType.Dia_Free</t>
  </si>
  <si>
    <t>방어형 체력 증가 버프1</t>
  </si>
  <si>
    <t>ItemName.Cur.Relic</t>
  </si>
  <si>
    <t>방어형 직군의 체력이 10% 증가합니다.</t>
  </si>
  <si>
    <t>EnumName.CurrencyType.Exp</t>
  </si>
  <si>
    <t>Relic Coin</t>
  </si>
  <si>
    <t>유물 재화</t>
  </si>
  <si>
    <t>ItemName.Cur.AncientRelic</t>
  </si>
  <si>
    <t>EnumName.CurrencyType.Trait_Cost</t>
  </si>
  <si>
    <t>Trait</t>
  </si>
  <si>
    <t>Ancient Relic Coin</t>
  </si>
  <si>
    <t>특성 코인</t>
  </si>
  <si>
    <t>고대 유물 재화</t>
  </si>
  <si>
    <t>EnumName.CurrencyType.Relic_Cost</t>
  </si>
  <si>
    <t>Relic</t>
  </si>
  <si>
    <t>ItemName.Cur.Signature</t>
  </si>
  <si>
    <t>EnumName.CurrencyType.AncientRelic_Cost</t>
  </si>
  <si>
    <t>Signature Pose Coin</t>
  </si>
  <si>
    <t>Ancient Relic</t>
  </si>
  <si>
    <t>시그니처 포스 재화</t>
  </si>
  <si>
    <t>EnumName.CurrencyType.Ooparts_Cost</t>
  </si>
  <si>
    <t>ItemName.Cur.Ooparts</t>
  </si>
  <si>
    <t>Oopats</t>
  </si>
  <si>
    <t>Ooparts Coin</t>
  </si>
  <si>
    <t>오파츠 코인</t>
  </si>
  <si>
    <t>오파츠 재화</t>
  </si>
  <si>
    <t>EnumName.CurrencyType.HolyRelic_Cost</t>
  </si>
  <si>
    <t>ItemName.Cur.Payment</t>
  </si>
  <si>
    <t>Signature</t>
  </si>
  <si>
    <t>지원형 체력 증가 버프1</t>
  </si>
  <si>
    <t>Payment</t>
  </si>
  <si>
    <t>지원형 직군의 체력이 10% 증가합니다.</t>
  </si>
  <si>
    <t>EnumName.CurrencyType.Ticket_Character_N</t>
  </si>
  <si>
    <t>유료 결제</t>
  </si>
  <si>
    <t>Hero Summon Ticket</t>
  </si>
  <si>
    <t>영웅 일반소환 티켓</t>
  </si>
  <si>
    <t>ItemName.Cur.ShopMileage</t>
  </si>
  <si>
    <t>EnumName.CurrencyType.Ticket_Character_P</t>
  </si>
  <si>
    <t>Shop Mileage</t>
  </si>
  <si>
    <t>Pickup Hero Summon Ticket</t>
  </si>
  <si>
    <t>상점 마일리지</t>
  </si>
  <si>
    <t>영웅 픽업소환 티켓</t>
  </si>
  <si>
    <t>EnumName.CurrencyType.Ticket_Character_UR</t>
  </si>
  <si>
    <t>ItemName.Cur.AD</t>
  </si>
  <si>
    <t>UR Rank Hero Summon Ticket</t>
  </si>
  <si>
    <t>영웅 UR소환 티켓</t>
  </si>
  <si>
    <t>EnumName.CurrencyType.Ticket_Artifact_N</t>
  </si>
  <si>
    <t>Artifact Summon Ticket</t>
  </si>
  <si>
    <t>아티팩트 일반소환 티켓</t>
  </si>
  <si>
    <t>EnumName.CurrencyType.Ticket_Artifact_P</t>
  </si>
  <si>
    <t>Pickup Artifact Summon Ticket</t>
  </si>
  <si>
    <t>아티팩트 픽업소환 티켓</t>
  </si>
  <si>
    <t>EnumName.CurrencyType.Coin_SD_Agency</t>
  </si>
  <si>
    <t>AD</t>
  </si>
  <si>
    <t>Dispatch Enter Coin</t>
  </si>
  <si>
    <t>광고 시청</t>
  </si>
  <si>
    <t>파견 입장 재화</t>
  </si>
  <si>
    <t>EnumName.CurrencyType.Coin_SD_Garden</t>
  </si>
  <si>
    <t>ItemName.Cur.RealCash</t>
  </si>
  <si>
    <t>Farm Enter Coin</t>
  </si>
  <si>
    <t>농장 입장 재화</t>
  </si>
  <si>
    <t>Dia</t>
  </si>
  <si>
    <t>불속성 공격력 증가 버프1</t>
  </si>
  <si>
    <t>유료 다이아</t>
  </si>
  <si>
    <t>불 속성 대상에게 주는 최종 대미지가 증가</t>
  </si>
  <si>
    <t>EnumName.CurrencyType.Coin_SD_Dungen</t>
  </si>
  <si>
    <t>Dungeon Enter Coin</t>
  </si>
  <si>
    <t>ItemName.Cur.HeroTicket</t>
  </si>
  <si>
    <t>토벌 입장 재화</t>
  </si>
  <si>
    <t>EnumName.CurrencyType.Coin_Pet</t>
  </si>
  <si>
    <t>Pet Summon Ticket</t>
  </si>
  <si>
    <t>ItemName.Cur.PickupHeroTicket</t>
  </si>
  <si>
    <t>펫 소환 재화</t>
  </si>
  <si>
    <t>EnumName.CurrencyType.Guild_Coin_1</t>
  </si>
  <si>
    <t>Guild Silver Coin</t>
  </si>
  <si>
    <t>길드 코인(은)</t>
  </si>
  <si>
    <t>EnumName.CurrencyType.Guild_Coin_2</t>
  </si>
  <si>
    <t>ItemName.Cur.URHeroTicket</t>
  </si>
  <si>
    <t>UR Hero Summon Ticket</t>
  </si>
  <si>
    <t>Guild Gold Coin</t>
  </si>
  <si>
    <t>길드 코인(금)</t>
  </si>
  <si>
    <t>EnumName.CurrencyType.Guild_Coin_3</t>
  </si>
  <si>
    <t>Guild Premium Coin</t>
  </si>
  <si>
    <t>ItemName.Cur.ArtifactTicket</t>
  </si>
  <si>
    <t>길드 코인(프리미엄)</t>
  </si>
  <si>
    <t>EnumName.CurrencyType.Guild_Cost_A</t>
  </si>
  <si>
    <t>아티펙트 일반소환 티켓</t>
  </si>
  <si>
    <t>Guild Alchemy</t>
  </si>
  <si>
    <t>길드 연금술 재화</t>
  </si>
  <si>
    <t>물속성 공격력 증가 버프1</t>
  </si>
  <si>
    <t>ItemName.Cur.PickupArtifactTicket</t>
  </si>
  <si>
    <t>EnumName.CurrencyType.World_Coin</t>
  </si>
  <si>
    <t>물 속성 대상에게 주는 최종 대미지가 증가</t>
  </si>
  <si>
    <t>World Boss Reward</t>
  </si>
  <si>
    <t>월드 보스 보상</t>
  </si>
  <si>
    <t>아티펙트 픽업소환 티켓</t>
  </si>
  <si>
    <t>EnumName.CurrencyType.Ticket_D1_gold</t>
  </si>
  <si>
    <t>Gold Dungeon Ticket</t>
  </si>
  <si>
    <t>골드 던전 입장권</t>
  </si>
  <si>
    <t>ItemName.Cur.AgencyTicket</t>
  </si>
  <si>
    <t>EnumName.CurrencyType.Ticket_D2_exp</t>
  </si>
  <si>
    <t>Agency Ticket</t>
  </si>
  <si>
    <t>EXP Dungeon Ticket</t>
  </si>
  <si>
    <t>영웅 경험치 던전 입장권</t>
  </si>
  <si>
    <t>의뢰소 입장권</t>
  </si>
  <si>
    <t>EnumName.CurrencyType.Ticket_D3_artifact</t>
  </si>
  <si>
    <t>Artifact Dungeon Ticket</t>
  </si>
  <si>
    <t>아티팩트 소환 던전 입장권</t>
  </si>
  <si>
    <t>ItemName.Cur.HuntTicket</t>
  </si>
  <si>
    <t>EnumName.CurrencyType.Ticket_D4_equipment</t>
  </si>
  <si>
    <t>Hunt Ticket</t>
  </si>
  <si>
    <t>Equipment Dungeon Ticket</t>
  </si>
  <si>
    <t>토벌 입장권</t>
  </si>
  <si>
    <t>장비 던전 입장권</t>
  </si>
  <si>
    <t>EnumName.CurrencyType.Ticket_D5_trait</t>
  </si>
  <si>
    <t>Trait Dungeon Ticket</t>
  </si>
  <si>
    <t>특성 던전 입장권</t>
  </si>
  <si>
    <t>ItemName.Cur.FarmTicket</t>
  </si>
  <si>
    <t>EnumName.CurrencyType.Mertarial_equipment</t>
  </si>
  <si>
    <t>Farm Ticket</t>
  </si>
  <si>
    <t>Equipment Mertarial</t>
  </si>
  <si>
    <t>장비 제작 재료</t>
  </si>
  <si>
    <t>농장 입장권</t>
  </si>
  <si>
    <t>자연속성 공격력 증가 버프1</t>
  </si>
  <si>
    <t>EnumName.CurrencyType.Mertarial_specialhero</t>
  </si>
  <si>
    <t>ItemName.Cur.PetTicket</t>
  </si>
  <si>
    <t>Hero Upgrade Mertarial</t>
  </si>
  <si>
    <t>자연 속성 대상에게 주는 최종 대미지가 증가</t>
  </si>
  <si>
    <t>영웅 각성 재료</t>
  </si>
  <si>
    <t>EnumName.CurrencyType.Mertarial_monsterProduct</t>
  </si>
  <si>
    <t>펫 소환 티켓</t>
  </si>
  <si>
    <t>Monster Product</t>
  </si>
  <si>
    <t>토벌 보상</t>
  </si>
  <si>
    <t>ItemName.Cur.Guild_S</t>
  </si>
  <si>
    <t>EnumName.CurrencyType.Mertarial_Plant</t>
  </si>
  <si>
    <t>Plant Product</t>
  </si>
  <si>
    <t>농장 보상</t>
  </si>
  <si>
    <t>길드 은 코인</t>
  </si>
  <si>
    <t>EnumName.CurrencyType.Mertarial_Request</t>
  </si>
  <si>
    <t>Agency Product</t>
  </si>
  <si>
    <t>의뢰소 보상</t>
  </si>
  <si>
    <t>ItemName.Cur.Guild_G</t>
  </si>
  <si>
    <t>EnumName.CurrencyType.Guild_Ticket_1</t>
  </si>
  <si>
    <t>Guild Raid Ticket</t>
  </si>
  <si>
    <t>길드 레이드 티켓</t>
  </si>
  <si>
    <t>길드 금 코인</t>
  </si>
  <si>
    <t>EnumName.CurrencyType.Guild_Ticket_2</t>
  </si>
  <si>
    <t>Guild Defense Ticket</t>
  </si>
  <si>
    <t>ItemName.Cur.Guild_P</t>
  </si>
  <si>
    <t>길드 방어전 티켓</t>
  </si>
  <si>
    <t>EnumName.CurrencyType.World_Ticket_1</t>
  </si>
  <si>
    <t>World Boss Ticket</t>
  </si>
  <si>
    <t>길드 프리미엄 코인</t>
  </si>
  <si>
    <t>월드 보스 티켓</t>
  </si>
  <si>
    <t>EnumName.CurrencyType.World_Ticket_2</t>
  </si>
  <si>
    <t>ItemName.Cur.Guild_Alchem</t>
  </si>
  <si>
    <t>Wold Raid Ticket</t>
  </si>
  <si>
    <t>월드 레이드 티켓</t>
  </si>
  <si>
    <t>기계속성 공격력 증가 버프1</t>
  </si>
  <si>
    <t>EnumName.CurrencyType.Piece_Character_N</t>
  </si>
  <si>
    <t>기계 속성 대상에게 주는 최종 대미지가 증가</t>
  </si>
  <si>
    <t>N Rank Hero Shards</t>
  </si>
  <si>
    <t>N등급 영웅 조각</t>
  </si>
  <si>
    <t>ItemName.Cur.WorldBoss</t>
  </si>
  <si>
    <t>EnumName.CurrencyType.Piece_Character_R</t>
  </si>
  <si>
    <t>R Rank Hero Shards</t>
  </si>
  <si>
    <t>R 영웅 조각</t>
  </si>
  <si>
    <t>EnumName.CurrencyType.Piece_Character_UR</t>
  </si>
  <si>
    <t>UR Rank Hero Shards</t>
  </si>
  <si>
    <t>UR 영웅 조각</t>
  </si>
  <si>
    <t>ItemName.Cur.HeroClassUp</t>
  </si>
  <si>
    <t>EnumName.CurrencyType.Ticket_Character_SR</t>
  </si>
  <si>
    <t>Hero Class Up</t>
  </si>
  <si>
    <t>SR Rank Hero Ticket</t>
  </si>
  <si>
    <t>SR 영웅 성급 티켓</t>
  </si>
  <si>
    <t>영웅 성급 재화</t>
  </si>
  <si>
    <t>EnumName.CurrencyType.Ticket_Character_SSR</t>
  </si>
  <si>
    <t>SSR Rank Hero Ticket</t>
  </si>
  <si>
    <t>SSR 영웅 성급 티켓</t>
  </si>
  <si>
    <t>EnumName.CurrencyType.Ticket_Character_Grade</t>
  </si>
  <si>
    <t>SSR Rank Hero Grade Up Ticket</t>
  </si>
  <si>
    <t>SSR 영웅 등급 티켓</t>
  </si>
  <si>
    <t>ItemName.Cur.SDCost</t>
  </si>
  <si>
    <t>EnumName.CurrencyType.Ticket_Artifact_1</t>
  </si>
  <si>
    <t>Village Coin</t>
  </si>
  <si>
    <t>Artifact Level Up</t>
  </si>
  <si>
    <t>마을 재화</t>
  </si>
  <si>
    <t>아티팩트 레벨업</t>
  </si>
  <si>
    <t>ItemName.Cur.FriendCost</t>
  </si>
  <si>
    <t>EnumName.CurrencyType.Ticket_Artifact_2</t>
  </si>
  <si>
    <t>Friendship Point</t>
  </si>
  <si>
    <t>Artifact Class Up</t>
  </si>
  <si>
    <t>우정 포인트</t>
  </si>
  <si>
    <t>아티팩트 성급업</t>
  </si>
  <si>
    <t>EnumName.CurrencyType.Mertarial_EqLevel_M</t>
  </si>
  <si>
    <t>ItemName.Cur.Ticket.Artifact_Grade</t>
  </si>
  <si>
    <t>Equipment Level Up (Melee)</t>
  </si>
  <si>
    <t>Artifact Grade Up Ticket</t>
  </si>
  <si>
    <t>아티펙트 성급 티켓</t>
  </si>
  <si>
    <t>빛속성 공격력 증가 버프1</t>
  </si>
  <si>
    <t>빛 속성 대상에게 주는 최종 대미지가 증가</t>
  </si>
  <si>
    <t>ItemName.Cur.HeroLevelBT</t>
  </si>
  <si>
    <t>Hero's Emblem</t>
  </si>
  <si>
    <t>영웅의 증표</t>
  </si>
  <si>
    <t>장비 레벨업 (근거리)</t>
  </si>
  <si>
    <t>ItemName.Mat.EquipLevel_M</t>
  </si>
  <si>
    <t>EnumName.CurrencyType.Mertarial_EqLevel_R</t>
  </si>
  <si>
    <t>Equipment Level Up (Ranged)</t>
  </si>
  <si>
    <t>장비 레벨업 (원거리)</t>
  </si>
  <si>
    <t>EnumName.CurrencyType.Mertarial_EqLevel_T</t>
  </si>
  <si>
    <t>ItemName.Mat.EquipLevel_R</t>
  </si>
  <si>
    <t>Equipment Level Up (Tanker)</t>
  </si>
  <si>
    <t>장비 레벨업 (탱커)</t>
  </si>
  <si>
    <t>EnumName.CurrencyType.Mertarial_EqLevel_S</t>
  </si>
  <si>
    <t>ItemName.Mat.EquipLevel_T</t>
  </si>
  <si>
    <t>Equipment Level Up (Support)</t>
  </si>
  <si>
    <t>장비 레벨업 (서포트)</t>
  </si>
  <si>
    <t>EnumName.CurrencyType.Mertarial_EqClass_M</t>
  </si>
  <si>
    <t>ItemName.Mat.EquipLevel_S</t>
  </si>
  <si>
    <t>Equipment Class Up (Melee)</t>
  </si>
  <si>
    <t>장비 성급업 (근거리)</t>
  </si>
  <si>
    <t>EnumName.CurrencyType.Mertarial_EqClass_R</t>
  </si>
  <si>
    <t>ItemName.Mat.EquipClass_M</t>
  </si>
  <si>
    <t>Equipment Class Up (Ranged)</t>
  </si>
  <si>
    <t>장비 성급업 (원거리)</t>
  </si>
  <si>
    <t>EnumName.CurrencyType.Mertarial_EqClass_T</t>
  </si>
  <si>
    <t>ItemName.Mat.EquipClass_R</t>
  </si>
  <si>
    <t>암흑속성 공격력 증가 버프1</t>
  </si>
  <si>
    <t>Equipment Class Up (Tanker)</t>
  </si>
  <si>
    <t>장비 성급업 (탱커)</t>
  </si>
  <si>
    <t>암흑 속성 대상에게 주는 최종 대미지가 증가</t>
  </si>
  <si>
    <t>ItemName.Mat.EquipClass_T</t>
  </si>
  <si>
    <t>EnumName.CurrencyType.Mertarial_EqClass_S</t>
  </si>
  <si>
    <t>Equipment Class Up (Support)</t>
  </si>
  <si>
    <t>장비 성급업 (서포트)</t>
  </si>
  <si>
    <t>ItemName.Mat.EquipClass_S</t>
  </si>
  <si>
    <t>EnumName.CurrencyType.Mertarial_EqGrade_M</t>
  </si>
  <si>
    <t>Equipment Grade Up (Melee)</t>
  </si>
  <si>
    <t>장비 등급업 (근거리)</t>
  </si>
  <si>
    <t>ItemName.Mat.EquipGrade_M</t>
  </si>
  <si>
    <t>EnumName.CurrencyType.Mertarial_EqGrade_R</t>
  </si>
  <si>
    <t>Equipment Grade Up (Ranged)</t>
  </si>
  <si>
    <t>장비 등급업 (원거리)</t>
  </si>
  <si>
    <t>ItemName.Mat.EquipGrade_R</t>
  </si>
  <si>
    <t>EnumName.CurrencyType.Mertarial_EqGrade_T</t>
  </si>
  <si>
    <t>골드 획득량 증가 버프1</t>
  </si>
  <si>
    <t>Equipment Grade Up (Tanker)</t>
  </si>
  <si>
    <t>골드 획득량이 10% 증가합니다.</t>
  </si>
  <si>
    <t>장비 등급업 (탱커)</t>
  </si>
  <si>
    <t>EnumName.CurrencyType.Mertarial_EqGrade_S</t>
  </si>
  <si>
    <t>ItemName.Mat.EquipGrade_T</t>
  </si>
  <si>
    <t>Equipment Grade Up (Support)</t>
  </si>
  <si>
    <t>장비 등급업 (서포트)</t>
  </si>
  <si>
    <t>EnumName.CurrencyType.Mertarial_Costum</t>
  </si>
  <si>
    <t>Hero Costum Mertarial</t>
  </si>
  <si>
    <t>영웅 코스튬 재료</t>
  </si>
  <si>
    <t>ItemName.Mat.EquipGrade_S</t>
  </si>
  <si>
    <t>EnumName.CurrencyType.Ticket_Character</t>
  </si>
  <si>
    <t>Hero Grade Up Ticket</t>
  </si>
  <si>
    <t>영웅 성급 티켓</t>
  </si>
  <si>
    <t>EnumName.CurrencyType.Ticket_Artifact</t>
  </si>
  <si>
    <t>ItemName.Cur.ArtiLevelUp</t>
  </si>
  <si>
    <t>EnumName.CurrencyType.Ticket_Costum</t>
  </si>
  <si>
    <t>아티펙트 레벨업</t>
  </si>
  <si>
    <t>Hero Costum Ticket</t>
  </si>
  <si>
    <t>영웅 코스튬 티켓</t>
  </si>
  <si>
    <t>ItemName.Cur.ArtiClassUp</t>
  </si>
  <si>
    <t>EnumName.ConsumablesType.Package_Basic</t>
  </si>
  <si>
    <t>아티펙트 성급업</t>
  </si>
  <si>
    <t>Basic Package</t>
  </si>
  <si>
    <t>ItemName.Mat.Training1</t>
  </si>
  <si>
    <t>경험치 획득량 증가 버프1</t>
  </si>
  <si>
    <t>기본 패키지</t>
  </si>
  <si>
    <t>Training Material (1)</t>
  </si>
  <si>
    <t>영웅 경험치 획득량이 10% 증가합니다.</t>
  </si>
  <si>
    <t>훈련 재료1</t>
  </si>
  <si>
    <t>EnumName.ConsumablesType.Package_Growth</t>
  </si>
  <si>
    <t>Growth Package</t>
  </si>
  <si>
    <t>ItemName.Mat.Training2</t>
  </si>
  <si>
    <t>성장 패키지</t>
  </si>
  <si>
    <t>Training Material (2)</t>
  </si>
  <si>
    <t>EnumName.ConsumablesType.Package_Summon</t>
  </si>
  <si>
    <t>훈련 재료2</t>
  </si>
  <si>
    <t>ItemName.Mat.Training3</t>
  </si>
  <si>
    <t>Training Material (3)</t>
  </si>
  <si>
    <t>훈련 재료3</t>
  </si>
  <si>
    <t>Summon Package</t>
  </si>
  <si>
    <t>ItemName.Mat.Training4</t>
  </si>
  <si>
    <t>소환 패키지</t>
  </si>
  <si>
    <t>Training Material (4)</t>
  </si>
  <si>
    <t>EnumName.ConsumablesType.Package_Ticket</t>
  </si>
  <si>
    <t>훈련 재료4</t>
  </si>
  <si>
    <t>Ticket Package</t>
  </si>
  <si>
    <t>티켓 패키지</t>
  </si>
  <si>
    <t>ItemName.Alchemy1</t>
  </si>
  <si>
    <t>EnumName.ConsumablesType.Package_Material</t>
  </si>
  <si>
    <t>Pure Essence</t>
  </si>
  <si>
    <t>Material Package</t>
  </si>
  <si>
    <t>재료 패키지</t>
  </si>
  <si>
    <t>순수한 결정의 정수</t>
  </si>
  <si>
    <t>EnumName.ConsumablesType.Package_Mixed</t>
  </si>
  <si>
    <t>Mixed Package</t>
  </si>
  <si>
    <t>ItemName.Alchemy2</t>
  </si>
  <si>
    <t>복합 패키지</t>
  </si>
  <si>
    <t>Refined Essence</t>
  </si>
  <si>
    <t>EnumName.ConsumablesType.Package_Time</t>
  </si>
  <si>
    <t>정제된 결정의 정수</t>
  </si>
  <si>
    <t>Time Package</t>
  </si>
  <si>
    <t>시간 재화 패키지</t>
  </si>
  <si>
    <t>블록 대미지 감소 버프2</t>
  </si>
  <si>
    <t>ItemName.AlchemyCritDMG</t>
  </si>
  <si>
    <t>EnumName.ConsumablesType.Package_Buff</t>
  </si>
  <si>
    <t>Essence of Experience</t>
  </si>
  <si>
    <t>Buff Package</t>
  </si>
  <si>
    <t>자신에게 받는 피해량의 10% 감소합니다.</t>
  </si>
  <si>
    <t>경험의 결정</t>
  </si>
  <si>
    <t>버프 패키지</t>
  </si>
  <si>
    <t>ShortCut.StatGrowth</t>
  </si>
  <si>
    <t>ItemName.AlchemyCritRATE</t>
  </si>
  <si>
    <t>EnumName.GradeType.N</t>
  </si>
  <si>
    <t>Essence of Spirit</t>
  </si>
  <si>
    <t>N Rank</t>
  </si>
  <si>
    <t>N 등급</t>
  </si>
  <si>
    <t>EnumName.GradeType.R</t>
  </si>
  <si>
    <t>R Rank</t>
  </si>
  <si>
    <t>Go to Growth</t>
  </si>
  <si>
    <t>R 등급</t>
  </si>
  <si>
    <t>정신의 결정</t>
  </si>
  <si>
    <t>성장 바로가기</t>
  </si>
  <si>
    <t>EnumName.GradeType.SR</t>
  </si>
  <si>
    <t>ItemName.AlchemyBlockRATE</t>
  </si>
  <si>
    <t>Essence of Protection</t>
  </si>
  <si>
    <t>ShortCut.Trait</t>
  </si>
  <si>
    <t>수호의 결정</t>
  </si>
  <si>
    <t>Go to Trait</t>
  </si>
  <si>
    <t>ItemName.AlchemyHIT</t>
  </si>
  <si>
    <t>특성 바로가기</t>
  </si>
  <si>
    <t>Essence of Insight</t>
  </si>
  <si>
    <t>SR Rank</t>
  </si>
  <si>
    <t>통찰의 결정</t>
  </si>
  <si>
    <t>ShortCut.Relic</t>
  </si>
  <si>
    <t>SR 등급</t>
  </si>
  <si>
    <t>Go to Relic</t>
  </si>
  <si>
    <t>ItemName.AlchemyAccelTicket</t>
  </si>
  <si>
    <t>EnumName.GradeType.SSR</t>
  </si>
  <si>
    <t>유물 바로가기</t>
  </si>
  <si>
    <t>SSR Rank</t>
  </si>
  <si>
    <t>Alchemy Accelerate Ticket</t>
  </si>
  <si>
    <t>연금술 가속권</t>
  </si>
  <si>
    <t>SSR 등급</t>
  </si>
  <si>
    <t>ShortCut.Signature</t>
  </si>
  <si>
    <t>ItemName.Cur.Ticket.Guild_Raid</t>
  </si>
  <si>
    <t>EnumName.GradeType.UR</t>
  </si>
  <si>
    <t>Go to Signature Force</t>
  </si>
  <si>
    <t>UR Rank</t>
  </si>
  <si>
    <t>시그니처 포스 바로가기</t>
  </si>
  <si>
    <t>UR 등급</t>
  </si>
  <si>
    <t>EnumName.DungeonType.Gold</t>
  </si>
  <si>
    <t>ShortCut.EquipDun</t>
  </si>
  <si>
    <t>ItemName.Cur.Ticket.Guild_Defense</t>
  </si>
  <si>
    <t>Gold Dungeon</t>
  </si>
  <si>
    <t>Go to Equipment Dungeon</t>
  </si>
  <si>
    <t>골드 던전</t>
  </si>
  <si>
    <t>EnumName.DungeonType.XP</t>
  </si>
  <si>
    <t>장비 던전 바로가기</t>
  </si>
  <si>
    <t>XP Dungeon</t>
  </si>
  <si>
    <t>경험치 던전</t>
  </si>
  <si>
    <t>ShortCut.XPDun</t>
  </si>
  <si>
    <t>EnumName.DungeonType.Artifact</t>
  </si>
  <si>
    <t>ItemName.Cur.Ticket.World_Boss</t>
  </si>
  <si>
    <t>Go to EXP Dungeon</t>
  </si>
  <si>
    <t>블록 대미지 감소 버프3</t>
  </si>
  <si>
    <t>경험치 던전 바로가기</t>
  </si>
  <si>
    <t>Artifact Dungeon</t>
  </si>
  <si>
    <t>아티팩트 던전</t>
  </si>
  <si>
    <t>자신에게 받는 피해량의 20% 감소합니다.</t>
  </si>
  <si>
    <t>EnumName.DungeonType.Material</t>
  </si>
  <si>
    <t>ShortCut.GoldDun</t>
  </si>
  <si>
    <t>Material Dungeon</t>
  </si>
  <si>
    <t>장비 재료 던전</t>
  </si>
  <si>
    <t>Go to Gold Dungeon</t>
  </si>
  <si>
    <t>EnumName.DungeonEnterType.Daily</t>
  </si>
  <si>
    <t>Daily</t>
  </si>
  <si>
    <t>골드 던전 바로가기</t>
  </si>
  <si>
    <t>일일</t>
  </si>
  <si>
    <t>ShortCut.RelicDun</t>
  </si>
  <si>
    <t>EnumName.DungeonEnterType.Weekly</t>
  </si>
  <si>
    <t>Go to Relic Dungeon</t>
  </si>
  <si>
    <t>Weekly</t>
  </si>
  <si>
    <t>주간</t>
  </si>
  <si>
    <t>EnumName.DungeonEnterType.Monthly</t>
  </si>
  <si>
    <t>Monthly</t>
  </si>
  <si>
    <t>월간</t>
  </si>
  <si>
    <t>EnumName.DungeonEnterType.OneTime</t>
  </si>
  <si>
    <t>One Time</t>
  </si>
  <si>
    <t>1회</t>
  </si>
  <si>
    <t>유물 던전 바로가기</t>
  </si>
  <si>
    <t>Daily Dungeon</t>
  </si>
  <si>
    <t>일일 던전</t>
  </si>
  <si>
    <t>ShortCut.ArtifactDun</t>
  </si>
  <si>
    <t>Weekly Dungeon</t>
  </si>
  <si>
    <t>Go to Artifact Dungeon</t>
  </si>
  <si>
    <t>주간 던전</t>
  </si>
  <si>
    <t>ItemName.Cur.Ticket.Wold_Raid</t>
  </si>
  <si>
    <t>체력 회복률 증가 버프2</t>
  </si>
  <si>
    <t>아티팩트 던전 바로가기</t>
  </si>
  <si>
    <t>Monthly Dungeon</t>
  </si>
  <si>
    <t>편성된 영웅의 체력 회복률이 10% 증가합니다.</t>
  </si>
  <si>
    <t>월간 던전</t>
  </si>
  <si>
    <t>ShortCut.SDAgency</t>
  </si>
  <si>
    <t>Go to Agency</t>
  </si>
  <si>
    <t>Event Dungeon</t>
  </si>
  <si>
    <t>이벤트 던전</t>
  </si>
  <si>
    <t>SD의뢰소 바로가기</t>
  </si>
  <si>
    <t>ItemName.Cur.GoldDunTicket</t>
  </si>
  <si>
    <t>EnumName.GrowthType.Account</t>
  </si>
  <si>
    <t>ShortCut.SDHotel</t>
  </si>
  <si>
    <t>Growth</t>
  </si>
  <si>
    <t>Go to Hotel</t>
  </si>
  <si>
    <t>성장</t>
  </si>
  <si>
    <t>SD여관 바로가기</t>
  </si>
  <si>
    <t>EnumName.GrowthType.Trailt</t>
  </si>
  <si>
    <t>ItemName.Cur.EXPDunTicket</t>
  </si>
  <si>
    <t>ShortCut.SDGarden</t>
  </si>
  <si>
    <t>특성</t>
  </si>
  <si>
    <t>EnumName.GrowthType.Relic</t>
  </si>
  <si>
    <t>Go to Garden</t>
  </si>
  <si>
    <t>경험치 던전 입장권</t>
  </si>
  <si>
    <t>SD농장 바로가기</t>
  </si>
  <si>
    <t>ItemName.Cur.ArtiDunTicket</t>
  </si>
  <si>
    <t>유물</t>
  </si>
  <si>
    <t>ShortCut.SDDun</t>
  </si>
  <si>
    <t>EnumName.GrowthType.StarNode</t>
  </si>
  <si>
    <t>Go to Dungeon</t>
  </si>
  <si>
    <t>아티펙트 소환 던전 입장권</t>
  </si>
  <si>
    <t>Signature Pose</t>
  </si>
  <si>
    <t>SD지하수로 바로가기</t>
  </si>
  <si>
    <t>시그니처 포스</t>
  </si>
  <si>
    <t>ItemName.Cur.EqDunTicket</t>
  </si>
  <si>
    <t>체력 회복률 증가 버프3</t>
  </si>
  <si>
    <t>ShortCut.SDAlchemy</t>
  </si>
  <si>
    <t>EnumName.SdContensType.Agency</t>
  </si>
  <si>
    <t>편성된 영웅의 체력 회복률이 20% 증가합니다.</t>
  </si>
  <si>
    <t>Go to Alchemy</t>
  </si>
  <si>
    <t>Agency</t>
  </si>
  <si>
    <t>용병 의뢰소</t>
  </si>
  <si>
    <t>SD연구실 바로가기</t>
  </si>
  <si>
    <t>ItemName.Cur.TraitDunTicket</t>
  </si>
  <si>
    <t>EnumName.SdContensType.Hotel</t>
  </si>
  <si>
    <t>ShortCut.SDPub</t>
  </si>
  <si>
    <t>Hotel</t>
  </si>
  <si>
    <t>Go to Pub</t>
  </si>
  <si>
    <t>여관</t>
  </si>
  <si>
    <t>SD주점 바로가기</t>
  </si>
  <si>
    <t>EnumName.SdContensType.Pub</t>
  </si>
  <si>
    <t>ItemName.Cur.RelicDunTicket</t>
  </si>
  <si>
    <t>Pub</t>
  </si>
  <si>
    <t>ShortCut.Battle</t>
  </si>
  <si>
    <t>주점</t>
  </si>
  <si>
    <t>Relic Dungeon Ticket</t>
  </si>
  <si>
    <t>Go to Battle</t>
  </si>
  <si>
    <t>EnumName.SdContensType.Dungeon</t>
  </si>
  <si>
    <t>유물 던전 입장권</t>
  </si>
  <si>
    <t>전투 바로가기</t>
  </si>
  <si>
    <t>Dungeon</t>
  </si>
  <si>
    <t>지하 수로</t>
  </si>
  <si>
    <t>ItemName.Cur.OopartsDunTicket</t>
  </si>
  <si>
    <t>EnumName.SdContensType.FlowerGarden</t>
  </si>
  <si>
    <t>Ooparts Dungeon Ticket</t>
  </si>
  <si>
    <t>FlowerGarden</t>
  </si>
  <si>
    <t>화원</t>
  </si>
  <si>
    <t>오파츠 던전 입장권</t>
  </si>
  <si>
    <t>EnumName.SdContensType.Alchemy</t>
  </si>
  <si>
    <t>ItemName.Mat.AgencyReward</t>
  </si>
  <si>
    <t>Alchemy</t>
  </si>
  <si>
    <t>연금술</t>
  </si>
  <si>
    <t>Agency Reward</t>
  </si>
  <si>
    <t>명중률 증가 버프2</t>
  </si>
  <si>
    <t>EnumName.QuestType.Stage_Clear</t>
  </si>
  <si>
    <t>Stage Clear</t>
  </si>
  <si>
    <t>스테이지 클리어</t>
  </si>
  <si>
    <t>ItemName.Mat.Plant</t>
  </si>
  <si>
    <t>EnumName.QuestType.Character_ATK</t>
  </si>
  <si>
    <t>Hero ATK Up</t>
  </si>
  <si>
    <t>영웅 공격력 증가</t>
  </si>
  <si>
    <t>EnumName.QuestType.A_Dungeon_Clear</t>
  </si>
  <si>
    <t>ItemName.Mat.HuntReward</t>
  </si>
  <si>
    <t>Gold Dungeon Clear</t>
  </si>
  <si>
    <t>골드 던전 클리어</t>
  </si>
  <si>
    <t>EnumName.QuestType.B_Dungeon_Clear</t>
  </si>
  <si>
    <t>ItemName.Mat.Agency</t>
  </si>
  <si>
    <t>EXP Dungeon Clear</t>
  </si>
  <si>
    <t>경험치 던전 클리어</t>
  </si>
  <si>
    <t>ItemName.Cur.CostumTicket</t>
  </si>
  <si>
    <t>EnumName.QuestType.Summon_Character</t>
  </si>
  <si>
    <t>Summon Hero</t>
  </si>
  <si>
    <t>영웅 소환</t>
  </si>
  <si>
    <t>EnumName.QuestType.Kill_Monster</t>
  </si>
  <si>
    <t>Kill Monsters</t>
  </si>
  <si>
    <t>ItemName.PubItem1</t>
  </si>
  <si>
    <t>몬스터 처치</t>
  </si>
  <si>
    <t>Pub Item 1</t>
  </si>
  <si>
    <t>주점 요리1</t>
  </si>
  <si>
    <t>EnumName.QuestType.Use_BoxItem</t>
  </si>
  <si>
    <t>명중률 증가 버프3</t>
  </si>
  <si>
    <t>ItemName.PubItem2</t>
  </si>
  <si>
    <t>Pub Item 2</t>
  </si>
  <si>
    <t>Use Item</t>
  </si>
  <si>
    <t>주점 요리2</t>
  </si>
  <si>
    <t>자신의 명중률이 20% 증가합니다.</t>
  </si>
  <si>
    <t>아이템 사용</t>
  </si>
  <si>
    <t>ItemName.PubItem3</t>
  </si>
  <si>
    <t>EnumName.QuestType.Summon_Artifacte</t>
  </si>
  <si>
    <t>Pub Item 3</t>
  </si>
  <si>
    <t>Summon Artifacte</t>
  </si>
  <si>
    <t>주점 요리3</t>
  </si>
  <si>
    <t>아티팩트 소환</t>
  </si>
  <si>
    <t>EnumName.QuestType.Character_DEF</t>
  </si>
  <si>
    <t>ItemName.PubItem4</t>
  </si>
  <si>
    <t>Hero DEF Up</t>
  </si>
  <si>
    <t>Pub Item 4</t>
  </si>
  <si>
    <t>영웅 방어력 증가</t>
  </si>
  <si>
    <t>주점 요리4</t>
  </si>
  <si>
    <t>EnumName.QuestType.Event_Quest</t>
  </si>
  <si>
    <t>ItemName.PubItem5</t>
  </si>
  <si>
    <t>Event Quest Clear</t>
  </si>
  <si>
    <t>Pub Item 5</t>
  </si>
  <si>
    <t>이벤트 퀘스트 클리어</t>
  </si>
  <si>
    <t>주점 요리5</t>
  </si>
  <si>
    <t>EnumName.QuestType.LevelUp</t>
  </si>
  <si>
    <t>Level Up</t>
  </si>
  <si>
    <t>레벨업</t>
  </si>
  <si>
    <t>ItemName.PubItem6</t>
  </si>
  <si>
    <t>Pub Item 6</t>
  </si>
  <si>
    <t>EnumName.QuestType.ClassUp</t>
  </si>
  <si>
    <t>치명타 확률 증가2</t>
  </si>
  <si>
    <t>Class Up</t>
  </si>
  <si>
    <t>주점 요리6</t>
  </si>
  <si>
    <t>성급업</t>
  </si>
  <si>
    <t>자신의 치명타 확률이 10% 증가합니다.</t>
  </si>
  <si>
    <t>ItemName.Mat.HeroCoinSR</t>
  </si>
  <si>
    <t>EnumName.NationType.Brunn</t>
  </si>
  <si>
    <t>SR Hero Piece</t>
  </si>
  <si>
    <t>SR 영웅 조각</t>
  </si>
  <si>
    <t>ItemName.Mat.HeroCoinSSR</t>
  </si>
  <si>
    <t>EnumName.NationType.Estoris</t>
  </si>
  <si>
    <t>SSR Hero Piece</t>
  </si>
  <si>
    <t>SSR 영웅 조각</t>
  </si>
  <si>
    <t>ItemName.Mat.HeroCoinUR</t>
  </si>
  <si>
    <t>EnumName.NationType.Frosti</t>
  </si>
  <si>
    <t>UR Hero Piece</t>
  </si>
  <si>
    <t>EnumName.NationType.GreenLand</t>
  </si>
  <si>
    <t>EnumName.NationType.Lemonbe</t>
  </si>
  <si>
    <t>EnumName.NationType.Marinos</t>
  </si>
  <si>
    <t>EnumName.NationType.Phedas</t>
  </si>
  <si>
    <t>EnumName.NationType.Saintwest</t>
  </si>
  <si>
    <t>치명타 확률 증가3</t>
  </si>
  <si>
    <t>자신의 치명타 확률이 20% 증가합니다.</t>
  </si>
  <si>
    <t>EnumName.NationType.Shadowbane</t>
  </si>
  <si>
    <t>Shadowbane</t>
  </si>
  <si>
    <t>쉐도우베인</t>
  </si>
  <si>
    <t>EnumName.NationType.Vagabond</t>
  </si>
  <si>
    <t>Vagabond</t>
  </si>
  <si>
    <t>베가본드</t>
  </si>
  <si>
    <t>EnumName.NationType.Wested</t>
  </si>
  <si>
    <t>Wested</t>
  </si>
  <si>
    <t>웨이스트</t>
  </si>
  <si>
    <t>EnumName.LocalizationTableType.Common</t>
  </si>
  <si>
    <t>Common</t>
  </si>
  <si>
    <t>시스템</t>
  </si>
  <si>
    <t>EnumName.LocalizationTableType.CharacterName</t>
  </si>
  <si>
    <t>Character Name</t>
  </si>
  <si>
    <t>캐릭터 이름</t>
  </si>
  <si>
    <t>EnumName.LocalizationTableType.ArtifactName</t>
  </si>
  <si>
    <t>Artifact Name</t>
  </si>
  <si>
    <t>아티팩트 이름</t>
  </si>
  <si>
    <t>EnumName.LocalizationTableType.CollectionName</t>
  </si>
  <si>
    <t>Collection Name</t>
  </si>
  <si>
    <t>도감 이름</t>
  </si>
  <si>
    <t>EnumName.LocalizationTableType.EnumName</t>
  </si>
  <si>
    <t>Enum Name</t>
  </si>
  <si>
    <t>Enum 이름</t>
  </si>
  <si>
    <t>치명타 저항 증가 버프</t>
  </si>
  <si>
    <t>EnumName.LocalizationTableType.ItemName</t>
  </si>
  <si>
    <t>Item Name</t>
  </si>
  <si>
    <t>아이템 이름</t>
  </si>
  <si>
    <t>EnumName.LocalizationTableType.ShortCutName</t>
  </si>
  <si>
    <t>ShortCut Name</t>
  </si>
  <si>
    <t>바로가기 이름</t>
  </si>
  <si>
    <t>EnumName.ConditionTargetType.CharacterTarget</t>
  </si>
  <si>
    <t>Character Target</t>
  </si>
  <si>
    <t>캐릭터 타겟</t>
  </si>
  <si>
    <t>EnumName.ConditionTargetType.DungeonTarget</t>
  </si>
  <si>
    <t>Dungeon Target</t>
  </si>
  <si>
    <t>던전 타겟</t>
  </si>
  <si>
    <t>EnumName.ConditionTargetType.ItemTarget</t>
  </si>
  <si>
    <t>Item Target</t>
  </si>
  <si>
    <t>아이템 타겟</t>
  </si>
  <si>
    <t>EnumName.ConditionType.OWN</t>
  </si>
  <si>
    <t>OWN</t>
  </si>
  <si>
    <t>보유</t>
  </si>
  <si>
    <t>EnumName.ConditionType.LEVEL</t>
  </si>
  <si>
    <t>LEVEL</t>
  </si>
  <si>
    <t>EnumName.ConditionType.STAR_LEVEL</t>
  </si>
  <si>
    <t>STAR LEVEL</t>
  </si>
  <si>
    <t>EnumName.ConditionType.STAGE_CLEAR</t>
  </si>
  <si>
    <t>STAGE CLEAR</t>
  </si>
  <si>
    <t>피해 감소 증가 버프</t>
  </si>
  <si>
    <t>EnumName.ConditionType.DUNGEON_CLEAR</t>
  </si>
  <si>
    <t>DUNGEON CLEAR</t>
  </si>
  <si>
    <t>던전 클리어</t>
  </si>
  <si>
    <t>EnumName.ConditionType.USE</t>
  </si>
  <si>
    <t>USE</t>
  </si>
  <si>
    <t>소모</t>
  </si>
  <si>
    <t>EnumName.CollectionTabType.Level</t>
  </si>
  <si>
    <t>EnumName.CollectionTabType.StarLevel</t>
  </si>
  <si>
    <t>Star Level</t>
  </si>
  <si>
    <t>EnumName.ItemType.Currency</t>
  </si>
  <si>
    <t>Currency</t>
  </si>
  <si>
    <t>재화</t>
  </si>
  <si>
    <t>EnumName.ItemType.Material</t>
  </si>
  <si>
    <t>Material</t>
  </si>
  <si>
    <t>재료</t>
  </si>
  <si>
    <t>EnumName.ItemType.Package</t>
  </si>
  <si>
    <t>Package</t>
  </si>
  <si>
    <t>소모품</t>
  </si>
  <si>
    <t>EnumName.SFXCategoryType.Character</t>
  </si>
  <si>
    <t>Character SFX</t>
  </si>
  <si>
    <t>캐릭터 사운드</t>
  </si>
  <si>
    <t>EnumName.SFXCategoryType.UI</t>
  </si>
  <si>
    <t>UI SFX</t>
  </si>
  <si>
    <t>UI 사운드</t>
  </si>
  <si>
    <t>EnumName.SFXCategoryType.Common</t>
  </si>
  <si>
    <t>Common SFX</t>
  </si>
  <si>
    <t>공용 사운드</t>
  </si>
  <si>
    <t>EnumName.EquipmentType.Weapon</t>
  </si>
  <si>
    <t>Weapon</t>
  </si>
  <si>
    <t>무기</t>
  </si>
  <si>
    <t>EnumName.EquipmentType.Armor</t>
  </si>
  <si>
    <t>집중 증가 버프</t>
  </si>
  <si>
    <t>Armor</t>
  </si>
  <si>
    <t>갑옷</t>
  </si>
  <si>
    <t>EnumName.EquipmentType.Gauntlet</t>
  </si>
  <si>
    <t>Gauntlet</t>
  </si>
  <si>
    <t>장갑</t>
  </si>
  <si>
    <t>EnumName.EquipmentType.Boots</t>
  </si>
  <si>
    <t>Boots</t>
  </si>
  <si>
    <t>신발</t>
  </si>
  <si>
    <t>EnumName.EquipmentType.Helmet</t>
  </si>
  <si>
    <t>Helmet</t>
  </si>
  <si>
    <t>모자</t>
  </si>
  <si>
    <t>EnumName.EquipmentType.Accessory</t>
  </si>
  <si>
    <t>Accessory</t>
  </si>
  <si>
    <t>악세서리</t>
  </si>
  <si>
    <t>EnumName.ShortCutType.Content_Battle</t>
  </si>
  <si>
    <t>배틀 바로가기</t>
  </si>
  <si>
    <t>EnumName.ShortCutType.Content_SD</t>
  </si>
  <si>
    <t>Go to SD</t>
  </si>
  <si>
    <t>SD 콘텐츠 바로가기</t>
  </si>
  <si>
    <t>EnumName.ShortCutType.Popup_DungeonList</t>
  </si>
  <si>
    <t>던전 바로가기</t>
  </si>
  <si>
    <t>EnumName.ShortCutType.Popup_GrowthTab</t>
  </si>
  <si>
    <t>저항 증가 버프</t>
  </si>
  <si>
    <t>EquipName.Weapon</t>
  </si>
  <si>
    <t>스킬 증폭 버프</t>
  </si>
  <si>
    <t>BuffName.Active.</t>
  </si>
  <si>
    <t>EquipName.Armor</t>
  </si>
  <si>
    <t>EquipName.Gauntlet</t>
  </si>
  <si>
    <t>EquipName.Boots</t>
  </si>
  <si>
    <t>EquipName.Helmet</t>
  </si>
  <si>
    <t>공격력 감소 버프</t>
  </si>
  <si>
    <t>투구</t>
  </si>
  <si>
    <t>EquipName.Accessory</t>
  </si>
  <si>
    <t>EquipName.WyvernClaw</t>
  </si>
  <si>
    <t>Wyvern Claw</t>
  </si>
  <si>
    <t>비룡의 발톱</t>
  </si>
  <si>
    <t>EquipName.Deathcalibur</t>
  </si>
  <si>
    <t>명중 감소 버프</t>
  </si>
  <si>
    <t>Deathcalibur</t>
  </si>
  <si>
    <t>데스칼리버</t>
  </si>
  <si>
    <t>EquipName.Flamberge</t>
  </si>
  <si>
    <t>Flamberge</t>
  </si>
  <si>
    <t>플랑베르쥬</t>
  </si>
  <si>
    <t>EquipName.Guillotine</t>
  </si>
  <si>
    <t>Guillotine</t>
  </si>
  <si>
    <t>기요틴</t>
  </si>
  <si>
    <t>중독 버프</t>
  </si>
  <si>
    <t>PackageName.Gold10k</t>
  </si>
  <si>
    <t>Gold Box 10K</t>
  </si>
  <si>
    <t>골드 1만 상자</t>
  </si>
  <si>
    <t>EquipName.OathGreatsword</t>
  </si>
  <si>
    <t>PackageName.Gold20k</t>
  </si>
  <si>
    <t>Oath Greatsword</t>
  </si>
  <si>
    <t>Gold Box 20K</t>
  </si>
  <si>
    <t>서약의 대검</t>
  </si>
  <si>
    <t>골드 2만 상자</t>
  </si>
  <si>
    <t>EquipName.StarlightRobe</t>
  </si>
  <si>
    <t>PackageName.Gold30k</t>
  </si>
  <si>
    <t>Starlight Robe</t>
  </si>
  <si>
    <t>Gold Box 30K</t>
  </si>
  <si>
    <t>스타라이트 로브</t>
  </si>
  <si>
    <t>EquipName.CrystalArmor</t>
  </si>
  <si>
    <t>Crystal Armor</t>
  </si>
  <si>
    <t>골드 3만 상자</t>
  </si>
  <si>
    <t>크리스탈 아머</t>
  </si>
  <si>
    <t>스턴 버프</t>
  </si>
  <si>
    <t>EquipName.ShadowCloak</t>
  </si>
  <si>
    <t>Shadow Cloak</t>
  </si>
  <si>
    <t>그림자 망토</t>
  </si>
  <si>
    <t>EquipName.MysticSealer</t>
  </si>
  <si>
    <t>Mystic Sealer</t>
  </si>
  <si>
    <t>GrowthName.Gold</t>
  </si>
  <si>
    <t>신비 봉인자</t>
  </si>
  <si>
    <t>PackageName.Gold40k</t>
  </si>
  <si>
    <t>EquipName.FlawlessGarment</t>
  </si>
  <si>
    <t>Flawless Garment</t>
  </si>
  <si>
    <t>Gold Box 40K</t>
  </si>
  <si>
    <t>천의무봉</t>
  </si>
  <si>
    <t>골드 4만 상자</t>
  </si>
  <si>
    <t>EquipName.BlackSapphire</t>
  </si>
  <si>
    <t>PackageName.Gold50k</t>
  </si>
  <si>
    <t>Black Sapphire</t>
  </si>
  <si>
    <t>Gold Box 50K</t>
  </si>
  <si>
    <t>블랙 사파이어</t>
  </si>
  <si>
    <t>골드 5만 상자</t>
  </si>
  <si>
    <t>PackageName.Gold60k</t>
  </si>
  <si>
    <t>EquipName.WraithTalon</t>
  </si>
  <si>
    <t>Gold Box 60K</t>
  </si>
  <si>
    <t>Wraith Talon</t>
  </si>
  <si>
    <t>망령의 갈퀴손</t>
  </si>
  <si>
    <t>골드 6만 상자</t>
  </si>
  <si>
    <t>EquipName.HeartExtractor</t>
  </si>
  <si>
    <t>PackageName.Gold70k</t>
  </si>
  <si>
    <t>Heart Extractor</t>
  </si>
  <si>
    <t>Gold Box 70K</t>
  </si>
  <si>
    <t>심장 적출기</t>
  </si>
  <si>
    <t>골드 7만 상자</t>
  </si>
  <si>
    <t>PackageName.Gold80k</t>
  </si>
  <si>
    <t>공격력 증가 버프2</t>
  </si>
  <si>
    <t>Gold Box 80K</t>
  </si>
  <si>
    <t>EquipName.UnyieldingArm</t>
  </si>
  <si>
    <t>골드 8만 상자</t>
  </si>
  <si>
    <t>Unyielding Arm</t>
  </si>
  <si>
    <t>꺾이지 않는 팔</t>
  </si>
  <si>
    <t>PackageName.Gold90k</t>
  </si>
  <si>
    <t>Gold Box 90K</t>
  </si>
  <si>
    <t>EquipName.LightEnvoy</t>
  </si>
  <si>
    <t>골드 9만 상자</t>
  </si>
  <si>
    <t>Light Envoy</t>
  </si>
  <si>
    <t>PackageName.Gold100k</t>
  </si>
  <si>
    <t>Gold Box 100K</t>
  </si>
  <si>
    <t>빛의 대행자</t>
  </si>
  <si>
    <t>골드 10만 상자</t>
  </si>
  <si>
    <t>EquipName.StandardBoots</t>
  </si>
  <si>
    <t>PackageName.Gold1H</t>
  </si>
  <si>
    <t>Standard Boots</t>
  </si>
  <si>
    <t>Gold Box 1H</t>
  </si>
  <si>
    <t>범용 전투화</t>
  </si>
  <si>
    <t>골드 1시간 상자</t>
  </si>
  <si>
    <t>EquipName.SwiftBoots</t>
  </si>
  <si>
    <t>PackageName.Gold2H</t>
  </si>
  <si>
    <t>Gold Box 2H</t>
  </si>
  <si>
    <t>Swift Boots</t>
  </si>
  <si>
    <t>골드 2시간 상자</t>
  </si>
  <si>
    <t>신속의 장화</t>
  </si>
  <si>
    <t>PackageName.Gold3H</t>
  </si>
  <si>
    <t>EquipName.ImperialBoots</t>
  </si>
  <si>
    <t>BuffName.AtkUp.Fire.T5</t>
  </si>
  <si>
    <t>Gold Box 3H</t>
  </si>
  <si>
    <t>Imperial Boots</t>
  </si>
  <si>
    <t>불속성 공격력 증가 버프2</t>
  </si>
  <si>
    <t>골드 3시간 상자</t>
  </si>
  <si>
    <t>제국의 군화</t>
  </si>
  <si>
    <t>단일 대상에게 공격력의 28% 피해를 입힙니다.</t>
  </si>
  <si>
    <t>PackageName.Gold4H</t>
  </si>
  <si>
    <t>EquipName.SpikedBoots</t>
  </si>
  <si>
    <t>Gold Box 4H</t>
  </si>
  <si>
    <t>Spiked Boots</t>
  </si>
  <si>
    <t>골드 4시간 상자</t>
  </si>
  <si>
    <t>스파이크 장화</t>
  </si>
  <si>
    <t>PackageName.Gold5H</t>
  </si>
  <si>
    <t>Gold Box 5H</t>
  </si>
  <si>
    <t>EquipName.CaptainBlackBoots</t>
  </si>
  <si>
    <t>Captain Black Boots</t>
  </si>
  <si>
    <t>골드 5시간 상자</t>
  </si>
  <si>
    <t>블랙 선장의 장화</t>
  </si>
  <si>
    <t>PackageName.Gold10H</t>
  </si>
  <si>
    <t>EquipName.GuardianHood</t>
  </si>
  <si>
    <t>Gold Box 10H</t>
  </si>
  <si>
    <t>골드 10시간 상자</t>
  </si>
  <si>
    <t>Guardian Hood</t>
  </si>
  <si>
    <t>PackageName.Gold12H</t>
  </si>
  <si>
    <t>수호의 두건</t>
  </si>
  <si>
    <t>Gold Box 12H</t>
  </si>
  <si>
    <t>EquipName.SpikeHelm</t>
  </si>
  <si>
    <t>골드 12시간 상자</t>
  </si>
  <si>
    <t>Spike Helm</t>
  </si>
  <si>
    <t>PackageName.Gold15H</t>
  </si>
  <si>
    <t>송곳의 투구</t>
  </si>
  <si>
    <t>Gold Box 15H</t>
  </si>
  <si>
    <t>BuffName.AtkUp.Ice.T5</t>
  </si>
  <si>
    <t>물속성 공격력 증가 버프2</t>
  </si>
  <si>
    <t>EquipName.ScoutHelm</t>
  </si>
  <si>
    <t>Scout Helm</t>
  </si>
  <si>
    <t>정찰병의 투구</t>
  </si>
  <si>
    <t>골드 15시간 상자</t>
  </si>
  <si>
    <t>EquipName.GeneralGenocide</t>
  </si>
  <si>
    <t>PackageName.Gold20H</t>
  </si>
  <si>
    <t>General Genocide</t>
  </si>
  <si>
    <t>Gold Box 20H</t>
  </si>
  <si>
    <t>제너럴 제노사이드</t>
  </si>
  <si>
    <t>골드 20시간 상자</t>
  </si>
  <si>
    <t>EquipName.IndomitableWill</t>
  </si>
  <si>
    <t>PackageName.Gold24H</t>
  </si>
  <si>
    <t>Indomitable Will</t>
  </si>
  <si>
    <t>Gold Box 24H</t>
  </si>
  <si>
    <t>불굴의 투지</t>
  </si>
  <si>
    <t>골드 24시간 상자</t>
  </si>
  <si>
    <t>EquipName.ElvenKingNecklace</t>
  </si>
  <si>
    <t>PackageName.EXP10k</t>
  </si>
  <si>
    <t>EXP Box 10K</t>
  </si>
  <si>
    <t>Elven King Necklace</t>
  </si>
  <si>
    <t>영웅 경험치 1만 상자</t>
  </si>
  <si>
    <t>PackageName.EXP20k</t>
  </si>
  <si>
    <t>요정왕의 목걸이</t>
  </si>
  <si>
    <t>EXP Box 20K</t>
  </si>
  <si>
    <t>BuffStringName.AtkUp.Nature.T5</t>
  </si>
  <si>
    <t>영웅 경험치 2만 상자</t>
  </si>
  <si>
    <t>EquipName.ChieftainGoldNecklace</t>
  </si>
  <si>
    <t>자연속성 공격력 증가 버프2</t>
  </si>
  <si>
    <t>Chieftain Gold Necklace</t>
  </si>
  <si>
    <t>PackageName.EXP30k</t>
  </si>
  <si>
    <t>전사장의 황금 목걸이</t>
  </si>
  <si>
    <t>EXP Box 30K</t>
  </si>
  <si>
    <t>EquipName.FrabelBelt</t>
  </si>
  <si>
    <t>Frabel Belt</t>
  </si>
  <si>
    <t>프라벨의 허리띠</t>
  </si>
  <si>
    <t>EquipName.Masterstroke</t>
  </si>
  <si>
    <t>Masterstroke</t>
  </si>
  <si>
    <t>회심</t>
  </si>
  <si>
    <t>영웅 경험치 3만 상자</t>
  </si>
  <si>
    <t>EquipName.ClockworkTrinket</t>
  </si>
  <si>
    <t>Clockwork Trinket</t>
  </si>
  <si>
    <t>PackageName.EXP40k</t>
  </si>
  <si>
    <t>태엽 장신구</t>
  </si>
  <si>
    <t>EXP Box 40K</t>
  </si>
  <si>
    <t>EquipName.GoldenSlumber</t>
  </si>
  <si>
    <t>영웅 경험치 4만 상자</t>
  </si>
  <si>
    <t>Golden Slumber</t>
  </si>
  <si>
    <t>골든 슬림버</t>
  </si>
  <si>
    <t>PackageName.EXP50k</t>
  </si>
  <si>
    <t>BuffStringName.AtkUp.Iron.T5</t>
  </si>
  <si>
    <t>EXP Box 50K</t>
  </si>
  <si>
    <t>EquipName.PhoenixEgg</t>
  </si>
  <si>
    <t>기계속성 공격력 증가 버프2</t>
  </si>
  <si>
    <t>영웅 경험치 5만 상자</t>
  </si>
  <si>
    <t>Phoenix Egg</t>
  </si>
  <si>
    <t>불사조의 알</t>
  </si>
  <si>
    <t>PackageName.EXP60k</t>
  </si>
  <si>
    <t>AgencyName.Gold.F</t>
  </si>
  <si>
    <t>EXP Box 60K</t>
  </si>
  <si>
    <t>EquipName.ChaoticDestiny</t>
  </si>
  <si>
    <t>Treasure Hunt (1)</t>
  </si>
  <si>
    <t>영웅 경험치 6만 상자</t>
  </si>
  <si>
    <t>Chaotic Destiny</t>
  </si>
  <si>
    <t>보물 탐험 (1)</t>
  </si>
  <si>
    <t>카오틱 데스티니</t>
  </si>
  <si>
    <t>AgencyName.Gold.E</t>
  </si>
  <si>
    <t>PackageName.EXP70k</t>
  </si>
  <si>
    <t>Treasure Hunt (2)</t>
  </si>
  <si>
    <t>EquipName.WastelandProphet</t>
  </si>
  <si>
    <t>EXP Box 70K</t>
  </si>
  <si>
    <t>보물 탐험 (2)</t>
  </si>
  <si>
    <t>Wasteland Prophet</t>
  </si>
  <si>
    <t>영웅 경험치 7만 상자</t>
  </si>
  <si>
    <t>AgencyName.Gold.D</t>
  </si>
  <si>
    <t>황야의 예언자</t>
  </si>
  <si>
    <t>Lake Treasure (1)</t>
  </si>
  <si>
    <t>호수의 보물 (1)</t>
  </si>
  <si>
    <t>PackageName.EXP80k</t>
  </si>
  <si>
    <t>EquipName.DemonCrest</t>
  </si>
  <si>
    <t>AgencyName.Gold.C</t>
  </si>
  <si>
    <t>EXP Box 80K</t>
  </si>
  <si>
    <t>Demon Crest</t>
  </si>
  <si>
    <t>Lake Treasure (2)</t>
  </si>
  <si>
    <t>악마의 문장</t>
  </si>
  <si>
    <t>호수의 보물 (2)</t>
  </si>
  <si>
    <t>영웅 경험치 8만 상자</t>
  </si>
  <si>
    <t>AgencyName.Gold.B</t>
  </si>
  <si>
    <t>EquipName.InvincibleEast</t>
  </si>
  <si>
    <t>Deep Forest Treasure (1)</t>
  </si>
  <si>
    <t>PackageName.EXP90k</t>
  </si>
  <si>
    <t>깊은 숲의 보물 (1)</t>
  </si>
  <si>
    <t>Invincible East</t>
  </si>
  <si>
    <t>EXP Box 90K</t>
  </si>
  <si>
    <t>AgencyName.Gold.A</t>
  </si>
  <si>
    <t>동방불패</t>
  </si>
  <si>
    <t>Deep Forest Treasure (2)</t>
  </si>
  <si>
    <t>영웅 경험치 9만 상자</t>
  </si>
  <si>
    <t>깊은 숲의 보물 (2)</t>
  </si>
  <si>
    <t>BuffStringName.AtkUp.Holy.T5</t>
  </si>
  <si>
    <t>EquipName.ChosenOne</t>
  </si>
  <si>
    <t>AgencyName.Gold.S</t>
  </si>
  <si>
    <t>PackageName.EXP100k</t>
  </si>
  <si>
    <t>빛속성 공격력 증가 버프2</t>
  </si>
  <si>
    <t>Sealed Dragon Treasure</t>
  </si>
  <si>
    <t>Chosen One</t>
  </si>
  <si>
    <t>EXP Box 100K</t>
  </si>
  <si>
    <t>봉인된 용제의 보물</t>
  </si>
  <si>
    <t>선택받은 자</t>
  </si>
  <si>
    <t>영웅 경험치 10만 상자</t>
  </si>
  <si>
    <t>AgencyName.SDCost.F</t>
  </si>
  <si>
    <t>Plant Specimens (1)</t>
  </si>
  <si>
    <t>식물 표본 채취 (1)</t>
  </si>
  <si>
    <t>PackageName.EXP1H</t>
  </si>
  <si>
    <t>EquipName.ThousandDesperado</t>
  </si>
  <si>
    <t>AgencyName.SDCost.E</t>
  </si>
  <si>
    <t>EXP Box 1H</t>
  </si>
  <si>
    <t>Plant Specimens (2)</t>
  </si>
  <si>
    <t>Thousand Desperado</t>
  </si>
  <si>
    <t>식물 표본 채취 (2)</t>
  </si>
  <si>
    <t>영웅 경험치 1시간 상자</t>
  </si>
  <si>
    <t>싸우전드 데스페라도</t>
  </si>
  <si>
    <t>AgencyName.SDCost.D</t>
  </si>
  <si>
    <t>Crystal Mushrooms (1)</t>
  </si>
  <si>
    <t>PackageName.EXP2H</t>
  </si>
  <si>
    <t>EquipName.SpiritKingWard</t>
  </si>
  <si>
    <t>수정숲 버섯 채취 (1)</t>
  </si>
  <si>
    <t>EXP Box 2H</t>
  </si>
  <si>
    <t>Spirit King Ward</t>
  </si>
  <si>
    <t>AgencyName.SDCost.C</t>
  </si>
  <si>
    <t>Crystal Mushrooms (2)</t>
  </si>
  <si>
    <t>영웅 경험치 2시간 상자</t>
  </si>
  <si>
    <t>정령왕의 수호</t>
  </si>
  <si>
    <t>수정숲 버섯 채취 (2)</t>
  </si>
  <si>
    <t>AgencyName.SDCost.B</t>
  </si>
  <si>
    <t>PackageName.EXP3H</t>
  </si>
  <si>
    <t>Flora Report (1)</t>
  </si>
  <si>
    <t>EquipName.TwilightDress</t>
  </si>
  <si>
    <t>EXP Box 3H</t>
  </si>
  <si>
    <t>식생 보고서 작성 (1)</t>
  </si>
  <si>
    <t>Twilight Dress</t>
  </si>
  <si>
    <t>영웅 경험치 3시간 상자</t>
  </si>
  <si>
    <t>AgencyName.SDCost.A</t>
  </si>
  <si>
    <t>황혼의 드레스</t>
  </si>
  <si>
    <t>Flora Report (2)</t>
  </si>
  <si>
    <t>PackageName.EXP4H</t>
  </si>
  <si>
    <t>식생 보고서 작성 (2)</t>
  </si>
  <si>
    <t>EquipName.TornLeatherGloves</t>
  </si>
  <si>
    <t>EXP Box 4H</t>
  </si>
  <si>
    <t>AgencyName.SDCost.S</t>
  </si>
  <si>
    <t>Torn Leather Gloves</t>
  </si>
  <si>
    <t>영웅 경험치 4시간 상자</t>
  </si>
  <si>
    <t>BuffStringName.AtkUp.Dark.T5</t>
  </si>
  <si>
    <t>Rare Beast Watch</t>
  </si>
  <si>
    <t>찢어진 가죽 장갑</t>
  </si>
  <si>
    <t>희귀 동물 관찰</t>
  </si>
  <si>
    <t>암흑속성 공격력 증가 버프2</t>
  </si>
  <si>
    <t>PackageName.EXP5H</t>
  </si>
  <si>
    <t>EquipName.BeastPaw</t>
  </si>
  <si>
    <t>EXP Box 5H</t>
  </si>
  <si>
    <t>AgencyName.Trainig.F</t>
  </si>
  <si>
    <t>Beast Paw</t>
  </si>
  <si>
    <t>영웅 경험치 5시간 상자</t>
  </si>
  <si>
    <t>Fugitive Hunt (1)</t>
  </si>
  <si>
    <t>야수의 앞발</t>
  </si>
  <si>
    <t>탈옥범 추적 (1)</t>
  </si>
  <si>
    <t>PackageName.EXP10H</t>
  </si>
  <si>
    <t>AgencyName.Trainig.E</t>
  </si>
  <si>
    <t>EquipName.GuardianTouch</t>
  </si>
  <si>
    <t>EXP Box 10H</t>
  </si>
  <si>
    <t>Fugitive Hunt (2)</t>
  </si>
  <si>
    <t>Guardian Touch</t>
  </si>
  <si>
    <t>탈옥범 추적 (2)</t>
  </si>
  <si>
    <t>영웅 경험치 10시간 상자</t>
  </si>
  <si>
    <t>수호의 손길</t>
  </si>
  <si>
    <t>AgencyName.Trainig.D</t>
  </si>
  <si>
    <t>PackageName.EXP12H</t>
  </si>
  <si>
    <t>Fanatic Arrest (1)</t>
  </si>
  <si>
    <t>EXP Box 12H</t>
  </si>
  <si>
    <t>광신도 검거 (1)</t>
  </si>
  <si>
    <t>EquipName.BlackandWhite</t>
  </si>
  <si>
    <t>영웅 경험치 12시간 상자</t>
  </si>
  <si>
    <t>AgencyName.Trainig.C</t>
  </si>
  <si>
    <t>Fanatic Arrest (2)</t>
  </si>
  <si>
    <t>Black and White</t>
  </si>
  <si>
    <t>PackageName.EXP15H</t>
  </si>
  <si>
    <t>광신도 검거 (2)</t>
  </si>
  <si>
    <t>블랙 앤 화이트</t>
  </si>
  <si>
    <t>EXP Box 15H</t>
  </si>
  <si>
    <t>AgencyName.Trainig.B</t>
  </si>
  <si>
    <t>영웅 경험치 15시간 상자</t>
  </si>
  <si>
    <t>Watcher's Case (1)</t>
  </si>
  <si>
    <t>EquipName.WhiteSnake</t>
  </si>
  <si>
    <t>용감시자의 사연 (1)</t>
  </si>
  <si>
    <t>White Snake</t>
  </si>
  <si>
    <t>PackageName.EXP20H</t>
  </si>
  <si>
    <t>AgencyName.Trainig.A</t>
  </si>
  <si>
    <t>화이트 스네이크</t>
  </si>
  <si>
    <t>BuffStringName.AtkUp.Fire.T4</t>
  </si>
  <si>
    <t>EXP Box 20H</t>
  </si>
  <si>
    <t>Watcher's Case (2)</t>
  </si>
  <si>
    <t>영웅 경험치 20시간 상자</t>
  </si>
  <si>
    <t>불속성 공격력 증가 버프3</t>
  </si>
  <si>
    <t>용감시자의 사연 (2)</t>
  </si>
  <si>
    <t>EquipName.GothicAnkleBoots</t>
  </si>
  <si>
    <t>단일 대상에게 공격력의 33% 피해를 입힙니다.</t>
  </si>
  <si>
    <t>PackageName.EXP24H</t>
  </si>
  <si>
    <t>Gothic Ankle Boots</t>
  </si>
  <si>
    <t>AgencyName.Trainig.S</t>
  </si>
  <si>
    <t>EXP Box 24H</t>
  </si>
  <si>
    <t>Rebel Purge</t>
  </si>
  <si>
    <t>고딕 앵클 부츠</t>
  </si>
  <si>
    <t>반역자의 잔당 퇴치</t>
  </si>
  <si>
    <t>영웅 경험치 24시간 상자</t>
  </si>
  <si>
    <t>EquipName.ShadowBoots</t>
  </si>
  <si>
    <t>AgencyName.Equip.F</t>
  </si>
  <si>
    <t>PackageName.Dia10k</t>
  </si>
  <si>
    <t>Mercenary Dispatch (1)</t>
  </si>
  <si>
    <t>Shadow Boots</t>
  </si>
  <si>
    <t>용병 파견 (1)</t>
  </si>
  <si>
    <t>Dia Box 10K</t>
  </si>
  <si>
    <t>그림자 장화</t>
  </si>
  <si>
    <t>무료 다이아 1만 상자</t>
  </si>
  <si>
    <t>EquipName.DawnMoonBoots</t>
  </si>
  <si>
    <t>AgencyName.Equip.E</t>
  </si>
  <si>
    <t>Dawn Moon Boots</t>
  </si>
  <si>
    <t>Mercenary Dispatch (2)</t>
  </si>
  <si>
    <t>새벽달 장화</t>
  </si>
  <si>
    <t>PackageName.Dia20k</t>
  </si>
  <si>
    <t>용병 파견 (2)</t>
  </si>
  <si>
    <t>Dia Box 20K</t>
  </si>
  <si>
    <t>EquiptName.FoxandAway</t>
  </si>
  <si>
    <t>AgencyName.Equip.D</t>
  </si>
  <si>
    <t>무료 다이아 2만 상자</t>
  </si>
  <si>
    <t>Fox and Away</t>
  </si>
  <si>
    <t>Rescue Mission (1)</t>
  </si>
  <si>
    <t>폭스 앤 어웨이</t>
  </si>
  <si>
    <t>부상자 구출 (1)</t>
  </si>
  <si>
    <t>PackageName.Dia30k</t>
  </si>
  <si>
    <t>AgencyName.Equip.C</t>
  </si>
  <si>
    <t>Dia Box 30K</t>
  </si>
  <si>
    <t>EquipName.ScarlettO'Hara</t>
  </si>
  <si>
    <t>무료 다이아 3만 상자</t>
  </si>
  <si>
    <t>Rescue Mission (2)</t>
  </si>
  <si>
    <t>Scarlett O'Hara</t>
  </si>
  <si>
    <t>BuffStringName.AtkUp.Ice.T4</t>
  </si>
  <si>
    <t>부상자 구출 (2)</t>
  </si>
  <si>
    <t>스칼렛 오하라</t>
  </si>
  <si>
    <t>PackageName.Dia40k</t>
  </si>
  <si>
    <t>물속성 공격력 증가 버프3</t>
  </si>
  <si>
    <t>AgencyName.Equip.B</t>
  </si>
  <si>
    <t>Dia Box 40K</t>
  </si>
  <si>
    <t>Initiation (1)</t>
  </si>
  <si>
    <t>EquiptName.SovereignHat</t>
  </si>
  <si>
    <t>입단 시험 (1)</t>
  </si>
  <si>
    <t>무료 다이아 4만 상자</t>
  </si>
  <si>
    <t>Sovereign Hat</t>
  </si>
  <si>
    <t>AgencyName.Equip.A</t>
  </si>
  <si>
    <t>지배자의 모자</t>
  </si>
  <si>
    <t>Initiation (2)</t>
  </si>
  <si>
    <t>PackageName.Dia50k</t>
  </si>
  <si>
    <t>입단 시험 (2)</t>
  </si>
  <si>
    <t>Dia Box 50K</t>
  </si>
  <si>
    <t>EquipName.LidelOath</t>
  </si>
  <si>
    <t>AgencyName.Equip.S</t>
  </si>
  <si>
    <t>무료 다이아 5만 상자</t>
  </si>
  <si>
    <t>Lidel Oath</t>
  </si>
  <si>
    <t>Warlord Training</t>
  </si>
  <si>
    <t>리델의 맹세</t>
  </si>
  <si>
    <t>군사강국의 훈련</t>
  </si>
  <si>
    <t>PackageName.Dia60k</t>
  </si>
  <si>
    <t>Dia Box 60K</t>
  </si>
  <si>
    <t>AgencyName.HeroPiece.F</t>
  </si>
  <si>
    <t>Surprise Check (1)</t>
  </si>
  <si>
    <t>무료 다이아 6만 상자</t>
  </si>
  <si>
    <t>EquipName.BraveMusketeer</t>
  </si>
  <si>
    <t>불시 점검 (1)</t>
  </si>
  <si>
    <t>Brave Musketeer</t>
  </si>
  <si>
    <t>PackageName.Dia70k</t>
  </si>
  <si>
    <t>AgencyName.HeroPiece.E</t>
  </si>
  <si>
    <t>브레이브 머스킷티어</t>
  </si>
  <si>
    <t>Dia Box 70K</t>
  </si>
  <si>
    <t>Surprise Check (2)</t>
  </si>
  <si>
    <t>불시 점검 (2)</t>
  </si>
  <si>
    <t>무료 다이아 7만 상자</t>
  </si>
  <si>
    <t>EquipName.CursedFace</t>
  </si>
  <si>
    <t>AgencyName.HeroPiece.D</t>
  </si>
  <si>
    <t>Ehan Ruins</t>
  </si>
  <si>
    <t>Cursed Face</t>
  </si>
  <si>
    <t>PackageName.Dia80k</t>
  </si>
  <si>
    <t>에한 유적</t>
  </si>
  <si>
    <t>BuffStringName.AtkUp.Nature.T4</t>
  </si>
  <si>
    <t>Dia Box 80K</t>
  </si>
  <si>
    <t>AgencyName.HeroPiece.C</t>
  </si>
  <si>
    <t>저주받은 얼굴</t>
  </si>
  <si>
    <t>자연속성 공격력 증가 버프3</t>
  </si>
  <si>
    <t>무료 다이아 8만 상자</t>
  </si>
  <si>
    <t>Atman Ruins</t>
  </si>
  <si>
    <t>아트만 유적</t>
  </si>
  <si>
    <t>EquipName.NozmicPledge</t>
  </si>
  <si>
    <t>PackageName.Dia90k</t>
  </si>
  <si>
    <t>Nozmic Pledge</t>
  </si>
  <si>
    <t>AgencyName.HeroPiece.B</t>
  </si>
  <si>
    <t>Dia Box 90K</t>
  </si>
  <si>
    <t>Lindwyn Ruins</t>
  </si>
  <si>
    <t>노즈미크의 서약</t>
  </si>
  <si>
    <t>무료 다이아 9만 상자</t>
  </si>
  <si>
    <t>린드윈 유적</t>
  </si>
  <si>
    <t>EquipName.CommonGoggles</t>
  </si>
  <si>
    <t>AgencyName.HeroPiece.A</t>
  </si>
  <si>
    <t>PackageName.Dia100k</t>
  </si>
  <si>
    <t>Kerubiel Ruins</t>
  </si>
  <si>
    <t>Dia Box 100K</t>
  </si>
  <si>
    <t>케루비엘 유적</t>
  </si>
  <si>
    <t>Common Goggles</t>
  </si>
  <si>
    <t>무료 다이아 10만 상자</t>
  </si>
  <si>
    <t>AgencyName.HeroPiece.S</t>
  </si>
  <si>
    <t>보급형 고글</t>
  </si>
  <si>
    <t>PackageName.Dia1M</t>
  </si>
  <si>
    <t>Zerelda Ruins</t>
  </si>
  <si>
    <t>EquipName.BloodNecklace</t>
  </si>
  <si>
    <t>Dia Box 1M</t>
  </si>
  <si>
    <t>제르엘다 유적</t>
  </si>
  <si>
    <t>Blood Necklace</t>
  </si>
  <si>
    <t>무료 다이아 100만 상자</t>
  </si>
  <si>
    <t>피의 목걸이</t>
  </si>
  <si>
    <t>PackageName.Dia10M</t>
  </si>
  <si>
    <t>Dia Box 10M</t>
  </si>
  <si>
    <t>EquipName.TimeVault</t>
  </si>
  <si>
    <t>무료 다이아 1000만 상자</t>
  </si>
  <si>
    <t>Time Vault</t>
  </si>
  <si>
    <t>BuffStringName.AtkUp.Iron.T4</t>
  </si>
  <si>
    <t>시간 보관함</t>
  </si>
  <si>
    <t>PackageName.Chapter_1</t>
  </si>
  <si>
    <t>기계속성 공격력 증가 버프3</t>
  </si>
  <si>
    <t>1 Chapter Box</t>
  </si>
  <si>
    <t>EquipName.RuinShackle</t>
  </si>
  <si>
    <t>챕터1 스테이지 상자</t>
  </si>
  <si>
    <t>Ruin Shackle</t>
  </si>
  <si>
    <t>파멸의 굴레</t>
  </si>
  <si>
    <t>PackageName.Chapter_2</t>
  </si>
  <si>
    <t>EquipName.HolyWings</t>
  </si>
  <si>
    <t>2 Chapter Box</t>
  </si>
  <si>
    <t>Holy Wings</t>
  </si>
  <si>
    <t>챕터2 스테이지 상자</t>
  </si>
  <si>
    <t>성스러운 날개</t>
  </si>
  <si>
    <t>EquipName.RustyHammer</t>
  </si>
  <si>
    <t>PackageName.Chapter_3</t>
  </si>
  <si>
    <t>Rusty Hammer</t>
  </si>
  <si>
    <t>3 Chapter Box</t>
  </si>
  <si>
    <t>녹슨 망치</t>
  </si>
  <si>
    <t>챕터3 스테이지 상자</t>
  </si>
  <si>
    <t>EquipName.TwilightCrusher</t>
  </si>
  <si>
    <t>PackageName.Chapter_4</t>
  </si>
  <si>
    <t>Twilight Crusher</t>
  </si>
  <si>
    <t>4 Chapter Box</t>
  </si>
  <si>
    <t>황혼 분쇄자</t>
  </si>
  <si>
    <t>챕터4 스테이지 상자</t>
  </si>
  <si>
    <t>EquipName.AdunabelStarsword</t>
  </si>
  <si>
    <t>PackageName.Chapter_5</t>
  </si>
  <si>
    <t>Adunabel Starsword</t>
  </si>
  <si>
    <t>5 Chapter Box</t>
  </si>
  <si>
    <t>아두나벨의 별장검</t>
  </si>
  <si>
    <t>챕터5 스테이지 상자</t>
  </si>
  <si>
    <t>EquipName.MetallicBreaker</t>
  </si>
  <si>
    <t>PackageName.Chapter_6</t>
  </si>
  <si>
    <t>Metallic Breaker</t>
  </si>
  <si>
    <t>6 Chapter Box</t>
  </si>
  <si>
    <t>메탈릭 브레이커</t>
  </si>
  <si>
    <t>챕터6 스테이지 상자</t>
  </si>
  <si>
    <t>BuffStringName.AtkUp.Holy.T4</t>
  </si>
  <si>
    <t>EquipName.AdventurerGreatsword</t>
  </si>
  <si>
    <t>빛속성 공격력 증가 버프3</t>
  </si>
  <si>
    <t>Adventurer Greatsword</t>
  </si>
  <si>
    <t>PackageName.Chapter_7</t>
  </si>
  <si>
    <t>모험가용 대검</t>
  </si>
  <si>
    <t>7 Chapter Box</t>
  </si>
  <si>
    <t>챕터7 스테이지 상자</t>
  </si>
  <si>
    <t>EquipName.FullPlateMail</t>
  </si>
  <si>
    <t>Full Plate Mail</t>
  </si>
  <si>
    <t>PackageName.Chapter_8</t>
  </si>
  <si>
    <t>풀 플레이트 메일</t>
  </si>
  <si>
    <t>8 Chapter Box</t>
  </si>
  <si>
    <t>EquipName.BerserkerArmor</t>
  </si>
  <si>
    <t>챕터8 스테이지 상자</t>
  </si>
  <si>
    <t>Berserker Armor</t>
  </si>
  <si>
    <t>PackageName.Chapter_9</t>
  </si>
  <si>
    <t>광전사의 갑옷</t>
  </si>
  <si>
    <t>9 Chapter Box</t>
  </si>
  <si>
    <t>챕터9 스테이지 상자</t>
  </si>
  <si>
    <t>PackageName.Chapter_10</t>
  </si>
  <si>
    <t>10 Chapter Box</t>
  </si>
  <si>
    <t>EquipName.AssassinMasterSuit</t>
  </si>
  <si>
    <t>챕터10 스테이지 상자</t>
  </si>
  <si>
    <t>Assassin Master Suit</t>
  </si>
  <si>
    <t>어새신 마스터 수트</t>
  </si>
  <si>
    <t>PackageName.StageClear100</t>
  </si>
  <si>
    <t>Stage 100 Clear Box</t>
  </si>
  <si>
    <t>EquipName.VesputCarapace</t>
  </si>
  <si>
    <t>BuffStringName.AtkUp.Dark.T4</t>
  </si>
  <si>
    <t>스테이지100 돌파 상자</t>
  </si>
  <si>
    <t>Vesput Carapace</t>
  </si>
  <si>
    <t>암흑속성 공격력 증가 버프3</t>
  </si>
  <si>
    <t>베스푸트의 갑각</t>
  </si>
  <si>
    <t>PackageName.StageClear300</t>
  </si>
  <si>
    <t>Stage 300 Clear Box</t>
  </si>
  <si>
    <t>EquipName.DawnGuardian</t>
  </si>
  <si>
    <t>스테이지300 돌파 상자</t>
  </si>
  <si>
    <t>Dawn Guardian</t>
  </si>
  <si>
    <t>새벽의 수호자</t>
  </si>
  <si>
    <t>EquipName.SteelGauntlets</t>
  </si>
  <si>
    <t>Steel Gauntlets</t>
  </si>
  <si>
    <t>강철 건틀렛</t>
  </si>
  <si>
    <t>EquipName.RockFistGloves</t>
  </si>
  <si>
    <t>PackageName.StageClear500</t>
  </si>
  <si>
    <t>Rock Fist Gloves</t>
  </si>
  <si>
    <t>Stage 500 Clear Box</t>
  </si>
  <si>
    <t>바위 주먹 장갑</t>
  </si>
  <si>
    <t>스테이지500 돌파 상자</t>
  </si>
  <si>
    <t>EquipName.SaintGuardian</t>
  </si>
  <si>
    <t>PackageName.StageClear800</t>
  </si>
  <si>
    <t>Saint Guardian</t>
  </si>
  <si>
    <t>Stage 800 Clear Box</t>
  </si>
  <si>
    <t>세인트 가디언</t>
  </si>
  <si>
    <t>스테이지800 돌파 상자</t>
  </si>
  <si>
    <t>EquipName.CrownJewel</t>
  </si>
  <si>
    <t>PackageName.StageClear1000</t>
  </si>
  <si>
    <t>BuffStringName.AtkUp.Fire.T3</t>
  </si>
  <si>
    <t>Crown Jewel</t>
  </si>
  <si>
    <t>Stage 1000 Clear Box</t>
  </si>
  <si>
    <t>불속성 공격력 증가 버프4</t>
  </si>
  <si>
    <t>스테이지1000 돌파 상자</t>
  </si>
  <si>
    <t>단일 대상에게 공격력의 38% 피해를 입힙니다.</t>
  </si>
  <si>
    <t>크라운 쥬얼</t>
  </si>
  <si>
    <t>PackageName.Relic1</t>
  </si>
  <si>
    <t>Relic Box (1)</t>
  </si>
  <si>
    <t>EquipName.KillRoyal</t>
  </si>
  <si>
    <t>유물 상자1</t>
  </si>
  <si>
    <t>Kill Royal</t>
  </si>
  <si>
    <t>킬 로열</t>
  </si>
  <si>
    <t>PackageName.Relic2</t>
  </si>
  <si>
    <t>EquipName.SageVestige</t>
  </si>
  <si>
    <t>Relic Box (2)</t>
  </si>
  <si>
    <t>Sage Vestige</t>
  </si>
  <si>
    <t>유물 상자2</t>
  </si>
  <si>
    <t>현인의 흔적</t>
  </si>
  <si>
    <t>PackageName.Ooparts1</t>
  </si>
  <si>
    <t>EquipName.MonarchSpur</t>
  </si>
  <si>
    <t>Ooparts Box (1)</t>
  </si>
  <si>
    <t>Monarch Spur</t>
  </si>
  <si>
    <t>오파츠 상자1</t>
  </si>
  <si>
    <t>군왕의 박차</t>
  </si>
  <si>
    <t>PackageName.Ooparts2</t>
  </si>
  <si>
    <t>EquipName.CrackCrosser</t>
  </si>
  <si>
    <t>Ooparts Box (2)</t>
  </si>
  <si>
    <t>Crack Crosser</t>
  </si>
  <si>
    <t>오파츠 상자2</t>
  </si>
  <si>
    <t>크랙크로서</t>
  </si>
  <si>
    <t>PackageName.Trait1</t>
  </si>
  <si>
    <t>Trait Box (1)</t>
  </si>
  <si>
    <t>EquipName.IvoryPalette</t>
  </si>
  <si>
    <t>BuffStringName.AtkUp.Ice.T3</t>
  </si>
  <si>
    <t>특성 코인 상자1</t>
  </si>
  <si>
    <t>Ivory Palette</t>
  </si>
  <si>
    <t>물속성 공격력 증가 버프4</t>
  </si>
  <si>
    <t>아이보리 팔레트</t>
  </si>
  <si>
    <t>PackageName.Trait2</t>
  </si>
  <si>
    <t>EquipName.StarClimber</t>
  </si>
  <si>
    <t>Trait Box (2)</t>
  </si>
  <si>
    <t>특성 코인 상자2</t>
  </si>
  <si>
    <t>DungeonName.Gold</t>
  </si>
  <si>
    <t>Star Climber</t>
  </si>
  <si>
    <t>Golden Temple</t>
  </si>
  <si>
    <t>별의 등반자</t>
  </si>
  <si>
    <t>PackageName.PickupHero1</t>
  </si>
  <si>
    <t>황금 사원</t>
  </si>
  <si>
    <t>EquipName.ChampionVisor</t>
  </si>
  <si>
    <t>Pickup Hero Ticket Box (1)</t>
  </si>
  <si>
    <t>DungeonName.Exp</t>
  </si>
  <si>
    <t>Champion Visor</t>
  </si>
  <si>
    <t>Sanctum of Experience</t>
  </si>
  <si>
    <t>영웅 선택 상자1</t>
  </si>
  <si>
    <t>용사의 안면 보호구</t>
  </si>
  <si>
    <t>경험의 성소</t>
  </si>
  <si>
    <t>EquipName.SilverGauntlets</t>
  </si>
  <si>
    <t>DungeonName.Trait</t>
  </si>
  <si>
    <t>PackageName.PickupHero2</t>
  </si>
  <si>
    <t>Silver Gauntlets</t>
  </si>
  <si>
    <t>Altar of Awakening</t>
  </si>
  <si>
    <t>Pickup Hero Ticket Box (2)</t>
  </si>
  <si>
    <t>각성의 제단</t>
  </si>
  <si>
    <t>실버 건틀렛</t>
  </si>
  <si>
    <t>영웅 선택 상자2</t>
  </si>
  <si>
    <t>DungeonName.Relic</t>
  </si>
  <si>
    <t>EquipName.SageMask</t>
  </si>
  <si>
    <t>Ancient Ruins</t>
  </si>
  <si>
    <t>Sage Mask</t>
  </si>
  <si>
    <t>PackageName.Hero1</t>
  </si>
  <si>
    <t>고대 유적지</t>
  </si>
  <si>
    <t>현자의 가면</t>
  </si>
  <si>
    <t>Random Hero Ticket Box (1)</t>
  </si>
  <si>
    <t>DungeonName.Ooparts</t>
  </si>
  <si>
    <t>영웅 랜덤 상자1</t>
  </si>
  <si>
    <t>Rift of Time</t>
  </si>
  <si>
    <t>BuffStringName.AtkUp.Nature.T3</t>
  </si>
  <si>
    <t>EquipName.DragonKnightHelm</t>
  </si>
  <si>
    <t>시간의 균열</t>
  </si>
  <si>
    <t>PackageName.Hero2</t>
  </si>
  <si>
    <t>Dragon Knight Helm</t>
  </si>
  <si>
    <t>자연속성 공격력 증가 버프4</t>
  </si>
  <si>
    <t>고대 용기사의 헬름</t>
  </si>
  <si>
    <t>Random Hero Ticket Box (2)</t>
  </si>
  <si>
    <t>영웅 랜덤 상자2</t>
  </si>
  <si>
    <t>EquipName.LuzetSun</t>
  </si>
  <si>
    <t>Luzet Sun</t>
  </si>
  <si>
    <t>PackageName.PickupEqLevel</t>
  </si>
  <si>
    <t>루제트의 태양</t>
  </si>
  <si>
    <t>Pickup Equipment Level Up Box</t>
  </si>
  <si>
    <t>EquipName.BardRing</t>
  </si>
  <si>
    <t>장비 레벨업 선택 상자</t>
  </si>
  <si>
    <t>Bard Ring</t>
  </si>
  <si>
    <t>음유시인의 반지</t>
  </si>
  <si>
    <t>PackageName.PickupEqClass</t>
  </si>
  <si>
    <t>EquipName.DemonSigil</t>
  </si>
  <si>
    <t>Pickup Equipment Class Up Box</t>
  </si>
  <si>
    <t>Demon Sigil</t>
  </si>
  <si>
    <t>장비 성급업 선택 상자</t>
  </si>
  <si>
    <t>마족의 각인</t>
  </si>
  <si>
    <t>PackageName.PickupEqGrade</t>
  </si>
  <si>
    <t>EquipName.HolyViolet</t>
  </si>
  <si>
    <t>Holy Violet</t>
  </si>
  <si>
    <t>Pickup Equipment Grade Up Box</t>
  </si>
  <si>
    <t>홀리 바이올렛</t>
  </si>
  <si>
    <t>장비 등급업 선택 상자</t>
  </si>
  <si>
    <t>EquipName.TenguMask</t>
  </si>
  <si>
    <t>PackageName.EqLevel</t>
  </si>
  <si>
    <t>Tengu Mask</t>
  </si>
  <si>
    <t>Random Equipment Level Up Box</t>
  </si>
  <si>
    <t>텐구 가면</t>
  </si>
  <si>
    <t>BuffStringName.AtkUp.Iron.T3</t>
  </si>
  <si>
    <t>장비 레벨업 랜덤 상자</t>
  </si>
  <si>
    <t>EquipName.DeepSeaJewel</t>
  </si>
  <si>
    <t>기계속성 공격력 증가 버프4</t>
  </si>
  <si>
    <t>Deep Sea Jewel</t>
  </si>
  <si>
    <t>PackageName.EqClass</t>
  </si>
  <si>
    <t>심해의 보석</t>
  </si>
  <si>
    <t>Random Equipment Class Up Box</t>
  </si>
  <si>
    <t>장비 성급업 랜덤 상자</t>
  </si>
  <si>
    <t>EquipName.DragonSlayerSword</t>
  </si>
  <si>
    <t>Dragon Slayer Sword</t>
  </si>
  <si>
    <t>PackageName.EqGrade</t>
  </si>
  <si>
    <t>참룡도</t>
  </si>
  <si>
    <t>Random Equipment Grade Up Box</t>
  </si>
  <si>
    <t>장비 등급업 랜덤 상자</t>
  </si>
  <si>
    <t>EquipName.ExplosivePierrot</t>
  </si>
  <si>
    <t>PackageName.DunTicket1</t>
  </si>
  <si>
    <t>Explosive Pierrot</t>
  </si>
  <si>
    <t>Dungeon Tickets (1)</t>
  </si>
  <si>
    <t>폭발 삐에로</t>
  </si>
  <si>
    <t>던전 입장권 상자1</t>
  </si>
  <si>
    <t>EquipName.VampiricNoble</t>
  </si>
  <si>
    <t>PackageName.DunTicket2</t>
  </si>
  <si>
    <t>Dungeon Tickets (2)</t>
  </si>
  <si>
    <t>Vampiric Noble</t>
  </si>
  <si>
    <t>던전 입장권 상자2</t>
  </si>
  <si>
    <t>뱀파이어릭 노블</t>
  </si>
  <si>
    <t>PackageName.GuildeTicket1</t>
  </si>
  <si>
    <t>EquipName.BlackChapter</t>
  </si>
  <si>
    <t>BuffStringName.AtkUp.Holy.T3</t>
  </si>
  <si>
    <t>Guilde Ticket Box (1)</t>
  </si>
  <si>
    <t>Black Chapter</t>
  </si>
  <si>
    <t>빛속성 공격력 증가 버프4</t>
  </si>
  <si>
    <t>길드 티켓 상자1</t>
  </si>
  <si>
    <t>흑의 단장</t>
  </si>
  <si>
    <t>PackageName.GuildeTicket2</t>
  </si>
  <si>
    <t>EquipName.WorldCore</t>
  </si>
  <si>
    <t>Guilde Ticket Box (2)</t>
  </si>
  <si>
    <t>World Core</t>
  </si>
  <si>
    <t>길드 티켓 상자2</t>
  </si>
  <si>
    <t>세계의 핵</t>
  </si>
  <si>
    <t>PackageName.EqLevelM</t>
  </si>
  <si>
    <t>Melee Equipment Level Up Box</t>
  </si>
  <si>
    <t>EquipName.ManaStoneRobe</t>
  </si>
  <si>
    <t>장비 근거리 레벨업 상자</t>
  </si>
  <si>
    <t>Mana Stone Robe</t>
  </si>
  <si>
    <t>마석장식 예복</t>
  </si>
  <si>
    <t>PackageName.EqLevelR</t>
  </si>
  <si>
    <t>EquipName.SageRobe</t>
  </si>
  <si>
    <t>Range Equipment Level Up Box</t>
  </si>
  <si>
    <t>Sage Robe</t>
  </si>
  <si>
    <t>장비 원거리 레벨업 상자</t>
  </si>
  <si>
    <t>현자의 로브</t>
  </si>
  <si>
    <t>PackageName.EqLevelT</t>
  </si>
  <si>
    <t>EquipName.PhoenixRaiment</t>
  </si>
  <si>
    <t>Tanker Equipment Level Up Box</t>
  </si>
  <si>
    <t>Phoenix Raiment</t>
  </si>
  <si>
    <t>장비 방어형 레벨업 상자</t>
  </si>
  <si>
    <t>불사조의 날개옷</t>
  </si>
  <si>
    <t>PackageName.EqLevelS</t>
  </si>
  <si>
    <t>BuffStringName.AtkUp.Dark.T3</t>
  </si>
  <si>
    <t>EquipName.SpiritMantle</t>
  </si>
  <si>
    <t>Surpport Equipment Level Up Box</t>
  </si>
  <si>
    <t>Spirit Mantle</t>
  </si>
  <si>
    <t>암흑속성 공격력 증가 버프4</t>
  </si>
  <si>
    <t>장비 지원형 레벨업 상자</t>
  </si>
  <si>
    <t>정령의 외투</t>
  </si>
  <si>
    <t>PackageName.EqClassM</t>
  </si>
  <si>
    <t>EquipName.RoyalMajesty</t>
  </si>
  <si>
    <t>Royal Majesty</t>
  </si>
  <si>
    <t>Melee Equipment Class Up Box</t>
  </si>
  <si>
    <t>로열 마제스티</t>
  </si>
  <si>
    <t>장비 근거리 성급업 상자</t>
  </si>
  <si>
    <t>EquipName.ProtectiveGloves</t>
  </si>
  <si>
    <t>PackageName.EqClassR</t>
  </si>
  <si>
    <t>Protective Gloves</t>
  </si>
  <si>
    <t>Range Equipment Class Up Box</t>
  </si>
  <si>
    <t>보호의 가죽 장갑</t>
  </si>
  <si>
    <t>장비 원거리 성급업 상자</t>
  </si>
  <si>
    <t>EquipName.ExplorerGloves</t>
  </si>
  <si>
    <t>PackageName.EqClassT</t>
  </si>
  <si>
    <t>Explorer Gloves</t>
  </si>
  <si>
    <t>Tanker Equipment Class Up Box</t>
  </si>
  <si>
    <t>탐험가의 장갑</t>
  </si>
  <si>
    <t>장비 방어형 성급업 상자</t>
  </si>
  <si>
    <t>EquipName.SageBracers</t>
  </si>
  <si>
    <t>Sage Bracers</t>
  </si>
  <si>
    <t>PackageName.EqClassS</t>
  </si>
  <si>
    <t>Surpport Equipment Class Up Box</t>
  </si>
  <si>
    <t>현자의 손목덮개</t>
  </si>
  <si>
    <t>장비 지원형 성급업 상자</t>
  </si>
  <si>
    <t>EquipName.EssenceGuardian</t>
  </si>
  <si>
    <t>BuffStringName.Skill.Iris</t>
  </si>
  <si>
    <t>PackageName.EqGradeM</t>
  </si>
  <si>
    <t>Essence Guardian</t>
  </si>
  <si>
    <t>아이리스 스킬 버프</t>
  </si>
  <si>
    <t>Melee Equipment Grade Up Box</t>
  </si>
  <si>
    <t>정수 수호자</t>
  </si>
  <si>
    <t>범위 내 대상에게 공격력의 50% 피해를 입힙니다. 적중 시, 대상을 밀어내고 3초간 근거리형 아군에게 치명타 확률 12% 증가 부여</t>
  </si>
  <si>
    <t>장비 근거리 등급업 상자</t>
  </si>
  <si>
    <t>EquipName.FrostGloves</t>
  </si>
  <si>
    <t>PackageName.EqGradeR</t>
  </si>
  <si>
    <t>Range Equipment Grade Up Box</t>
  </si>
  <si>
    <t>Frost Gloves</t>
  </si>
  <si>
    <t>장비 원거리 등급업 상자</t>
  </si>
  <si>
    <t>서리 장갑</t>
  </si>
  <si>
    <t>PackageName.EqGradeT</t>
  </si>
  <si>
    <t>EquipName.LightSteps</t>
  </si>
  <si>
    <t>Tanker Equipment Grade Up Box</t>
  </si>
  <si>
    <t>Light Steps</t>
  </si>
  <si>
    <t>장비 방어형 등급업 상자</t>
  </si>
  <si>
    <t>가벼운 발걸음</t>
  </si>
  <si>
    <t>PackageName.EqGradeS</t>
  </si>
  <si>
    <t>Surpport Equipment Grade Up Box</t>
  </si>
  <si>
    <t>EquipName.WitchShoes</t>
  </si>
  <si>
    <t>장비 지원형 등급업 상자</t>
  </si>
  <si>
    <t>Witch Shoes</t>
  </si>
  <si>
    <t>마녀의 구두</t>
  </si>
  <si>
    <t>PackageName.SDItem1</t>
  </si>
  <si>
    <t>Village Chest (1)</t>
  </si>
  <si>
    <t>EquipName.RedRugosa</t>
  </si>
  <si>
    <t>SD 콘텐츠 상자1</t>
  </si>
  <si>
    <t>Red Rugosa</t>
  </si>
  <si>
    <t>BuffStringName.Skill.Alexei</t>
  </si>
  <si>
    <t>붉은 해당화</t>
  </si>
  <si>
    <t>알렉세이 스킬 버프</t>
  </si>
  <si>
    <t>PackageName.SDItem2</t>
  </si>
  <si>
    <t>범위 내 대상에게 2회에 걸쳐 공격력의 50% 피해를 입힙니다.</t>
  </si>
  <si>
    <t>Village Chest (2)</t>
  </si>
  <si>
    <t>SD 콘텐츠 상자2</t>
  </si>
  <si>
    <t>PackageName.Food1</t>
  </si>
  <si>
    <t>Dish Chest (1)</t>
  </si>
  <si>
    <t>요리 상자1</t>
  </si>
  <si>
    <r>
      <rPr>
        <rFont val="Arial"/>
        <color rgb="FF000000"/>
        <sz val="10.0"/>
      </rPr>
      <t>EquipName.Travel</t>
    </r>
    <r>
      <rPr>
        <rFont val="Arial"/>
        <color rgb="FF1F1F1F"/>
        <sz val="10.0"/>
      </rPr>
      <t>Companion</t>
    </r>
  </si>
  <si>
    <t>PackageName.Food2</t>
  </si>
  <si>
    <t>Dish Chest (2)</t>
  </si>
  <si>
    <t>요리 상자2</t>
  </si>
  <si>
    <t>Travel Companion</t>
  </si>
  <si>
    <t>PackageName.Food3</t>
  </si>
  <si>
    <t>여행의 친우</t>
  </si>
  <si>
    <t>Dish Chest (3)</t>
  </si>
  <si>
    <t>요리 상자3</t>
  </si>
  <si>
    <t>EquipName.DawnPioneer</t>
  </si>
  <si>
    <t>PackageName.Food4</t>
  </si>
  <si>
    <t>Dawn Pioneer</t>
  </si>
  <si>
    <t>여명의 개척자</t>
  </si>
  <si>
    <t>BuffStringName.Skill.Gale</t>
  </si>
  <si>
    <t>요리 상자4</t>
  </si>
  <si>
    <t>게일 스킬 버프</t>
  </si>
  <si>
    <t>EquipName.GothicShineGuard</t>
  </si>
  <si>
    <t>PackageName.Food5</t>
  </si>
  <si>
    <t>Gothic Shine Guard</t>
  </si>
  <si>
    <t>요리 상자5</t>
  </si>
  <si>
    <t>고딕 샤인 가드</t>
  </si>
  <si>
    <t>PackageName.Food6</t>
  </si>
  <si>
    <t>EquipName.TwistofFate</t>
  </si>
  <si>
    <t>Twist of Fate</t>
  </si>
  <si>
    <t>요리 상자6</t>
  </si>
  <si>
    <t>운명의 장난</t>
  </si>
  <si>
    <t>PackageName.Growth1</t>
  </si>
  <si>
    <t>EquipName.EnlightenedLight</t>
  </si>
  <si>
    <t>Hero Growth Box (1)</t>
  </si>
  <si>
    <t>Enlightened Light</t>
  </si>
  <si>
    <t>영웅 성장 상자1</t>
  </si>
  <si>
    <t>깨우친 자의 광명</t>
  </si>
  <si>
    <t>PackageName.Growth2</t>
  </si>
  <si>
    <t>EquipName.WisdomHat</t>
  </si>
  <si>
    <t>Hero Growth Box (2)</t>
  </si>
  <si>
    <t>Wisdom Hat</t>
  </si>
  <si>
    <t>영웅 성장 상자2</t>
  </si>
  <si>
    <t>지혜의 모자</t>
  </si>
  <si>
    <t>PackageName.Buff_Gold</t>
  </si>
  <si>
    <t>EquipName.UrsulaCirclet</t>
  </si>
  <si>
    <t>Increases Stage Gold Drop</t>
  </si>
  <si>
    <t>BuffStringName.Skill.Nero</t>
  </si>
  <si>
    <t>골드 획득량 증가 아이템</t>
  </si>
  <si>
    <t>Ursula Circlet</t>
  </si>
  <si>
    <t>네로 스킬 버프</t>
  </si>
  <si>
    <t>우르슬라의 서클렛</t>
  </si>
  <si>
    <t>PackageName.Buff_Exp</t>
  </si>
  <si>
    <t>Increases Stage EXP Drop</t>
  </si>
  <si>
    <t>EquipName.AquaDrop</t>
  </si>
  <si>
    <t>경험치 획득량 증가 아이템</t>
  </si>
  <si>
    <t>Aqua Drop</t>
  </si>
  <si>
    <t>아쿠아 드롭</t>
  </si>
  <si>
    <t>EquipName.BlueShardBracelet</t>
  </si>
  <si>
    <t>Blue Shard Bracelet</t>
  </si>
  <si>
    <t>푸른 조각의 팔찌</t>
  </si>
  <si>
    <t>EquipName.GoldWingBridge</t>
  </si>
  <si>
    <t>Gold Wing Bridge</t>
  </si>
  <si>
    <t>금빛 날개의 브릿지</t>
  </si>
  <si>
    <t>EquipName.ChiefOrnament</t>
  </si>
  <si>
    <t>Chief Ornament</t>
  </si>
  <si>
    <t>족장의 장신구</t>
  </si>
  <si>
    <t>EquipName.SootOrnament</t>
  </si>
  <si>
    <t>Soot Ornament</t>
  </si>
  <si>
    <t>그을음의 장신구</t>
  </si>
  <si>
    <t>BuffStringName.Skill.Zarienne</t>
  </si>
  <si>
    <t>자리엔느 스킬 버프</t>
  </si>
  <si>
    <t>BuffStringName.Skill.Zeon</t>
  </si>
  <si>
    <t>제온 스킬 버프</t>
  </si>
  <si>
    <t>BuffStringName.Skill.Pan</t>
  </si>
  <si>
    <t>판 스킬 버프</t>
  </si>
  <si>
    <t>BuffStringName.Skill.Otard</t>
  </si>
  <si>
    <t>오타르 스킬 버프</t>
  </si>
  <si>
    <t>BuffStringName.Skill.Yao</t>
  </si>
  <si>
    <t>야오 스킬 버프</t>
  </si>
  <si>
    <t>BuffStringName.Skill.Lepin</t>
  </si>
  <si>
    <t>레핀 스킬 버프</t>
  </si>
  <si>
    <t>BuffStringName.Skill.Glenn</t>
  </si>
  <si>
    <t>글렌 스킬 버프</t>
  </si>
  <si>
    <t>BuffStringName.Skill.Liffy</t>
  </si>
  <si>
    <t>리피 스킬 버프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</si>
</sst>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sz val="10.0"/>
      <color theme="1"/>
      <name val="Arial"/>
    </font>
    <font>
      <sz val="10.0"/>
      <color rgb="FF1F1F1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3" numFmtId="0" xfId="0" applyFont="1"/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8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9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27.13"/>
    <col customWidth="1" min="3" max="3" width="25.88"/>
  </cols>
  <sheetData>
    <row r="1" ht="62.25" customHeight="1">
      <c r="A1" s="1" t="s">
        <v>0</v>
      </c>
      <c r="B1" s="1" t="s">
        <v>1</v>
      </c>
      <c r="C1" s="1" t="s">
        <v>2</v>
      </c>
    </row>
    <row r="2">
      <c r="A2" s="3" t="s">
        <v>3</v>
      </c>
      <c r="B2" s="3" t="s">
        <v>4</v>
      </c>
      <c r="C2" s="3" t="s">
        <v>5</v>
      </c>
    </row>
    <row r="3">
      <c r="A3" s="3" t="s">
        <v>6</v>
      </c>
      <c r="B3" s="3" t="s">
        <v>7</v>
      </c>
      <c r="C3" s="3" t="s">
        <v>8</v>
      </c>
    </row>
    <row r="4">
      <c r="A4" s="3" t="s">
        <v>9</v>
      </c>
      <c r="B4" s="3" t="s">
        <v>10</v>
      </c>
      <c r="C4" s="3" t="s">
        <v>11</v>
      </c>
    </row>
    <row r="5">
      <c r="A5" s="3" t="s">
        <v>12</v>
      </c>
      <c r="B5" s="3" t="s">
        <v>13</v>
      </c>
      <c r="C5" s="3" t="s">
        <v>14</v>
      </c>
    </row>
    <row r="6">
      <c r="A6" s="3" t="s">
        <v>16</v>
      </c>
      <c r="B6" s="3" t="s">
        <v>18</v>
      </c>
      <c r="C6" s="3" t="s">
        <v>19</v>
      </c>
    </row>
    <row r="7">
      <c r="A7" s="7" t="s">
        <v>21</v>
      </c>
      <c r="B7" s="10" t="s">
        <v>24</v>
      </c>
      <c r="C7" s="7" t="s">
        <v>28</v>
      </c>
    </row>
    <row r="8">
      <c r="A8" s="7" t="s">
        <v>30</v>
      </c>
      <c r="B8" s="10" t="s">
        <v>33</v>
      </c>
      <c r="C8" s="7" t="s">
        <v>35</v>
      </c>
    </row>
    <row r="9">
      <c r="B9" s="6"/>
    </row>
    <row r="10">
      <c r="B10" s="6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23.75"/>
    <col customWidth="1" min="3" max="3" width="62.13"/>
  </cols>
  <sheetData>
    <row r="1" ht="106.5" customHeight="1">
      <c r="A1" s="2" t="s">
        <v>0</v>
      </c>
      <c r="B1" s="2" t="s">
        <v>1</v>
      </c>
      <c r="C1" s="2" t="s">
        <v>2</v>
      </c>
      <c r="D1" s="4"/>
      <c r="E1" s="5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1" t="s">
        <v>31</v>
      </c>
      <c r="B2" s="12" t="s">
        <v>40</v>
      </c>
      <c r="C2" s="12" t="s">
        <v>47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1" t="s">
        <v>31</v>
      </c>
      <c r="B3" s="12" t="s">
        <v>71</v>
      </c>
      <c r="C3" s="12" t="s">
        <v>73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 t="s">
        <v>31</v>
      </c>
      <c r="B4" s="12" t="s">
        <v>106</v>
      </c>
      <c r="C4" s="12" t="s">
        <v>109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 t="s">
        <v>31</v>
      </c>
      <c r="B5" s="12" t="s">
        <v>130</v>
      </c>
      <c r="C5" s="12" t="s">
        <v>133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" t="s">
        <v>31</v>
      </c>
      <c r="B6" s="12" t="s">
        <v>162</v>
      </c>
      <c r="C6" s="12" t="s">
        <v>164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" t="s">
        <v>31</v>
      </c>
      <c r="B7" s="12" t="s">
        <v>209</v>
      </c>
      <c r="C7" s="12" t="s">
        <v>212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" t="s">
        <v>31</v>
      </c>
      <c r="B8" s="12" t="s">
        <v>248</v>
      </c>
      <c r="C8" s="12" t="s">
        <v>251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" t="s">
        <v>31</v>
      </c>
      <c r="B9" s="12" t="s">
        <v>289</v>
      </c>
      <c r="C9" s="11" t="s">
        <v>292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" t="s">
        <v>31</v>
      </c>
      <c r="B10" s="12" t="s">
        <v>340</v>
      </c>
      <c r="C10" s="11" t="s">
        <v>345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" t="s">
        <v>31</v>
      </c>
      <c r="B11" s="12" t="s">
        <v>389</v>
      </c>
      <c r="C11" s="12" t="s">
        <v>394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" t="s">
        <v>31</v>
      </c>
      <c r="B12" s="12" t="s">
        <v>446</v>
      </c>
      <c r="C12" s="12" t="s">
        <v>450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" t="s">
        <v>31</v>
      </c>
      <c r="B13" s="12" t="s">
        <v>501</v>
      </c>
      <c r="C13" s="12" t="s">
        <v>506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" t="s">
        <v>31</v>
      </c>
      <c r="B14" s="12" t="s">
        <v>549</v>
      </c>
      <c r="C14" s="12" t="s">
        <v>552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" t="s">
        <v>31</v>
      </c>
      <c r="B15" s="12" t="s">
        <v>584</v>
      </c>
      <c r="C15" s="12" t="s">
        <v>587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" t="s">
        <v>31</v>
      </c>
      <c r="B16" s="12" t="s">
        <v>594</v>
      </c>
      <c r="C16" s="12" t="s">
        <v>595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" t="s">
        <v>31</v>
      </c>
      <c r="B17" s="12" t="s">
        <v>608</v>
      </c>
      <c r="C17" s="12" t="s">
        <v>610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" t="s">
        <v>31</v>
      </c>
      <c r="B18" s="12" t="s">
        <v>618</v>
      </c>
      <c r="C18" s="12" t="s">
        <v>619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" t="s">
        <v>31</v>
      </c>
      <c r="B19" s="12" t="s">
        <v>628</v>
      </c>
      <c r="C19" s="12" t="s">
        <v>631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" t="s">
        <v>31</v>
      </c>
      <c r="B20" s="12" t="s">
        <v>664</v>
      </c>
      <c r="C20" s="11" t="s">
        <v>668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1" t="s">
        <v>31</v>
      </c>
      <c r="B21" s="12" t="s">
        <v>696</v>
      </c>
      <c r="C21" s="11" t="s">
        <v>699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1" t="s">
        <v>31</v>
      </c>
      <c r="B22" s="12" t="s">
        <v>732</v>
      </c>
      <c r="C22" s="11" t="s">
        <v>736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1" t="s">
        <v>31</v>
      </c>
      <c r="B23" s="12" t="s">
        <v>768</v>
      </c>
      <c r="C23" s="11" t="s">
        <v>769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1" t="s">
        <v>31</v>
      </c>
      <c r="B24" s="12" t="s">
        <v>774</v>
      </c>
      <c r="C24" s="12" t="s">
        <v>775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1" t="s">
        <v>31</v>
      </c>
      <c r="B25" s="12" t="s">
        <v>798</v>
      </c>
      <c r="C25" s="12" t="s">
        <v>801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1" t="s">
        <v>31</v>
      </c>
      <c r="B26" s="12" t="s">
        <v>837</v>
      </c>
      <c r="C26" s="12" t="s">
        <v>839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1" t="s">
        <v>31</v>
      </c>
      <c r="B27" s="12" t="s">
        <v>865</v>
      </c>
      <c r="C27" s="12" t="s">
        <v>867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1" t="s">
        <v>31</v>
      </c>
      <c r="B28" s="12" t="s">
        <v>898</v>
      </c>
      <c r="C28" s="9" t="s">
        <v>900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1" t="s">
        <v>31</v>
      </c>
      <c r="B29" s="12" t="s">
        <v>925</v>
      </c>
      <c r="C29" s="9" t="s">
        <v>928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1" t="s">
        <v>31</v>
      </c>
      <c r="B30" s="12" t="s">
        <v>959</v>
      </c>
      <c r="C30" s="9" t="s">
        <v>963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1" t="s">
        <v>31</v>
      </c>
      <c r="B31" s="12" t="s">
        <v>994</v>
      </c>
      <c r="C31" s="9" t="s">
        <v>996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1" t="s">
        <v>31</v>
      </c>
      <c r="B32" s="12" t="s">
        <v>1035</v>
      </c>
      <c r="C32" s="9" t="s">
        <v>1036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1" t="s">
        <v>31</v>
      </c>
      <c r="B33" s="12" t="s">
        <v>1063</v>
      </c>
      <c r="C33" s="9" t="s">
        <v>1066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1" t="s">
        <v>31</v>
      </c>
      <c r="B34" s="12" t="s">
        <v>1081</v>
      </c>
      <c r="C34" s="12" t="s">
        <v>1083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1" t="s">
        <v>31</v>
      </c>
      <c r="B35" s="12" t="s">
        <v>1107</v>
      </c>
      <c r="C35" s="12" t="s">
        <v>1110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1" t="s">
        <v>31</v>
      </c>
      <c r="B36" s="12" t="s">
        <v>1145</v>
      </c>
      <c r="C36" s="12" t="s">
        <v>1150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1" t="s">
        <v>31</v>
      </c>
      <c r="B37" s="12" t="s">
        <v>1207</v>
      </c>
      <c r="C37" s="12" t="s">
        <v>1211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1" t="s">
        <v>31</v>
      </c>
      <c r="B38" s="12" t="s">
        <v>1240</v>
      </c>
      <c r="C38" s="12" t="s">
        <v>1243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1" t="s">
        <v>31</v>
      </c>
      <c r="B39" s="12" t="s">
        <v>1275</v>
      </c>
      <c r="C39" s="12" t="s">
        <v>1278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1" t="s">
        <v>31</v>
      </c>
      <c r="B40" s="12" t="s">
        <v>1313</v>
      </c>
      <c r="C40" s="12" t="s">
        <v>133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1" t="s">
        <v>31</v>
      </c>
      <c r="B41" s="12" t="s">
        <v>1340</v>
      </c>
      <c r="C41" s="12" t="s">
        <v>1345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1" t="s">
        <v>31</v>
      </c>
      <c r="B42" s="12" t="s">
        <v>1371</v>
      </c>
      <c r="C42" s="12" t="s">
        <v>1375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1" t="s">
        <v>31</v>
      </c>
      <c r="B43" s="12" t="s">
        <v>1392</v>
      </c>
      <c r="C43" s="12" t="s">
        <v>1393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1" t="s">
        <v>31</v>
      </c>
      <c r="B44" s="12" t="s">
        <v>1418</v>
      </c>
      <c r="C44" s="12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1" t="s">
        <v>31</v>
      </c>
      <c r="B45" s="12" t="s">
        <v>1443</v>
      </c>
      <c r="C45" s="12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1" t="s">
        <v>31</v>
      </c>
      <c r="B46" s="12" t="s">
        <v>1475</v>
      </c>
      <c r="C46" s="1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1" t="s">
        <v>31</v>
      </c>
      <c r="B47" s="12" t="s">
        <v>1498</v>
      </c>
      <c r="C47" s="1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1" t="s">
        <v>31</v>
      </c>
      <c r="B48" s="12" t="s">
        <v>1500</v>
      </c>
      <c r="C48" s="1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1" t="s">
        <v>1501</v>
      </c>
      <c r="B49" s="12" t="s">
        <v>779</v>
      </c>
      <c r="C49" s="12" t="s">
        <v>394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1" t="s">
        <v>1501</v>
      </c>
      <c r="B50" s="12" t="s">
        <v>1506</v>
      </c>
      <c r="C50" s="12" t="s">
        <v>394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1" t="s">
        <v>1501</v>
      </c>
      <c r="B51" s="12" t="s">
        <v>1513</v>
      </c>
      <c r="C51" s="12" t="s">
        <v>394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1" t="s">
        <v>1501</v>
      </c>
      <c r="B52" s="12" t="s">
        <v>1522</v>
      </c>
      <c r="C52" s="12" t="s">
        <v>394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1" t="s">
        <v>1501</v>
      </c>
      <c r="B53" s="12" t="s">
        <v>1541</v>
      </c>
      <c r="C53" s="12" t="s">
        <v>394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1" t="s">
        <v>1501</v>
      </c>
      <c r="B54" s="12" t="s">
        <v>1574</v>
      </c>
      <c r="C54" s="12" t="s">
        <v>394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1" t="s">
        <v>1603</v>
      </c>
      <c r="B55" s="12" t="s">
        <v>1606</v>
      </c>
      <c r="C55" s="12" t="s">
        <v>1609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1" t="s">
        <v>1636</v>
      </c>
      <c r="B56" s="12" t="s">
        <v>1637</v>
      </c>
      <c r="C56" s="12" t="s">
        <v>1609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1" t="s">
        <v>1662</v>
      </c>
      <c r="B57" s="12" t="s">
        <v>1665</v>
      </c>
      <c r="C57" s="12" t="s">
        <v>1609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1" t="s">
        <v>1687</v>
      </c>
      <c r="B58" s="12" t="s">
        <v>1690</v>
      </c>
      <c r="C58" s="12" t="s">
        <v>1609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1" t="s">
        <v>1736</v>
      </c>
      <c r="B59" s="12" t="s">
        <v>1740</v>
      </c>
      <c r="C59" s="12" t="s">
        <v>1609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1" t="s">
        <v>1789</v>
      </c>
      <c r="B60" s="12" t="s">
        <v>1793</v>
      </c>
      <c r="C60" s="12" t="s">
        <v>1609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1" t="s">
        <v>1835</v>
      </c>
      <c r="B61" s="12" t="s">
        <v>1839</v>
      </c>
      <c r="C61" s="12" t="s">
        <v>1842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1" t="s">
        <v>1882</v>
      </c>
      <c r="B62" s="12" t="s">
        <v>1886</v>
      </c>
      <c r="C62" s="12" t="s">
        <v>1842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1" t="s">
        <v>1928</v>
      </c>
      <c r="B63" s="12" t="s">
        <v>1932</v>
      </c>
      <c r="C63" s="12" t="s">
        <v>1842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1" t="s">
        <v>1968</v>
      </c>
      <c r="B64" s="12" t="s">
        <v>1971</v>
      </c>
      <c r="C64" s="12" t="s">
        <v>1842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1" t="s">
        <v>2007</v>
      </c>
      <c r="B65" s="12" t="s">
        <v>2009</v>
      </c>
      <c r="C65" s="12" t="s">
        <v>1842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1" t="s">
        <v>2036</v>
      </c>
      <c r="B66" s="12" t="s">
        <v>2039</v>
      </c>
      <c r="C66" s="12" t="s">
        <v>1842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1" t="s">
        <v>2064</v>
      </c>
      <c r="B67" s="12" t="s">
        <v>2067</v>
      </c>
      <c r="C67" s="12" t="s">
        <v>2069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1" t="s">
        <v>2098</v>
      </c>
      <c r="B68" s="12" t="s">
        <v>2101</v>
      </c>
      <c r="C68" s="12" t="s">
        <v>2069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1" t="s">
        <v>2141</v>
      </c>
      <c r="B69" s="12" t="s">
        <v>2146</v>
      </c>
      <c r="C69" s="12" t="s">
        <v>2069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1" t="s">
        <v>2176</v>
      </c>
      <c r="B70" s="12" t="s">
        <v>2179</v>
      </c>
      <c r="C70" s="12" t="s">
        <v>2069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1" t="s">
        <v>2205</v>
      </c>
      <c r="B71" s="12" t="s">
        <v>2208</v>
      </c>
      <c r="C71" s="12" t="s">
        <v>2069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1" t="s">
        <v>2236</v>
      </c>
      <c r="B72" s="12" t="s">
        <v>2240</v>
      </c>
      <c r="C72" s="12" t="s">
        <v>2069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1" t="s">
        <v>2268</v>
      </c>
      <c r="B73" s="12" t="s">
        <v>2271</v>
      </c>
      <c r="C73" s="12" t="s">
        <v>2274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1" t="s">
        <v>2299</v>
      </c>
      <c r="B74" s="12" t="s">
        <v>2301</v>
      </c>
      <c r="C74" s="12" t="s">
        <v>2303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1" t="s">
        <v>2322</v>
      </c>
      <c r="B75" s="12" t="s">
        <v>2324</v>
      </c>
      <c r="C75" s="1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1" t="s">
        <v>2350</v>
      </c>
      <c r="B76" s="12" t="s">
        <v>2353</v>
      </c>
      <c r="C76" s="1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1" t="s">
        <v>2373</v>
      </c>
      <c r="B77" s="12" t="s">
        <v>2374</v>
      </c>
      <c r="C77" s="1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1" t="s">
        <v>2375</v>
      </c>
      <c r="B78" s="12" t="s">
        <v>2376</v>
      </c>
      <c r="C78" s="1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1" t="s">
        <v>2377</v>
      </c>
      <c r="B79" s="12" t="s">
        <v>2378</v>
      </c>
      <c r="C79" s="1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1" t="s">
        <v>2379</v>
      </c>
      <c r="B80" s="12" t="s">
        <v>2380</v>
      </c>
      <c r="C80" s="1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1" t="s">
        <v>2381</v>
      </c>
      <c r="B81" s="12" t="s">
        <v>2382</v>
      </c>
      <c r="C81" s="1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1" t="s">
        <v>2383</v>
      </c>
      <c r="B82" s="12" t="s">
        <v>2384</v>
      </c>
      <c r="C82" s="1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1" t="s">
        <v>2385</v>
      </c>
      <c r="B83" s="12" t="s">
        <v>2386</v>
      </c>
      <c r="C83" s="1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1" t="s">
        <v>2387</v>
      </c>
      <c r="B84" s="12" t="s">
        <v>2388</v>
      </c>
      <c r="C84" s="1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34.25"/>
    <col customWidth="1" min="3" max="3" width="21.38"/>
  </cols>
  <sheetData>
    <row r="1" ht="62.25" customHeight="1">
      <c r="A1" s="1" t="s">
        <v>0</v>
      </c>
      <c r="B1" s="1" t="s">
        <v>1</v>
      </c>
      <c r="C1" s="1" t="s">
        <v>2</v>
      </c>
      <c r="D1" s="1"/>
    </row>
    <row r="2">
      <c r="A2" s="7" t="s">
        <v>17</v>
      </c>
      <c r="B2" s="9" t="s">
        <v>23</v>
      </c>
      <c r="C2" s="10" t="s">
        <v>26</v>
      </c>
    </row>
    <row r="3">
      <c r="A3" s="7" t="s">
        <v>32</v>
      </c>
      <c r="B3" s="6" t="s">
        <v>36</v>
      </c>
      <c r="C3" s="6" t="s">
        <v>38</v>
      </c>
    </row>
    <row r="4">
      <c r="A4" s="7" t="s">
        <v>41</v>
      </c>
      <c r="B4" s="6" t="s">
        <v>43</v>
      </c>
      <c r="C4" s="6" t="s">
        <v>45</v>
      </c>
    </row>
    <row r="5">
      <c r="A5" s="7" t="s">
        <v>48</v>
      </c>
      <c r="B5" s="6" t="s">
        <v>50</v>
      </c>
      <c r="C5" s="6" t="s">
        <v>52</v>
      </c>
    </row>
    <row r="6">
      <c r="A6" s="7" t="s">
        <v>54</v>
      </c>
      <c r="B6" s="6" t="s">
        <v>56</v>
      </c>
      <c r="C6" s="6" t="s">
        <v>58</v>
      </c>
    </row>
    <row r="7">
      <c r="A7" s="7" t="s">
        <v>60</v>
      </c>
      <c r="B7" s="6" t="s">
        <v>63</v>
      </c>
      <c r="C7" s="6" t="s">
        <v>65</v>
      </c>
    </row>
    <row r="8">
      <c r="A8" s="7" t="s">
        <v>67</v>
      </c>
      <c r="B8" s="6" t="s">
        <v>69</v>
      </c>
      <c r="C8" s="6" t="s">
        <v>72</v>
      </c>
    </row>
    <row r="9">
      <c r="A9" s="7" t="s">
        <v>75</v>
      </c>
      <c r="B9" s="6" t="s">
        <v>77</v>
      </c>
      <c r="C9" s="6" t="s">
        <v>79</v>
      </c>
    </row>
    <row r="10">
      <c r="A10" s="7" t="s">
        <v>81</v>
      </c>
      <c r="B10" s="10" t="s">
        <v>82</v>
      </c>
      <c r="C10" s="10" t="s">
        <v>84</v>
      </c>
    </row>
    <row r="11">
      <c r="A11" s="7" t="s">
        <v>86</v>
      </c>
      <c r="B11" s="10" t="s">
        <v>88</v>
      </c>
      <c r="C11" s="10" t="s">
        <v>90</v>
      </c>
    </row>
    <row r="12">
      <c r="A12" s="7" t="s">
        <v>92</v>
      </c>
      <c r="B12" s="10" t="s">
        <v>94</v>
      </c>
      <c r="C12" s="10" t="s">
        <v>97</v>
      </c>
    </row>
    <row r="13">
      <c r="A13" s="7" t="s">
        <v>99</v>
      </c>
      <c r="B13" s="10" t="s">
        <v>101</v>
      </c>
      <c r="C13" s="10" t="s">
        <v>103</v>
      </c>
    </row>
    <row r="14">
      <c r="A14" s="7" t="s">
        <v>105</v>
      </c>
      <c r="B14" s="10" t="s">
        <v>108</v>
      </c>
      <c r="C14" s="10" t="s">
        <v>110</v>
      </c>
    </row>
    <row r="15">
      <c r="A15" s="7" t="s">
        <v>112</v>
      </c>
      <c r="B15" s="10" t="s">
        <v>113</v>
      </c>
      <c r="C15" s="10" t="s">
        <v>115</v>
      </c>
    </row>
    <row r="16">
      <c r="A16" s="7" t="s">
        <v>117</v>
      </c>
      <c r="B16" s="10" t="s">
        <v>119</v>
      </c>
      <c r="C16" s="10" t="s">
        <v>120</v>
      </c>
    </row>
    <row r="17">
      <c r="A17" s="7" t="s">
        <v>126</v>
      </c>
      <c r="B17" s="10" t="s">
        <v>128</v>
      </c>
      <c r="C17" s="9" t="s">
        <v>131</v>
      </c>
    </row>
    <row r="18">
      <c r="A18" s="7" t="s">
        <v>135</v>
      </c>
      <c r="B18" s="10" t="s">
        <v>137</v>
      </c>
      <c r="C18" s="9" t="s">
        <v>140</v>
      </c>
    </row>
    <row r="19">
      <c r="A19" s="7" t="s">
        <v>142</v>
      </c>
      <c r="B19" s="10" t="s">
        <v>145</v>
      </c>
      <c r="C19" s="9" t="s">
        <v>147</v>
      </c>
    </row>
    <row r="20">
      <c r="A20" s="7" t="s">
        <v>149</v>
      </c>
      <c r="B20" s="10" t="s">
        <v>151</v>
      </c>
      <c r="C20" s="9" t="s">
        <v>153</v>
      </c>
    </row>
    <row r="21">
      <c r="A21" s="7" t="s">
        <v>156</v>
      </c>
      <c r="B21" s="10" t="s">
        <v>158</v>
      </c>
      <c r="C21" s="9" t="s">
        <v>161</v>
      </c>
    </row>
    <row r="22">
      <c r="A22" s="7" t="s">
        <v>166</v>
      </c>
      <c r="B22" s="10" t="s">
        <v>168</v>
      </c>
      <c r="C22" s="9" t="s">
        <v>170</v>
      </c>
    </row>
    <row r="23">
      <c r="A23" s="7" t="s">
        <v>173</v>
      </c>
      <c r="B23" s="10" t="s">
        <v>175</v>
      </c>
      <c r="C23" s="9" t="s">
        <v>178</v>
      </c>
    </row>
    <row r="24">
      <c r="A24" s="7" t="s">
        <v>182</v>
      </c>
      <c r="B24" s="10" t="s">
        <v>184</v>
      </c>
      <c r="C24" s="9" t="s">
        <v>186</v>
      </c>
    </row>
    <row r="25">
      <c r="A25" s="7" t="s">
        <v>190</v>
      </c>
      <c r="B25" s="10" t="s">
        <v>192</v>
      </c>
      <c r="C25" s="9" t="s">
        <v>194</v>
      </c>
    </row>
    <row r="26">
      <c r="A26" s="7" t="s">
        <v>195</v>
      </c>
      <c r="B26" s="10" t="s">
        <v>196</v>
      </c>
      <c r="C26" s="9" t="s">
        <v>197</v>
      </c>
    </row>
    <row r="27">
      <c r="A27" s="7" t="s">
        <v>198</v>
      </c>
      <c r="B27" s="10" t="s">
        <v>199</v>
      </c>
      <c r="C27" s="9" t="s">
        <v>200</v>
      </c>
    </row>
    <row r="28">
      <c r="A28" s="7" t="s">
        <v>201</v>
      </c>
      <c r="B28" s="10" t="s">
        <v>202</v>
      </c>
      <c r="C28" s="9" t="s">
        <v>205</v>
      </c>
    </row>
    <row r="29">
      <c r="A29" s="7" t="s">
        <v>210</v>
      </c>
      <c r="B29" s="10" t="s">
        <v>213</v>
      </c>
      <c r="C29" s="9" t="s">
        <v>216</v>
      </c>
    </row>
    <row r="30">
      <c r="A30" s="7" t="s">
        <v>222</v>
      </c>
      <c r="B30" s="10" t="s">
        <v>224</v>
      </c>
      <c r="C30" s="9" t="s">
        <v>227</v>
      </c>
    </row>
    <row r="31">
      <c r="A31" s="7" t="s">
        <v>231</v>
      </c>
      <c r="B31" s="10" t="s">
        <v>234</v>
      </c>
      <c r="C31" s="10" t="s">
        <v>236</v>
      </c>
    </row>
    <row r="32">
      <c r="A32" s="7" t="s">
        <v>240</v>
      </c>
      <c r="B32" s="10" t="s">
        <v>242</v>
      </c>
      <c r="C32" s="9" t="s">
        <v>244</v>
      </c>
    </row>
    <row r="33">
      <c r="A33" s="7" t="s">
        <v>250</v>
      </c>
      <c r="B33" s="10" t="s">
        <v>252</v>
      </c>
      <c r="C33" s="9" t="s">
        <v>256</v>
      </c>
    </row>
    <row r="34">
      <c r="A34" s="7" t="s">
        <v>259</v>
      </c>
      <c r="B34" s="10" t="s">
        <v>263</v>
      </c>
      <c r="C34" s="9" t="s">
        <v>265</v>
      </c>
    </row>
    <row r="35">
      <c r="A35" s="7" t="s">
        <v>269</v>
      </c>
      <c r="B35" s="10" t="s">
        <v>271</v>
      </c>
      <c r="C35" s="9" t="s">
        <v>274</v>
      </c>
    </row>
    <row r="36">
      <c r="A36" s="7" t="s">
        <v>277</v>
      </c>
      <c r="B36" s="10" t="s">
        <v>282</v>
      </c>
      <c r="C36" s="9" t="s">
        <v>284</v>
      </c>
    </row>
    <row r="37">
      <c r="A37" s="7" t="s">
        <v>290</v>
      </c>
      <c r="B37" s="10" t="s">
        <v>294</v>
      </c>
      <c r="C37" s="10" t="s">
        <v>300</v>
      </c>
    </row>
    <row r="38">
      <c r="A38" s="7" t="s">
        <v>305</v>
      </c>
      <c r="B38" s="10" t="s">
        <v>308</v>
      </c>
      <c r="C38" s="10" t="s">
        <v>311</v>
      </c>
    </row>
    <row r="39">
      <c r="A39" s="7" t="s">
        <v>316</v>
      </c>
      <c r="B39" s="10" t="s">
        <v>319</v>
      </c>
      <c r="C39" s="10" t="s">
        <v>323</v>
      </c>
    </row>
    <row r="40">
      <c r="A40" s="7" t="s">
        <v>329</v>
      </c>
      <c r="B40" s="10" t="s">
        <v>332</v>
      </c>
      <c r="C40" s="9" t="s">
        <v>335</v>
      </c>
    </row>
    <row r="41">
      <c r="A41" s="7" t="s">
        <v>343</v>
      </c>
      <c r="B41" s="10" t="s">
        <v>347</v>
      </c>
      <c r="C41" s="9" t="s">
        <v>350</v>
      </c>
    </row>
    <row r="42">
      <c r="A42" s="7" t="s">
        <v>355</v>
      </c>
      <c r="B42" s="10" t="s">
        <v>358</v>
      </c>
      <c r="C42" s="9" t="s">
        <v>361</v>
      </c>
    </row>
    <row r="43">
      <c r="A43" s="7" t="s">
        <v>366</v>
      </c>
      <c r="B43" s="10" t="s">
        <v>370</v>
      </c>
      <c r="C43" s="9" t="s">
        <v>373</v>
      </c>
    </row>
    <row r="44">
      <c r="A44" s="7" t="s">
        <v>378</v>
      </c>
      <c r="B44" s="10" t="s">
        <v>379</v>
      </c>
      <c r="C44" s="9" t="s">
        <v>382</v>
      </c>
    </row>
    <row r="45">
      <c r="A45" s="7" t="s">
        <v>405</v>
      </c>
      <c r="B45" s="10" t="s">
        <v>410</v>
      </c>
      <c r="C45" s="9" t="s">
        <v>414</v>
      </c>
    </row>
    <row r="46">
      <c r="A46" s="7" t="s">
        <v>421</v>
      </c>
      <c r="B46" s="10" t="s">
        <v>424</v>
      </c>
      <c r="C46" s="9" t="s">
        <v>428</v>
      </c>
    </row>
    <row r="47">
      <c r="A47" s="7" t="s">
        <v>434</v>
      </c>
      <c r="B47" s="10" t="s">
        <v>437</v>
      </c>
      <c r="C47" s="9" t="s">
        <v>440</v>
      </c>
    </row>
    <row r="48">
      <c r="A48" s="7" t="s">
        <v>447</v>
      </c>
      <c r="B48" s="10" t="s">
        <v>452</v>
      </c>
      <c r="C48" s="9" t="s">
        <v>456</v>
      </c>
    </row>
    <row r="49">
      <c r="A49" s="7" t="s">
        <v>461</v>
      </c>
      <c r="B49" s="10" t="s">
        <v>464</v>
      </c>
      <c r="C49" s="10" t="s">
        <v>467</v>
      </c>
    </row>
    <row r="50">
      <c r="A50" s="7" t="s">
        <v>473</v>
      </c>
      <c r="B50" s="10" t="str">
        <f>IFERROR(__xludf.DUMMYFUNCTION("GOOGLETRANSLATE(C50, ""ko"", ""en"")"),"Underworker")</f>
        <v>Underworker</v>
      </c>
      <c r="C50" s="10" t="s">
        <v>510</v>
      </c>
    </row>
    <row r="51">
      <c r="A51" s="7" t="s">
        <v>514</v>
      </c>
      <c r="B51" s="10" t="str">
        <f>IFERROR(__xludf.DUMMYFUNCTION("GOOGLETRANSLATE(C51, ""ko"", ""en"")"),"Underwalker Elite")</f>
        <v>Underwalker Elite</v>
      </c>
      <c r="C51" s="10" t="s">
        <v>522</v>
      </c>
    </row>
    <row r="52">
      <c r="A52" s="7" t="s">
        <v>526</v>
      </c>
      <c r="B52" s="10" t="str">
        <f>IFERROR(__xludf.DUMMYFUNCTION("GOOGLETRANSLATE(C52, ""ko"", ""en"")"),"Exceed")</f>
        <v>Exceed</v>
      </c>
      <c r="C52" s="10" t="s">
        <v>529</v>
      </c>
    </row>
    <row r="53">
      <c r="A53" s="7" t="s">
        <v>532</v>
      </c>
      <c r="B53" s="10" t="str">
        <f>IFERROR(__xludf.DUMMYFUNCTION("GOOGLETRANSLATE(C53, ""ko"", ""en"")"),"Exceed Elite")</f>
        <v>Exceed Elite</v>
      </c>
      <c r="C53" s="10" t="s">
        <v>537</v>
      </c>
    </row>
    <row r="54">
      <c r="A54" s="7" t="s">
        <v>540</v>
      </c>
      <c r="B54" s="10" t="str">
        <f>IFERROR(__xludf.DUMMYFUNCTION("GOOGLETRANSLATE(C54, ""ko"", ""en"")"),"Accor")</f>
        <v>Accor</v>
      </c>
      <c r="C54" s="10" t="s">
        <v>546</v>
      </c>
    </row>
    <row r="55">
      <c r="A55" s="7" t="s">
        <v>550</v>
      </c>
      <c r="B55" s="10" t="str">
        <f>IFERROR(__xludf.DUMMYFUNCTION("GOOGLETRANSLATE(C55, ""ko"", ""en"")"),"Vaibara")</f>
        <v>Vaibara</v>
      </c>
      <c r="C55" s="10" t="s">
        <v>556</v>
      </c>
    </row>
    <row r="56">
      <c r="A56" s="7" t="s">
        <v>560</v>
      </c>
      <c r="B56" s="10" t="str">
        <f>IFERROR(__xludf.DUMMYFUNCTION("GOOGLETRANSLATE(C56, ""ko"", ""en"")"),"Blue Deer Tribe")</f>
        <v>Blue Deer Tribe</v>
      </c>
      <c r="C56" s="10" t="s">
        <v>565</v>
      </c>
    </row>
    <row r="57">
      <c r="A57" s="7" t="s">
        <v>568</v>
      </c>
      <c r="B57" s="10" t="s">
        <v>571</v>
      </c>
      <c r="C57" s="10" t="s">
        <v>573</v>
      </c>
    </row>
    <row r="58">
      <c r="A58" s="7" t="s">
        <v>576</v>
      </c>
      <c r="B58" s="10" t="str">
        <f>IFERROR(__xludf.DUMMYFUNCTION("GOOGLETRANSLATE(C58, ""ko"", ""en"")"),"Ashiki")</f>
        <v>Ashiki</v>
      </c>
      <c r="C58" s="10" t="s">
        <v>581</v>
      </c>
    </row>
    <row r="59">
      <c r="A59" s="7" t="s">
        <v>586</v>
      </c>
      <c r="B59" s="10" t="str">
        <f>IFERROR(__xludf.DUMMYFUNCTION("GOOGLETRANSLATE(C59, ""ko"", ""en"")"),"Blaska")</f>
        <v>Blaska</v>
      </c>
      <c r="C59" s="10" t="s">
        <v>588</v>
      </c>
    </row>
    <row r="60">
      <c r="A60" s="7" t="s">
        <v>589</v>
      </c>
      <c r="B60" s="10" t="str">
        <f>IFERROR(__xludf.DUMMYFUNCTION("GOOGLETRANSLATE(C60, ""ko"", ""en"")"),"Mamanti")</f>
        <v>Mamanti</v>
      </c>
      <c r="C60" s="10" t="s">
        <v>590</v>
      </c>
    </row>
    <row r="61">
      <c r="A61" s="7" t="s">
        <v>591</v>
      </c>
      <c r="B61" s="10" t="str">
        <f>IFERROR(__xludf.DUMMYFUNCTION("GOOGLETRANSLATE(C61, ""ko"", ""en"")"),"Tashume")</f>
        <v>Tashume</v>
      </c>
      <c r="C61" s="10" t="s">
        <v>592</v>
      </c>
    </row>
    <row r="62">
      <c r="A62" s="7" t="s">
        <v>593</v>
      </c>
      <c r="B62" s="10" t="str">
        <f>IFERROR(__xludf.DUMMYFUNCTION("GOOGLETRANSLATE(C62, ""ko"", ""en"")"),"Wagni")</f>
        <v>Wagni</v>
      </c>
      <c r="C62" s="10" t="s">
        <v>596</v>
      </c>
    </row>
    <row r="63">
      <c r="A63" s="7" t="s">
        <v>597</v>
      </c>
      <c r="B63" s="10" t="s">
        <v>598</v>
      </c>
      <c r="C63" s="10" t="s">
        <v>599</v>
      </c>
    </row>
    <row r="64">
      <c r="A64" s="7" t="s">
        <v>600</v>
      </c>
      <c r="B64" s="10" t="s">
        <v>601</v>
      </c>
      <c r="C64" s="10" t="s">
        <v>602</v>
      </c>
    </row>
    <row r="65">
      <c r="A65" s="7" t="s">
        <v>603</v>
      </c>
      <c r="B65" s="10" t="s">
        <v>604</v>
      </c>
      <c r="C65" s="10" t="s">
        <v>341</v>
      </c>
    </row>
    <row r="66">
      <c r="A66" s="7" t="s">
        <v>605</v>
      </c>
      <c r="B66" s="10" t="s">
        <v>606</v>
      </c>
      <c r="C66" s="10" t="s">
        <v>607</v>
      </c>
    </row>
    <row r="67">
      <c r="A67" s="7" t="s">
        <v>609</v>
      </c>
      <c r="B67" s="10" t="s">
        <v>296</v>
      </c>
      <c r="C67" s="10" t="s">
        <v>298</v>
      </c>
    </row>
    <row r="68">
      <c r="A68" s="7" t="s">
        <v>611</v>
      </c>
      <c r="B68" s="10" t="s">
        <v>612</v>
      </c>
      <c r="C68" s="10" t="s">
        <v>613</v>
      </c>
    </row>
    <row r="69">
      <c r="A69" s="7" t="s">
        <v>614</v>
      </c>
      <c r="B69" s="10" t="s">
        <v>615</v>
      </c>
      <c r="C69" s="10" t="s">
        <v>616</v>
      </c>
    </row>
    <row r="70">
      <c r="A70" s="7" t="s">
        <v>617</v>
      </c>
      <c r="B70" s="10" t="s">
        <v>620</v>
      </c>
      <c r="C70" s="10" t="s">
        <v>621</v>
      </c>
    </row>
    <row r="71">
      <c r="A71" s="7" t="s">
        <v>622</v>
      </c>
      <c r="B71" s="7" t="s">
        <v>623</v>
      </c>
      <c r="C71" s="7" t="s">
        <v>624</v>
      </c>
    </row>
    <row r="72">
      <c r="A72" s="7" t="s">
        <v>627</v>
      </c>
      <c r="B72" s="7" t="s">
        <v>630</v>
      </c>
      <c r="C72" s="7" t="s">
        <v>633</v>
      </c>
    </row>
    <row r="73">
      <c r="A73" s="7" t="s">
        <v>636</v>
      </c>
      <c r="B73" s="7" t="s">
        <v>638</v>
      </c>
      <c r="C73" s="7" t="s">
        <v>640</v>
      </c>
    </row>
    <row r="74">
      <c r="A74" s="7" t="s">
        <v>642</v>
      </c>
      <c r="B74" s="7" t="s">
        <v>644</v>
      </c>
      <c r="C74" s="7" t="s">
        <v>646</v>
      </c>
    </row>
    <row r="75">
      <c r="A75" s="7" t="s">
        <v>650</v>
      </c>
      <c r="B75" s="10" t="str">
        <f>IFERROR(__xludf.DUMMYFUNCTION("GOOGLETRANSLATE(C75, ""ko"", ""en"")"),"Miner unit")</f>
        <v>Miner unit</v>
      </c>
      <c r="C75" s="10" t="s">
        <v>656</v>
      </c>
    </row>
    <row r="76">
      <c r="A76" s="7" t="s">
        <v>659</v>
      </c>
      <c r="B76" s="10" t="str">
        <f>IFERROR(__xludf.DUMMYFUNCTION("GOOGLETRANSLATE(C76, ""ko"", ""en"")"),"Hammer Unit")</f>
        <v>Hammer Unit</v>
      </c>
      <c r="C76" s="10" t="s">
        <v>666</v>
      </c>
    </row>
    <row r="77">
      <c r="A77" s="7" t="s">
        <v>670</v>
      </c>
      <c r="B77" s="7" t="s">
        <v>672</v>
      </c>
      <c r="C77" s="7" t="s">
        <v>674</v>
      </c>
    </row>
    <row r="78">
      <c r="A78" s="7" t="s">
        <v>677</v>
      </c>
      <c r="B78" s="10" t="str">
        <f>IFERROR(__xludf.DUMMYFUNCTION("GOOGLETRANSLATE(C78, ""ko"", ""en"")"),"Assassin")</f>
        <v>Assassin</v>
      </c>
      <c r="C78" s="10" t="s">
        <v>681</v>
      </c>
    </row>
    <row r="79">
      <c r="A79" s="7" t="s">
        <v>684</v>
      </c>
      <c r="B79" s="10" t="str">
        <f>IFERROR(__xludf.DUMMYFUNCTION("GOOGLETRANSLATE(C79, ""ko"", ""en"")"),"Priest member")</f>
        <v>Priest member</v>
      </c>
      <c r="C79" s="10" t="s">
        <v>690</v>
      </c>
    </row>
    <row r="80">
      <c r="A80" s="7" t="s">
        <v>694</v>
      </c>
      <c r="B80" s="10" t="str">
        <f>IFERROR(__xludf.DUMMYFUNCTION("GOOGLETRANSLATE(C80, ""ko"", ""en"")"),"Crossbowman")</f>
        <v>Crossbowman</v>
      </c>
      <c r="C80" s="10" t="s">
        <v>700</v>
      </c>
    </row>
    <row r="81">
      <c r="A81" s="7" t="s">
        <v>704</v>
      </c>
      <c r="B81" s="10" t="str">
        <f>IFERROR(__xludf.DUMMYFUNCTION("GOOGLETRANSLATE(C81, ""ko"", ""en"")"),"Warrior member")</f>
        <v>Warrior member</v>
      </c>
      <c r="C81" s="7" t="s">
        <v>711</v>
      </c>
    </row>
    <row r="82">
      <c r="A82" s="7" t="s">
        <v>715</v>
      </c>
      <c r="B82" s="10" t="str">
        <f>IFERROR(__xludf.DUMMYFUNCTION("GOOGLETRANSLATE(C82, ""ko"", ""en"")"),"Spearman unit")</f>
        <v>Spearman unit</v>
      </c>
      <c r="C82" s="7" t="s">
        <v>721</v>
      </c>
    </row>
    <row r="83">
      <c r="A83" s="7" t="s">
        <v>725</v>
      </c>
      <c r="B83" s="10" t="str">
        <f>IFERROR(__xludf.DUMMYFUNCTION("GOOGLETRANSLATE(C83, ""ko"", ""en"")"),"Archer Unit")</f>
        <v>Archer Unit</v>
      </c>
      <c r="C83" s="7" t="s">
        <v>730</v>
      </c>
    </row>
    <row r="84">
      <c r="A84" s="7" t="s">
        <v>734</v>
      </c>
      <c r="B84" s="10" t="str">
        <f>IFERROR(__xludf.DUMMYFUNCTION("GOOGLETRANSLATE(C84, ""ko"", ""en"")"),"Wizards")</f>
        <v>Wizards</v>
      </c>
      <c r="C84" s="7" t="s">
        <v>740</v>
      </c>
    </row>
    <row r="85">
      <c r="A85" s="7" t="s">
        <v>743</v>
      </c>
      <c r="B85" s="10" t="str">
        <f>IFERROR(__xludf.DUMMYFUNCTION("GOOGLETRANSLATE(C85, ""ko"", ""en"")"),"Axe-wielding unit")</f>
        <v>Axe-wielding unit</v>
      </c>
      <c r="C85" s="7" t="s">
        <v>749</v>
      </c>
    </row>
    <row r="86">
      <c r="A86" s="7" t="s">
        <v>753</v>
      </c>
      <c r="B86" s="10" t="str">
        <f>IFERROR(__xludf.DUMMYFUNCTION("GOOGLETRANSLATE(C86, ""ko"", ""en"")"),"Swordsman unit")</f>
        <v>Swordsman unit</v>
      </c>
      <c r="C86" s="7" t="s">
        <v>758</v>
      </c>
    </row>
    <row r="87">
      <c r="A87" s="7" t="s">
        <v>761</v>
      </c>
      <c r="B87" s="10" t="str">
        <f>IFERROR(__xludf.DUMMYFUNCTION("GOOGLETRANSLATE(C87, ""ko"", ""en"")"),"Sword and Shield Soldier Unit")</f>
        <v>Sword and Shield Soldier Unit</v>
      </c>
      <c r="C87" s="7" t="s">
        <v>763</v>
      </c>
    </row>
    <row r="88">
      <c r="A88" s="7" t="s">
        <v>765</v>
      </c>
      <c r="B88" s="10" t="str">
        <f>IFERROR(__xludf.DUMMYFUNCTION("GOOGLETRANSLATE(C88, ""ko"", ""en"")"),"musketeer unit")</f>
        <v>musketeer unit</v>
      </c>
      <c r="C88" s="7" t="s">
        <v>770</v>
      </c>
    </row>
    <row r="89">
      <c r="A89" s="7" t="s">
        <v>777</v>
      </c>
      <c r="B89" s="7" t="s">
        <v>780</v>
      </c>
      <c r="C89" s="7" t="s">
        <v>783</v>
      </c>
    </row>
    <row r="90">
      <c r="A90" s="7" t="s">
        <v>785</v>
      </c>
      <c r="B90" s="10" t="str">
        <f>IFERROR(__xludf.DUMMYFUNCTION("GOOGLETRANSLATE(C90, ""ko"", ""en"")"),"Dawn")</f>
        <v>Dawn</v>
      </c>
      <c r="C90" s="7" t="s">
        <v>806</v>
      </c>
    </row>
    <row r="91">
      <c r="A91" s="7" t="s">
        <v>811</v>
      </c>
      <c r="B91" s="10" t="str">
        <f>IFERROR(__xludf.DUMMYFUNCTION("GOOGLETRANSLATE(C91, ""ko"", ""en"")"),"boss")</f>
        <v>boss</v>
      </c>
      <c r="C91" s="10" t="s">
        <v>817</v>
      </c>
    </row>
    <row r="92">
      <c r="A92" s="7" t="s">
        <v>822</v>
      </c>
      <c r="B92" s="10" t="str">
        <f>IFERROR(__xludf.DUMMYFUNCTION("GOOGLETRANSLATE(C92, ""ko"", ""en"")"),"Elite")</f>
        <v>Elite</v>
      </c>
      <c r="C92" s="7" t="s">
        <v>827</v>
      </c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28.38"/>
    <col customWidth="1" min="3" max="3" width="33.88"/>
  </cols>
  <sheetData>
    <row r="1" ht="62.25" customHeight="1">
      <c r="A1" s="1" t="s">
        <v>0</v>
      </c>
      <c r="B1" s="1" t="s">
        <v>1</v>
      </c>
      <c r="C1" s="1" t="s">
        <v>2</v>
      </c>
      <c r="D1" s="1"/>
    </row>
    <row r="2">
      <c r="A2" s="6" t="s">
        <v>15</v>
      </c>
      <c r="B2" s="7" t="s">
        <v>20</v>
      </c>
      <c r="C2" s="8" t="s">
        <v>22</v>
      </c>
    </row>
    <row r="3">
      <c r="A3" s="6" t="s">
        <v>25</v>
      </c>
      <c r="B3" s="7" t="s">
        <v>27</v>
      </c>
      <c r="C3" s="8" t="s">
        <v>29</v>
      </c>
    </row>
    <row r="4">
      <c r="A4" s="6" t="s">
        <v>34</v>
      </c>
      <c r="B4" s="7" t="s">
        <v>37</v>
      </c>
      <c r="C4" s="8" t="s">
        <v>39</v>
      </c>
    </row>
    <row r="5">
      <c r="A5" s="6" t="s">
        <v>42</v>
      </c>
      <c r="B5" s="7" t="s">
        <v>44</v>
      </c>
      <c r="C5" s="8" t="s">
        <v>46</v>
      </c>
    </row>
    <row r="6">
      <c r="A6" s="6" t="s">
        <v>49</v>
      </c>
      <c r="B6" s="7" t="s">
        <v>51</v>
      </c>
      <c r="C6" s="8" t="s">
        <v>53</v>
      </c>
    </row>
    <row r="7">
      <c r="A7" s="6" t="s">
        <v>55</v>
      </c>
      <c r="B7" s="7" t="s">
        <v>57</v>
      </c>
      <c r="C7" s="8" t="s">
        <v>59</v>
      </c>
    </row>
    <row r="8">
      <c r="A8" s="6" t="s">
        <v>61</v>
      </c>
      <c r="B8" s="7" t="s">
        <v>62</v>
      </c>
      <c r="C8" s="8" t="s">
        <v>64</v>
      </c>
    </row>
    <row r="9">
      <c r="A9" s="6" t="s">
        <v>66</v>
      </c>
      <c r="B9" s="7" t="s">
        <v>68</v>
      </c>
      <c r="C9" s="8" t="s">
        <v>70</v>
      </c>
    </row>
    <row r="10">
      <c r="A10" s="6" t="s">
        <v>74</v>
      </c>
      <c r="B10" s="7" t="s">
        <v>76</v>
      </c>
      <c r="C10" s="8" t="s">
        <v>78</v>
      </c>
    </row>
    <row r="11">
      <c r="A11" s="6" t="s">
        <v>80</v>
      </c>
      <c r="B11" s="7" t="s">
        <v>83</v>
      </c>
      <c r="C11" s="8" t="s">
        <v>85</v>
      </c>
    </row>
    <row r="12">
      <c r="A12" s="6" t="s">
        <v>87</v>
      </c>
      <c r="B12" s="7" t="s">
        <v>89</v>
      </c>
      <c r="C12" s="8" t="s">
        <v>91</v>
      </c>
    </row>
    <row r="13">
      <c r="A13" s="6" t="s">
        <v>93</v>
      </c>
      <c r="B13" s="7" t="s">
        <v>95</v>
      </c>
      <c r="C13" s="8" t="s">
        <v>96</v>
      </c>
    </row>
    <row r="14">
      <c r="A14" s="6" t="s">
        <v>98</v>
      </c>
      <c r="B14" s="7" t="s">
        <v>100</v>
      </c>
      <c r="C14" s="8" t="s">
        <v>102</v>
      </c>
    </row>
    <row r="15">
      <c r="A15" s="6" t="s">
        <v>104</v>
      </c>
      <c r="B15" s="7" t="s">
        <v>107</v>
      </c>
      <c r="C15" s="8" t="s">
        <v>111</v>
      </c>
    </row>
    <row r="16">
      <c r="A16" s="6" t="s">
        <v>114</v>
      </c>
      <c r="B16" s="7" t="s">
        <v>116</v>
      </c>
      <c r="C16" s="8" t="s">
        <v>118</v>
      </c>
    </row>
    <row r="17">
      <c r="A17" s="6" t="s">
        <v>121</v>
      </c>
      <c r="B17" s="7" t="s">
        <v>122</v>
      </c>
      <c r="C17" s="8" t="s">
        <v>123</v>
      </c>
    </row>
    <row r="18">
      <c r="A18" s="6" t="s">
        <v>124</v>
      </c>
      <c r="B18" s="7" t="s">
        <v>125</v>
      </c>
      <c r="C18" s="8" t="s">
        <v>127</v>
      </c>
    </row>
    <row r="19">
      <c r="A19" s="6" t="s">
        <v>129</v>
      </c>
      <c r="B19" s="7" t="s">
        <v>132</v>
      </c>
      <c r="C19" s="8" t="s">
        <v>134</v>
      </c>
    </row>
    <row r="20">
      <c r="A20" s="6" t="s">
        <v>136</v>
      </c>
      <c r="B20" s="7" t="s">
        <v>138</v>
      </c>
      <c r="C20" s="8" t="s">
        <v>139</v>
      </c>
    </row>
    <row r="21">
      <c r="A21" s="6" t="s">
        <v>141</v>
      </c>
      <c r="B21" s="7" t="s">
        <v>143</v>
      </c>
      <c r="C21" s="8" t="s">
        <v>144</v>
      </c>
    </row>
    <row r="22">
      <c r="A22" s="13" t="s">
        <v>146</v>
      </c>
      <c r="B22" s="7" t="s">
        <v>148</v>
      </c>
      <c r="C22" s="13" t="s">
        <v>150</v>
      </c>
    </row>
    <row r="23">
      <c r="A23" s="13" t="s">
        <v>152</v>
      </c>
      <c r="B23" s="7" t="s">
        <v>154</v>
      </c>
      <c r="C23" s="13" t="s">
        <v>155</v>
      </c>
    </row>
    <row r="24">
      <c r="A24" s="13" t="s">
        <v>157</v>
      </c>
      <c r="B24" s="7" t="s">
        <v>159</v>
      </c>
      <c r="C24" s="13" t="s">
        <v>160</v>
      </c>
    </row>
    <row r="25">
      <c r="A25" s="13" t="s">
        <v>163</v>
      </c>
      <c r="B25" s="7" t="s">
        <v>165</v>
      </c>
      <c r="C25" s="13" t="s">
        <v>167</v>
      </c>
    </row>
    <row r="26">
      <c r="A26" s="13" t="s">
        <v>169</v>
      </c>
      <c r="B26" s="7" t="s">
        <v>171</v>
      </c>
      <c r="C26" s="13" t="s">
        <v>172</v>
      </c>
    </row>
    <row r="27">
      <c r="A27" s="13" t="s">
        <v>174</v>
      </c>
      <c r="B27" s="7" t="s">
        <v>176</v>
      </c>
      <c r="C27" s="13" t="s">
        <v>177</v>
      </c>
    </row>
    <row r="28">
      <c r="A28" s="13" t="s">
        <v>179</v>
      </c>
      <c r="B28" s="7" t="s">
        <v>180</v>
      </c>
      <c r="C28" s="13" t="s">
        <v>181</v>
      </c>
    </row>
    <row r="29">
      <c r="A29" s="13" t="s">
        <v>183</v>
      </c>
      <c r="B29" s="7" t="s">
        <v>185</v>
      </c>
      <c r="C29" s="13" t="s">
        <v>187</v>
      </c>
    </row>
    <row r="30">
      <c r="A30" s="13" t="s">
        <v>188</v>
      </c>
      <c r="B30" s="7" t="s">
        <v>189</v>
      </c>
      <c r="C30" s="13" t="s">
        <v>191</v>
      </c>
    </row>
    <row r="31">
      <c r="A31" s="13" t="s">
        <v>193</v>
      </c>
      <c r="B31" s="7" t="s">
        <v>203</v>
      </c>
      <c r="C31" s="13" t="s">
        <v>204</v>
      </c>
    </row>
    <row r="32">
      <c r="A32" s="13" t="s">
        <v>206</v>
      </c>
      <c r="B32" s="7" t="s">
        <v>207</v>
      </c>
      <c r="C32" s="13" t="s">
        <v>208</v>
      </c>
    </row>
    <row r="33">
      <c r="A33" s="13" t="s">
        <v>211</v>
      </c>
      <c r="B33" s="7" t="s">
        <v>214</v>
      </c>
      <c r="C33" s="13" t="s">
        <v>215</v>
      </c>
    </row>
    <row r="34">
      <c r="A34" s="13" t="s">
        <v>217</v>
      </c>
      <c r="B34" s="7" t="s">
        <v>218</v>
      </c>
      <c r="C34" s="13" t="s">
        <v>220</v>
      </c>
    </row>
    <row r="35">
      <c r="A35" s="13" t="s">
        <v>221</v>
      </c>
      <c r="B35" s="7" t="s">
        <v>223</v>
      </c>
      <c r="C35" s="13" t="s">
        <v>225</v>
      </c>
    </row>
    <row r="36">
      <c r="A36" s="13" t="s">
        <v>228</v>
      </c>
      <c r="B36" s="7" t="s">
        <v>229</v>
      </c>
      <c r="C36" s="13" t="s">
        <v>230</v>
      </c>
    </row>
    <row r="37">
      <c r="A37" s="13" t="s">
        <v>233</v>
      </c>
      <c r="B37" s="7" t="s">
        <v>235</v>
      </c>
      <c r="C37" s="13" t="s">
        <v>237</v>
      </c>
    </row>
    <row r="38">
      <c r="A38" s="13" t="s">
        <v>239</v>
      </c>
      <c r="B38" s="7" t="s">
        <v>241</v>
      </c>
      <c r="C38" s="13" t="s">
        <v>243</v>
      </c>
    </row>
    <row r="39">
      <c r="A39" s="13" t="s">
        <v>245</v>
      </c>
      <c r="B39" s="7" t="s">
        <v>247</v>
      </c>
      <c r="C39" s="13" t="s">
        <v>249</v>
      </c>
    </row>
    <row r="40">
      <c r="A40" s="13" t="s">
        <v>253</v>
      </c>
      <c r="B40" s="7" t="s">
        <v>255</v>
      </c>
      <c r="C40" s="13" t="s">
        <v>257</v>
      </c>
    </row>
    <row r="41">
      <c r="A41" s="13" t="s">
        <v>258</v>
      </c>
      <c r="B41" s="7" t="s">
        <v>260</v>
      </c>
      <c r="C41" s="13" t="s">
        <v>262</v>
      </c>
    </row>
    <row r="42">
      <c r="A42" s="13" t="s">
        <v>264</v>
      </c>
      <c r="B42" s="7" t="s">
        <v>266</v>
      </c>
      <c r="C42" s="13" t="s">
        <v>267</v>
      </c>
    </row>
    <row r="43">
      <c r="A43" s="13" t="s">
        <v>270</v>
      </c>
      <c r="B43" s="7" t="s">
        <v>272</v>
      </c>
      <c r="C43" s="13" t="s">
        <v>273</v>
      </c>
    </row>
    <row r="44">
      <c r="A44" s="13" t="s">
        <v>276</v>
      </c>
      <c r="B44" s="7" t="s">
        <v>279</v>
      </c>
      <c r="C44" s="13" t="s">
        <v>281</v>
      </c>
    </row>
    <row r="45">
      <c r="A45" s="13" t="s">
        <v>285</v>
      </c>
      <c r="B45" s="7" t="s">
        <v>287</v>
      </c>
      <c r="C45" s="13" t="s">
        <v>291</v>
      </c>
    </row>
    <row r="46">
      <c r="A46" s="13" t="s">
        <v>295</v>
      </c>
      <c r="B46" s="7" t="s">
        <v>297</v>
      </c>
      <c r="C46" s="13" t="s">
        <v>299</v>
      </c>
    </row>
    <row r="47">
      <c r="A47" s="13" t="s">
        <v>302</v>
      </c>
      <c r="B47" s="7" t="s">
        <v>304</v>
      </c>
      <c r="C47" s="13" t="s">
        <v>306</v>
      </c>
    </row>
    <row r="48">
      <c r="A48" s="13" t="s">
        <v>309</v>
      </c>
      <c r="B48" s="7" t="s">
        <v>312</v>
      </c>
      <c r="C48" s="13" t="s">
        <v>314</v>
      </c>
    </row>
    <row r="49">
      <c r="A49" s="13" t="s">
        <v>317</v>
      </c>
      <c r="B49" s="7" t="s">
        <v>318</v>
      </c>
      <c r="C49" s="13" t="s">
        <v>321</v>
      </c>
    </row>
    <row r="50">
      <c r="A50" s="13" t="s">
        <v>324</v>
      </c>
      <c r="B50" s="7" t="s">
        <v>326</v>
      </c>
      <c r="C50" s="13" t="s">
        <v>327</v>
      </c>
    </row>
    <row r="51">
      <c r="A51" s="13" t="s">
        <v>331</v>
      </c>
      <c r="B51" s="7" t="s">
        <v>334</v>
      </c>
      <c r="C51" s="13" t="s">
        <v>336</v>
      </c>
    </row>
    <row r="52">
      <c r="A52" s="13" t="s">
        <v>339</v>
      </c>
      <c r="B52" s="7" t="s">
        <v>342</v>
      </c>
      <c r="C52" s="13" t="s">
        <v>344</v>
      </c>
    </row>
    <row r="53">
      <c r="A53" s="13" t="s">
        <v>349</v>
      </c>
      <c r="B53" s="7" t="s">
        <v>352</v>
      </c>
      <c r="C53" s="13" t="s">
        <v>353</v>
      </c>
    </row>
    <row r="54">
      <c r="A54" s="13" t="s">
        <v>357</v>
      </c>
      <c r="B54" s="7" t="s">
        <v>360</v>
      </c>
      <c r="C54" s="13" t="s">
        <v>362</v>
      </c>
    </row>
    <row r="55">
      <c r="A55" s="13" t="s">
        <v>365</v>
      </c>
      <c r="B55" s="7" t="s">
        <v>367</v>
      </c>
      <c r="C55" s="13" t="s">
        <v>369</v>
      </c>
    </row>
    <row r="56">
      <c r="A56" s="13" t="s">
        <v>372</v>
      </c>
      <c r="B56" s="7" t="s">
        <v>375</v>
      </c>
      <c r="C56" s="13" t="s">
        <v>377</v>
      </c>
    </row>
    <row r="57">
      <c r="A57" s="13" t="s">
        <v>381</v>
      </c>
      <c r="B57" s="7" t="s">
        <v>384</v>
      </c>
      <c r="C57" s="13" t="s">
        <v>385</v>
      </c>
    </row>
    <row r="58">
      <c r="A58" s="13" t="s">
        <v>386</v>
      </c>
      <c r="B58" s="7" t="s">
        <v>387</v>
      </c>
      <c r="C58" s="13" t="s">
        <v>390</v>
      </c>
    </row>
    <row r="59">
      <c r="A59" s="13" t="s">
        <v>392</v>
      </c>
      <c r="B59" s="7" t="s">
        <v>395</v>
      </c>
      <c r="C59" s="13" t="s">
        <v>397</v>
      </c>
    </row>
    <row r="60">
      <c r="A60" s="13" t="s">
        <v>399</v>
      </c>
      <c r="B60" s="7" t="s">
        <v>401</v>
      </c>
      <c r="C60" s="13" t="s">
        <v>403</v>
      </c>
    </row>
    <row r="61">
      <c r="A61" s="13" t="s">
        <v>407</v>
      </c>
      <c r="B61" s="7" t="s">
        <v>409</v>
      </c>
      <c r="C61" s="13" t="s">
        <v>412</v>
      </c>
    </row>
    <row r="62">
      <c r="A62" s="13" t="s">
        <v>416</v>
      </c>
      <c r="B62" s="7" t="s">
        <v>417</v>
      </c>
      <c r="C62" s="13" t="s">
        <v>419</v>
      </c>
    </row>
    <row r="63">
      <c r="A63" s="13" t="s">
        <v>423</v>
      </c>
      <c r="B63" s="7" t="s">
        <v>426</v>
      </c>
      <c r="C63" s="13" t="s">
        <v>429</v>
      </c>
    </row>
    <row r="64">
      <c r="A64" s="13" t="s">
        <v>432</v>
      </c>
      <c r="B64" s="7" t="s">
        <v>435</v>
      </c>
      <c r="C64" s="13" t="s">
        <v>438</v>
      </c>
    </row>
    <row r="65">
      <c r="A65" s="13" t="s">
        <v>442</v>
      </c>
      <c r="B65" s="7" t="s">
        <v>444</v>
      </c>
      <c r="C65" s="13" t="s">
        <v>448</v>
      </c>
    </row>
    <row r="66">
      <c r="A66" s="13" t="s">
        <v>453</v>
      </c>
      <c r="B66" s="7" t="s">
        <v>455</v>
      </c>
      <c r="C66" s="13" t="s">
        <v>458</v>
      </c>
    </row>
    <row r="67">
      <c r="A67" s="13" t="s">
        <v>460</v>
      </c>
      <c r="B67" s="7" t="s">
        <v>462</v>
      </c>
      <c r="C67" s="13" t="s">
        <v>465</v>
      </c>
    </row>
    <row r="68">
      <c r="A68" s="13" t="s">
        <v>469</v>
      </c>
      <c r="B68" s="7" t="s">
        <v>470</v>
      </c>
      <c r="C68" s="13" t="s">
        <v>472</v>
      </c>
    </row>
    <row r="69">
      <c r="A69" s="13" t="s">
        <v>475</v>
      </c>
      <c r="B69" s="7" t="s">
        <v>477</v>
      </c>
      <c r="C69" s="13" t="s">
        <v>479</v>
      </c>
    </row>
    <row r="70">
      <c r="A70" s="13" t="s">
        <v>481</v>
      </c>
      <c r="B70" s="7" t="s">
        <v>483</v>
      </c>
      <c r="C70" s="13" t="s">
        <v>484</v>
      </c>
    </row>
    <row r="71">
      <c r="A71" s="13" t="s">
        <v>487</v>
      </c>
      <c r="B71" s="7" t="s">
        <v>489</v>
      </c>
      <c r="C71" s="13" t="s">
        <v>491</v>
      </c>
    </row>
    <row r="72">
      <c r="A72" s="13" t="s">
        <v>494</v>
      </c>
      <c r="B72" s="7" t="s">
        <v>495</v>
      </c>
      <c r="C72" s="13" t="s">
        <v>497</v>
      </c>
    </row>
    <row r="73">
      <c r="A73" s="13" t="s">
        <v>500</v>
      </c>
      <c r="B73" s="7" t="s">
        <v>503</v>
      </c>
      <c r="C73" s="13" t="s">
        <v>505</v>
      </c>
    </row>
    <row r="74">
      <c r="A74" s="13" t="s">
        <v>508</v>
      </c>
      <c r="B74" s="7" t="s">
        <v>509</v>
      </c>
      <c r="C74" s="13" t="s">
        <v>511</v>
      </c>
    </row>
    <row r="75">
      <c r="A75" s="13" t="s">
        <v>512</v>
      </c>
      <c r="B75" s="7" t="s">
        <v>513</v>
      </c>
      <c r="C75" s="13" t="s">
        <v>515</v>
      </c>
    </row>
    <row r="76">
      <c r="A76" s="13" t="s">
        <v>517</v>
      </c>
      <c r="B76" s="7" t="s">
        <v>519</v>
      </c>
      <c r="C76" s="13" t="s">
        <v>520</v>
      </c>
    </row>
    <row r="77">
      <c r="A77" s="13" t="s">
        <v>523</v>
      </c>
      <c r="B77" s="7" t="s">
        <v>524</v>
      </c>
      <c r="C77" s="13" t="s">
        <v>525</v>
      </c>
    </row>
    <row r="78">
      <c r="A78" s="13" t="s">
        <v>527</v>
      </c>
      <c r="B78" s="7" t="s">
        <v>528</v>
      </c>
      <c r="C78" s="13" t="s">
        <v>530</v>
      </c>
    </row>
    <row r="79">
      <c r="A79" s="13" t="s">
        <v>531</v>
      </c>
      <c r="B79" s="7" t="s">
        <v>533</v>
      </c>
      <c r="C79" s="13" t="s">
        <v>534</v>
      </c>
    </row>
    <row r="80">
      <c r="A80" s="13" t="s">
        <v>535</v>
      </c>
      <c r="B80" s="7" t="s">
        <v>536</v>
      </c>
      <c r="C80" s="13" t="s">
        <v>538</v>
      </c>
    </row>
    <row r="81">
      <c r="A81" s="13" t="s">
        <v>539</v>
      </c>
      <c r="B81" s="7" t="s">
        <v>541</v>
      </c>
      <c r="C81" s="13" t="s">
        <v>542</v>
      </c>
    </row>
    <row r="82">
      <c r="A82" s="13" t="s">
        <v>543</v>
      </c>
      <c r="B82" s="7" t="s">
        <v>544</v>
      </c>
      <c r="C82" s="13" t="s">
        <v>545</v>
      </c>
    </row>
    <row r="83">
      <c r="A83" s="13" t="s">
        <v>547</v>
      </c>
      <c r="B83" s="7" t="s">
        <v>548</v>
      </c>
      <c r="C83" s="13" t="s">
        <v>551</v>
      </c>
    </row>
    <row r="84">
      <c r="A84" s="13" t="s">
        <v>553</v>
      </c>
      <c r="B84" s="7" t="s">
        <v>554</v>
      </c>
      <c r="C84" s="13" t="s">
        <v>555</v>
      </c>
    </row>
    <row r="85">
      <c r="A85" s="13" t="s">
        <v>557</v>
      </c>
      <c r="B85" s="7" t="s">
        <v>558</v>
      </c>
      <c r="C85" s="13" t="s">
        <v>559</v>
      </c>
    </row>
    <row r="86">
      <c r="A86" s="13" t="s">
        <v>561</v>
      </c>
      <c r="B86" s="7" t="s">
        <v>562</v>
      </c>
      <c r="C86" s="13" t="s">
        <v>563</v>
      </c>
    </row>
    <row r="87">
      <c r="A87" s="13" t="s">
        <v>564</v>
      </c>
      <c r="B87" s="7" t="s">
        <v>566</v>
      </c>
      <c r="C87" s="13" t="s">
        <v>567</v>
      </c>
    </row>
    <row r="88">
      <c r="A88" s="13" t="s">
        <v>569</v>
      </c>
      <c r="B88" s="7" t="s">
        <v>570</v>
      </c>
      <c r="C88" s="13" t="s">
        <v>572</v>
      </c>
    </row>
    <row r="89">
      <c r="A89" s="13" t="s">
        <v>574</v>
      </c>
      <c r="B89" s="7" t="s">
        <v>575</v>
      </c>
      <c r="C89" s="13" t="s">
        <v>577</v>
      </c>
    </row>
    <row r="90">
      <c r="A90" s="13" t="s">
        <v>578</v>
      </c>
      <c r="B90" s="7" t="s">
        <v>579</v>
      </c>
      <c r="C90" s="13" t="s">
        <v>580</v>
      </c>
    </row>
    <row r="91">
      <c r="A91" s="13" t="s">
        <v>582</v>
      </c>
      <c r="B91" s="7" t="s">
        <v>583</v>
      </c>
      <c r="C91" s="13" t="s">
        <v>585</v>
      </c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0"/>
    <col customWidth="1" min="2" max="2" width="38.88"/>
    <col customWidth="1" min="3" max="3" width="32.25"/>
  </cols>
  <sheetData>
    <row r="1" ht="90.75" customHeight="1">
      <c r="A1" s="1" t="s">
        <v>0</v>
      </c>
      <c r="B1" s="1" t="s">
        <v>1</v>
      </c>
      <c r="C1" s="1" t="s">
        <v>2</v>
      </c>
    </row>
    <row r="2">
      <c r="A2" s="6" t="s">
        <v>219</v>
      </c>
      <c r="B2" s="10" t="s">
        <v>23</v>
      </c>
      <c r="C2" s="7" t="s">
        <v>26</v>
      </c>
    </row>
    <row r="3">
      <c r="A3" s="6" t="s">
        <v>226</v>
      </c>
      <c r="B3" s="10" t="s">
        <v>50</v>
      </c>
      <c r="C3" s="7" t="s">
        <v>52</v>
      </c>
    </row>
    <row r="4">
      <c r="A4" s="6" t="s">
        <v>232</v>
      </c>
      <c r="B4" s="10" t="s">
        <v>43</v>
      </c>
      <c r="C4" s="7" t="s">
        <v>45</v>
      </c>
    </row>
    <row r="5">
      <c r="A5" s="6" t="s">
        <v>238</v>
      </c>
      <c r="B5" s="10" t="s">
        <v>56</v>
      </c>
      <c r="C5" s="7" t="s">
        <v>58</v>
      </c>
    </row>
    <row r="6">
      <c r="A6" s="10" t="s">
        <v>246</v>
      </c>
      <c r="B6" s="6" t="s">
        <v>36</v>
      </c>
      <c r="C6" s="6" t="s">
        <v>38</v>
      </c>
    </row>
    <row r="7">
      <c r="A7" s="10" t="s">
        <v>254</v>
      </c>
      <c r="B7" s="6" t="s">
        <v>63</v>
      </c>
      <c r="C7" s="6" t="s">
        <v>65</v>
      </c>
    </row>
    <row r="8">
      <c r="A8" s="10" t="s">
        <v>261</v>
      </c>
      <c r="B8" s="6" t="s">
        <v>69</v>
      </c>
      <c r="C8" s="6" t="s">
        <v>72</v>
      </c>
    </row>
    <row r="9">
      <c r="A9" s="10" t="s">
        <v>268</v>
      </c>
      <c r="B9" s="6" t="s">
        <v>77</v>
      </c>
      <c r="C9" s="6" t="s">
        <v>79</v>
      </c>
    </row>
    <row r="10">
      <c r="A10" s="10" t="s">
        <v>275</v>
      </c>
      <c r="B10" s="7" t="s">
        <v>278</v>
      </c>
      <c r="C10" s="7" t="s">
        <v>280</v>
      </c>
    </row>
    <row r="11">
      <c r="A11" s="10" t="s">
        <v>283</v>
      </c>
      <c r="B11" s="7" t="s">
        <v>286</v>
      </c>
      <c r="C11" s="7" t="s">
        <v>288</v>
      </c>
    </row>
    <row r="12">
      <c r="A12" s="6" t="s">
        <v>293</v>
      </c>
      <c r="B12" s="10" t="s">
        <v>296</v>
      </c>
      <c r="C12" s="6" t="s">
        <v>298</v>
      </c>
    </row>
    <row r="13">
      <c r="A13" s="6" t="s">
        <v>301</v>
      </c>
      <c r="B13" s="10" t="s">
        <v>303</v>
      </c>
      <c r="C13" s="6" t="s">
        <v>307</v>
      </c>
    </row>
    <row r="14">
      <c r="A14" s="6" t="s">
        <v>310</v>
      </c>
      <c r="B14" s="10" t="s">
        <v>313</v>
      </c>
      <c r="C14" s="6" t="s">
        <v>315</v>
      </c>
    </row>
    <row r="15">
      <c r="A15" s="6" t="s">
        <v>320</v>
      </c>
      <c r="B15" s="10" t="s">
        <v>322</v>
      </c>
      <c r="C15" s="6" t="s">
        <v>325</v>
      </c>
    </row>
    <row r="16">
      <c r="A16" s="6" t="s">
        <v>328</v>
      </c>
      <c r="B16" s="10" t="s">
        <v>330</v>
      </c>
      <c r="C16" s="6" t="s">
        <v>333</v>
      </c>
    </row>
    <row r="17">
      <c r="A17" s="6" t="s">
        <v>337</v>
      </c>
      <c r="B17" s="10" t="s">
        <v>338</v>
      </c>
      <c r="C17" s="6" t="s">
        <v>341</v>
      </c>
    </row>
    <row r="18">
      <c r="A18" s="6" t="s">
        <v>346</v>
      </c>
      <c r="B18" s="10" t="s">
        <v>348</v>
      </c>
      <c r="C18" s="6" t="s">
        <v>351</v>
      </c>
    </row>
    <row r="19">
      <c r="A19" s="6" t="s">
        <v>354</v>
      </c>
      <c r="B19" s="10" t="s">
        <v>356</v>
      </c>
      <c r="C19" s="6" t="s">
        <v>359</v>
      </c>
    </row>
    <row r="20">
      <c r="A20" s="10" t="s">
        <v>363</v>
      </c>
      <c r="B20" s="7" t="s">
        <v>364</v>
      </c>
      <c r="C20" s="7" t="s">
        <v>368</v>
      </c>
    </row>
    <row r="21">
      <c r="A21" s="10" t="s">
        <v>371</v>
      </c>
      <c r="B21" s="7" t="s">
        <v>374</v>
      </c>
      <c r="C21" s="7" t="s">
        <v>376</v>
      </c>
    </row>
    <row r="22">
      <c r="A22" s="10" t="s">
        <v>380</v>
      </c>
      <c r="B22" s="7" t="s">
        <v>383</v>
      </c>
      <c r="C22" s="7" t="s">
        <v>388</v>
      </c>
    </row>
    <row r="23">
      <c r="A23" s="10" t="s">
        <v>391</v>
      </c>
      <c r="B23" s="7" t="s">
        <v>393</v>
      </c>
      <c r="C23" s="7" t="s">
        <v>396</v>
      </c>
    </row>
    <row r="24">
      <c r="A24" s="10" t="s">
        <v>398</v>
      </c>
      <c r="B24" s="7" t="s">
        <v>400</v>
      </c>
      <c r="C24" s="7" t="s">
        <v>402</v>
      </c>
    </row>
    <row r="25">
      <c r="A25" s="10" t="s">
        <v>404</v>
      </c>
      <c r="B25" s="7" t="s">
        <v>406</v>
      </c>
      <c r="C25" s="7" t="s">
        <v>408</v>
      </c>
    </row>
    <row r="26">
      <c r="A26" s="10" t="s">
        <v>411</v>
      </c>
      <c r="B26" s="7" t="s">
        <v>413</v>
      </c>
      <c r="C26" s="7" t="s">
        <v>415</v>
      </c>
    </row>
    <row r="27">
      <c r="A27" s="10" t="s">
        <v>418</v>
      </c>
      <c r="B27" s="7" t="s">
        <v>420</v>
      </c>
      <c r="C27" s="7" t="s">
        <v>422</v>
      </c>
    </row>
    <row r="28">
      <c r="A28" s="10" t="s">
        <v>425</v>
      </c>
      <c r="B28" s="7" t="s">
        <v>427</v>
      </c>
      <c r="C28" s="7" t="s">
        <v>430</v>
      </c>
    </row>
    <row r="29">
      <c r="A29" s="10" t="s">
        <v>431</v>
      </c>
      <c r="B29" s="7" t="s">
        <v>433</v>
      </c>
      <c r="C29" s="7" t="s">
        <v>436</v>
      </c>
    </row>
    <row r="30" ht="15.0" customHeight="1">
      <c r="A30" s="10" t="s">
        <v>439</v>
      </c>
      <c r="B30" s="7" t="s">
        <v>441</v>
      </c>
      <c r="C30" s="10" t="s">
        <v>443</v>
      </c>
    </row>
    <row r="31" ht="15.0" customHeight="1">
      <c r="A31" s="7" t="s">
        <v>445</v>
      </c>
      <c r="B31" s="7" t="s">
        <v>449</v>
      </c>
      <c r="C31" s="7" t="s">
        <v>451</v>
      </c>
    </row>
    <row r="32">
      <c r="A32" s="7" t="s">
        <v>454</v>
      </c>
      <c r="B32" s="7" t="s">
        <v>457</v>
      </c>
      <c r="C32" s="7" t="s">
        <v>459</v>
      </c>
    </row>
    <row r="33">
      <c r="A33" s="7" t="s">
        <v>463</v>
      </c>
      <c r="B33" s="7" t="s">
        <v>466</v>
      </c>
      <c r="C33" s="7" t="s">
        <v>468</v>
      </c>
    </row>
    <row r="34">
      <c r="A34" s="7" t="s">
        <v>471</v>
      </c>
      <c r="B34" s="7" t="s">
        <v>474</v>
      </c>
      <c r="C34" s="7" t="s">
        <v>476</v>
      </c>
    </row>
    <row r="35">
      <c r="A35" s="7" t="s">
        <v>478</v>
      </c>
      <c r="B35" s="7" t="s">
        <v>480</v>
      </c>
      <c r="C35" s="7" t="s">
        <v>482</v>
      </c>
    </row>
    <row r="36">
      <c r="A36" s="7" t="s">
        <v>485</v>
      </c>
      <c r="B36" s="7" t="s">
        <v>486</v>
      </c>
      <c r="C36" s="7" t="s">
        <v>488</v>
      </c>
    </row>
    <row r="37">
      <c r="A37" s="7" t="s">
        <v>490</v>
      </c>
      <c r="B37" s="7" t="s">
        <v>492</v>
      </c>
      <c r="C37" s="7" t="s">
        <v>493</v>
      </c>
    </row>
    <row r="38">
      <c r="A38" s="7" t="s">
        <v>496</v>
      </c>
      <c r="B38" s="7" t="s">
        <v>498</v>
      </c>
      <c r="C38" s="7" t="s">
        <v>499</v>
      </c>
    </row>
    <row r="39">
      <c r="A39" s="7" t="s">
        <v>502</v>
      </c>
      <c r="B39" s="7" t="s">
        <v>504</v>
      </c>
      <c r="C39" s="7" t="s">
        <v>507</v>
      </c>
    </row>
    <row r="40">
      <c r="A40" s="7" t="s">
        <v>516</v>
      </c>
      <c r="B40" s="7" t="s">
        <v>518</v>
      </c>
      <c r="C40" s="7" t="s">
        <v>521</v>
      </c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88"/>
    <col customWidth="1" min="2" max="2" width="25.5"/>
    <col customWidth="1" min="3" max="3" width="27.75"/>
  </cols>
  <sheetData>
    <row r="1" ht="83.25" customHeight="1">
      <c r="A1" s="1" t="s">
        <v>0</v>
      </c>
      <c r="B1" s="1" t="s">
        <v>1</v>
      </c>
      <c r="C1" s="1" t="s">
        <v>2</v>
      </c>
    </row>
    <row r="2">
      <c r="A2" s="7" t="s">
        <v>625</v>
      </c>
      <c r="B2" s="6" t="s">
        <v>626</v>
      </c>
      <c r="C2" s="10" t="s">
        <v>629</v>
      </c>
    </row>
    <row r="3">
      <c r="A3" s="7" t="s">
        <v>632</v>
      </c>
      <c r="B3" s="6" t="s">
        <v>634</v>
      </c>
      <c r="C3" s="6" t="s">
        <v>635</v>
      </c>
    </row>
    <row r="4">
      <c r="A4" s="7" t="s">
        <v>637</v>
      </c>
      <c r="B4" s="6" t="s">
        <v>639</v>
      </c>
      <c r="C4" s="6" t="s">
        <v>641</v>
      </c>
    </row>
    <row r="5">
      <c r="A5" s="7" t="s">
        <v>643</v>
      </c>
      <c r="B5" s="6" t="s">
        <v>645</v>
      </c>
      <c r="C5" s="10" t="s">
        <v>647</v>
      </c>
    </row>
    <row r="6">
      <c r="A6" s="7" t="s">
        <v>648</v>
      </c>
      <c r="B6" s="9" t="s">
        <v>649</v>
      </c>
      <c r="C6" s="6" t="s">
        <v>651</v>
      </c>
    </row>
    <row r="7">
      <c r="A7" s="7" t="s">
        <v>652</v>
      </c>
      <c r="B7" s="6" t="s">
        <v>653</v>
      </c>
      <c r="C7" s="6" t="s">
        <v>654</v>
      </c>
    </row>
    <row r="8">
      <c r="A8" s="7" t="s">
        <v>655</v>
      </c>
      <c r="B8" s="6" t="s">
        <v>657</v>
      </c>
      <c r="C8" s="6" t="s">
        <v>658</v>
      </c>
    </row>
    <row r="9">
      <c r="A9" s="7" t="s">
        <v>660</v>
      </c>
      <c r="B9" s="6" t="s">
        <v>661</v>
      </c>
      <c r="C9" s="6" t="s">
        <v>662</v>
      </c>
    </row>
    <row r="10">
      <c r="A10" s="7" t="s">
        <v>663</v>
      </c>
      <c r="B10" s="7" t="s">
        <v>665</v>
      </c>
      <c r="C10" s="7" t="s">
        <v>667</v>
      </c>
    </row>
    <row r="11">
      <c r="A11" s="7" t="s">
        <v>669</v>
      </c>
      <c r="B11" s="7" t="s">
        <v>671</v>
      </c>
      <c r="C11" s="7" t="s">
        <v>673</v>
      </c>
    </row>
    <row r="12">
      <c r="A12" s="7" t="s">
        <v>675</v>
      </c>
      <c r="B12" s="7" t="s">
        <v>676</v>
      </c>
      <c r="C12" s="7" t="s">
        <v>678</v>
      </c>
    </row>
    <row r="13">
      <c r="A13" s="7" t="s">
        <v>679</v>
      </c>
      <c r="B13" s="7" t="s">
        <v>680</v>
      </c>
      <c r="C13" s="7" t="s">
        <v>682</v>
      </c>
    </row>
    <row r="14">
      <c r="A14" s="7" t="s">
        <v>683</v>
      </c>
      <c r="B14" s="7" t="s">
        <v>685</v>
      </c>
      <c r="C14" s="7" t="s">
        <v>686</v>
      </c>
    </row>
    <row r="15">
      <c r="A15" s="7" t="s">
        <v>687</v>
      </c>
      <c r="B15" s="7" t="s">
        <v>688</v>
      </c>
      <c r="C15" s="7" t="s">
        <v>689</v>
      </c>
    </row>
    <row r="16">
      <c r="A16" s="7" t="s">
        <v>691</v>
      </c>
      <c r="B16" s="7" t="s">
        <v>692</v>
      </c>
      <c r="C16" s="7" t="s">
        <v>693</v>
      </c>
    </row>
    <row r="17">
      <c r="A17" s="7" t="s">
        <v>695</v>
      </c>
      <c r="B17" s="7" t="s">
        <v>697</v>
      </c>
      <c r="C17" s="7" t="s">
        <v>698</v>
      </c>
    </row>
    <row r="18">
      <c r="A18" s="7" t="s">
        <v>701</v>
      </c>
      <c r="B18" s="6" t="s">
        <v>702</v>
      </c>
      <c r="C18" s="6" t="s">
        <v>703</v>
      </c>
    </row>
    <row r="19">
      <c r="A19" s="7" t="s">
        <v>705</v>
      </c>
      <c r="B19" s="7" t="s">
        <v>706</v>
      </c>
      <c r="C19" s="7" t="s">
        <v>707</v>
      </c>
    </row>
    <row r="20">
      <c r="A20" s="7" t="s">
        <v>708</v>
      </c>
      <c r="B20" s="7" t="s">
        <v>709</v>
      </c>
      <c r="C20" s="7" t="s">
        <v>710</v>
      </c>
    </row>
    <row r="21">
      <c r="A21" s="7" t="s">
        <v>712</v>
      </c>
      <c r="B21" s="7" t="s">
        <v>713</v>
      </c>
      <c r="C21" s="7" t="s">
        <v>714</v>
      </c>
    </row>
    <row r="22">
      <c r="A22" s="7" t="s">
        <v>716</v>
      </c>
      <c r="B22" s="7" t="s">
        <v>717</v>
      </c>
      <c r="C22" s="10" t="s">
        <v>718</v>
      </c>
    </row>
    <row r="23">
      <c r="A23" s="7" t="s">
        <v>719</v>
      </c>
      <c r="B23" s="7" t="s">
        <v>720</v>
      </c>
      <c r="C23" s="6" t="s">
        <v>722</v>
      </c>
    </row>
    <row r="24">
      <c r="A24" s="7" t="s">
        <v>723</v>
      </c>
      <c r="B24" s="7" t="s">
        <v>724</v>
      </c>
      <c r="C24" s="6" t="s">
        <v>726</v>
      </c>
    </row>
    <row r="25">
      <c r="A25" s="7" t="s">
        <v>727</v>
      </c>
      <c r="B25" s="7" t="s">
        <v>728</v>
      </c>
      <c r="C25" s="6" t="s">
        <v>729</v>
      </c>
    </row>
    <row r="26">
      <c r="A26" s="7" t="s">
        <v>731</v>
      </c>
      <c r="B26" s="7" t="s">
        <v>733</v>
      </c>
      <c r="C26" s="6" t="s">
        <v>735</v>
      </c>
    </row>
    <row r="27">
      <c r="A27" s="7" t="s">
        <v>737</v>
      </c>
      <c r="B27" s="7" t="s">
        <v>738</v>
      </c>
      <c r="C27" s="6" t="s">
        <v>739</v>
      </c>
    </row>
    <row r="28">
      <c r="A28" s="7" t="s">
        <v>741</v>
      </c>
      <c r="B28" s="7" t="s">
        <v>742</v>
      </c>
      <c r="C28" s="6" t="s">
        <v>744</v>
      </c>
    </row>
    <row r="29">
      <c r="A29" s="7" t="s">
        <v>745</v>
      </c>
      <c r="B29" s="7" t="s">
        <v>746</v>
      </c>
      <c r="C29" s="6" t="s">
        <v>747</v>
      </c>
    </row>
    <row r="30">
      <c r="A30" s="7" t="s">
        <v>748</v>
      </c>
      <c r="B30" s="7" t="s">
        <v>750</v>
      </c>
      <c r="C30" s="6" t="s">
        <v>751</v>
      </c>
    </row>
    <row r="31">
      <c r="A31" s="7" t="s">
        <v>752</v>
      </c>
      <c r="B31" s="10" t="s">
        <v>754</v>
      </c>
      <c r="C31" s="6" t="s">
        <v>755</v>
      </c>
    </row>
    <row r="32">
      <c r="A32" s="7" t="s">
        <v>756</v>
      </c>
      <c r="B32" s="10" t="s">
        <v>757</v>
      </c>
      <c r="C32" s="6" t="s">
        <v>759</v>
      </c>
    </row>
    <row r="33">
      <c r="A33" s="7" t="s">
        <v>760</v>
      </c>
      <c r="B33" s="10" t="s">
        <v>762</v>
      </c>
      <c r="C33" s="6" t="s">
        <v>764</v>
      </c>
    </row>
    <row r="34">
      <c r="A34" s="7" t="s">
        <v>766</v>
      </c>
      <c r="B34" s="6" t="s">
        <v>634</v>
      </c>
      <c r="C34" s="6" t="s">
        <v>767</v>
      </c>
    </row>
    <row r="35">
      <c r="A35" s="7" t="s">
        <v>771</v>
      </c>
      <c r="B35" s="6" t="s">
        <v>772</v>
      </c>
      <c r="C35" s="6" t="s">
        <v>773</v>
      </c>
    </row>
    <row r="36">
      <c r="A36" s="7" t="s">
        <v>776</v>
      </c>
      <c r="B36" s="6" t="s">
        <v>778</v>
      </c>
      <c r="C36" s="6" t="s">
        <v>779</v>
      </c>
    </row>
    <row r="37">
      <c r="A37" s="7" t="s">
        <v>781</v>
      </c>
      <c r="B37" s="10" t="s">
        <v>782</v>
      </c>
      <c r="C37" s="10" t="s">
        <v>784</v>
      </c>
    </row>
    <row r="38">
      <c r="A38" s="7" t="s">
        <v>786</v>
      </c>
      <c r="B38" s="6" t="s">
        <v>787</v>
      </c>
      <c r="C38" s="6" t="s">
        <v>788</v>
      </c>
    </row>
    <row r="39">
      <c r="A39" s="7" t="s">
        <v>789</v>
      </c>
      <c r="B39" s="6" t="s">
        <v>790</v>
      </c>
      <c r="C39" s="6" t="s">
        <v>791</v>
      </c>
    </row>
    <row r="40">
      <c r="A40" s="7" t="s">
        <v>792</v>
      </c>
      <c r="B40" s="10" t="s">
        <v>793</v>
      </c>
      <c r="C40" s="10" t="s">
        <v>794</v>
      </c>
    </row>
    <row r="41">
      <c r="A41" s="7" t="s">
        <v>795</v>
      </c>
      <c r="B41" s="10" t="s">
        <v>797</v>
      </c>
      <c r="C41" s="10" t="s">
        <v>799</v>
      </c>
    </row>
    <row r="42">
      <c r="A42" s="7" t="s">
        <v>802</v>
      </c>
      <c r="B42" s="10" t="s">
        <v>803</v>
      </c>
      <c r="C42" s="10" t="s">
        <v>804</v>
      </c>
    </row>
    <row r="43">
      <c r="A43" s="7" t="s">
        <v>807</v>
      </c>
      <c r="B43" s="10" t="s">
        <v>808</v>
      </c>
      <c r="C43" s="10" t="s">
        <v>810</v>
      </c>
    </row>
    <row r="44">
      <c r="A44" s="7" t="s">
        <v>813</v>
      </c>
      <c r="B44" s="10" t="s">
        <v>814</v>
      </c>
      <c r="C44" s="10" t="s">
        <v>816</v>
      </c>
    </row>
    <row r="45">
      <c r="A45" s="7" t="s">
        <v>818</v>
      </c>
      <c r="B45" s="10" t="s">
        <v>819</v>
      </c>
      <c r="C45" s="10" t="s">
        <v>821</v>
      </c>
    </row>
    <row r="46">
      <c r="A46" s="7" t="s">
        <v>823</v>
      </c>
      <c r="B46" s="7" t="s">
        <v>824</v>
      </c>
      <c r="C46" s="7" t="s">
        <v>826</v>
      </c>
    </row>
    <row r="47">
      <c r="A47" s="7" t="s">
        <v>829</v>
      </c>
      <c r="B47" s="7" t="s">
        <v>830</v>
      </c>
      <c r="C47" s="7" t="s">
        <v>831</v>
      </c>
    </row>
    <row r="48">
      <c r="A48" s="7" t="s">
        <v>833</v>
      </c>
      <c r="B48" s="7" t="s">
        <v>800</v>
      </c>
      <c r="C48" s="7" t="s">
        <v>805</v>
      </c>
    </row>
    <row r="49">
      <c r="A49" s="7" t="s">
        <v>836</v>
      </c>
      <c r="B49" s="7" t="s">
        <v>812</v>
      </c>
      <c r="C49" s="7" t="s">
        <v>815</v>
      </c>
    </row>
    <row r="50">
      <c r="A50" s="7" t="s">
        <v>840</v>
      </c>
      <c r="B50" s="10" t="s">
        <v>825</v>
      </c>
      <c r="C50" s="10" t="s">
        <v>828</v>
      </c>
    </row>
    <row r="51">
      <c r="A51" s="7" t="s">
        <v>844</v>
      </c>
      <c r="B51" s="10" t="s">
        <v>845</v>
      </c>
      <c r="C51" s="6" t="s">
        <v>847</v>
      </c>
    </row>
    <row r="52">
      <c r="A52" s="7" t="s">
        <v>849</v>
      </c>
      <c r="B52" s="10" t="s">
        <v>850</v>
      </c>
      <c r="C52" s="6" t="s">
        <v>842</v>
      </c>
    </row>
    <row r="53">
      <c r="A53" s="7" t="s">
        <v>852</v>
      </c>
      <c r="B53" s="10" t="s">
        <v>854</v>
      </c>
      <c r="C53" s="6" t="s">
        <v>848</v>
      </c>
    </row>
    <row r="54">
      <c r="A54" s="7" t="s">
        <v>856</v>
      </c>
      <c r="B54" s="10" t="s">
        <v>858</v>
      </c>
      <c r="C54" s="6" t="s">
        <v>860</v>
      </c>
    </row>
    <row r="55">
      <c r="A55" s="7" t="s">
        <v>862</v>
      </c>
      <c r="B55" s="10" t="s">
        <v>864</v>
      </c>
      <c r="C55" s="6" t="s">
        <v>855</v>
      </c>
    </row>
    <row r="56">
      <c r="A56" s="7" t="s">
        <v>868</v>
      </c>
      <c r="B56" s="10" t="s">
        <v>870</v>
      </c>
      <c r="C56" s="6" t="s">
        <v>871</v>
      </c>
    </row>
    <row r="57">
      <c r="A57" s="7" t="s">
        <v>873</v>
      </c>
      <c r="B57" s="10" t="s">
        <v>875</v>
      </c>
      <c r="C57" s="6" t="s">
        <v>877</v>
      </c>
    </row>
    <row r="58">
      <c r="A58" s="7" t="s">
        <v>878</v>
      </c>
      <c r="B58" s="10" t="s">
        <v>880</v>
      </c>
      <c r="C58" s="6" t="s">
        <v>881</v>
      </c>
    </row>
    <row r="59">
      <c r="A59" s="7" t="s">
        <v>882</v>
      </c>
      <c r="B59" s="10" t="s">
        <v>883</v>
      </c>
      <c r="C59" s="6" t="s">
        <v>884</v>
      </c>
    </row>
    <row r="60">
      <c r="A60" s="7" t="s">
        <v>885</v>
      </c>
      <c r="B60" s="10" t="s">
        <v>886</v>
      </c>
      <c r="C60" s="6" t="s">
        <v>887</v>
      </c>
    </row>
    <row r="61">
      <c r="A61" s="7" t="s">
        <v>888</v>
      </c>
      <c r="B61" s="10" t="s">
        <v>890</v>
      </c>
      <c r="C61" s="6" t="s">
        <v>892</v>
      </c>
    </row>
    <row r="62">
      <c r="A62" s="7" t="s">
        <v>893</v>
      </c>
      <c r="B62" s="10" t="s">
        <v>895</v>
      </c>
      <c r="C62" s="6" t="s">
        <v>896</v>
      </c>
      <c r="D62" s="10"/>
    </row>
    <row r="63">
      <c r="A63" s="7" t="s">
        <v>901</v>
      </c>
      <c r="B63" s="10" t="s">
        <v>902</v>
      </c>
      <c r="C63" s="6" t="s">
        <v>904</v>
      </c>
      <c r="D63" s="10"/>
    </row>
    <row r="64">
      <c r="A64" s="7" t="s">
        <v>905</v>
      </c>
      <c r="B64" s="10" t="s">
        <v>906</v>
      </c>
      <c r="C64" s="6" t="s">
        <v>908</v>
      </c>
    </row>
    <row r="65">
      <c r="A65" s="7" t="s">
        <v>909</v>
      </c>
      <c r="B65" s="10" t="s">
        <v>910</v>
      </c>
      <c r="C65" s="6" t="s">
        <v>911</v>
      </c>
    </row>
    <row r="66">
      <c r="A66" s="7" t="s">
        <v>912</v>
      </c>
      <c r="B66" s="10" t="s">
        <v>915</v>
      </c>
      <c r="C66" s="6" t="s">
        <v>916</v>
      </c>
    </row>
    <row r="67">
      <c r="A67" s="7" t="s">
        <v>917</v>
      </c>
      <c r="B67" s="10" t="s">
        <v>918</v>
      </c>
      <c r="C67" s="6" t="s">
        <v>920</v>
      </c>
    </row>
    <row r="68">
      <c r="A68" s="7" t="s">
        <v>921</v>
      </c>
      <c r="B68" s="10" t="s">
        <v>923</v>
      </c>
      <c r="C68" s="6" t="s">
        <v>924</v>
      </c>
    </row>
    <row r="69">
      <c r="A69" s="7" t="s">
        <v>927</v>
      </c>
      <c r="B69" s="10" t="s">
        <v>929</v>
      </c>
      <c r="C69" s="6" t="s">
        <v>930</v>
      </c>
    </row>
    <row r="70">
      <c r="A70" s="7" t="s">
        <v>932</v>
      </c>
      <c r="B70" s="10" t="s">
        <v>933</v>
      </c>
      <c r="C70" s="6" t="s">
        <v>934</v>
      </c>
    </row>
    <row r="71">
      <c r="A71" s="7" t="s">
        <v>936</v>
      </c>
      <c r="B71" s="10" t="s">
        <v>938</v>
      </c>
      <c r="C71" s="6" t="s">
        <v>939</v>
      </c>
    </row>
    <row r="72">
      <c r="A72" s="7" t="s">
        <v>941</v>
      </c>
      <c r="B72" s="10" t="s">
        <v>942</v>
      </c>
      <c r="C72" s="10" t="s">
        <v>943</v>
      </c>
    </row>
    <row r="73">
      <c r="A73" s="7" t="s">
        <v>945</v>
      </c>
      <c r="B73" s="10" t="s">
        <v>947</v>
      </c>
      <c r="C73" s="6" t="s">
        <v>949</v>
      </c>
    </row>
    <row r="74">
      <c r="A74" s="7" t="s">
        <v>950</v>
      </c>
      <c r="B74" s="10" t="s">
        <v>951</v>
      </c>
      <c r="C74" s="6" t="s">
        <v>952</v>
      </c>
    </row>
    <row r="75">
      <c r="A75" s="7" t="s">
        <v>954</v>
      </c>
      <c r="B75" s="10" t="s">
        <v>956</v>
      </c>
      <c r="C75" s="6" t="s">
        <v>957</v>
      </c>
    </row>
    <row r="76">
      <c r="A76" s="7" t="s">
        <v>960</v>
      </c>
      <c r="B76" s="10" t="s">
        <v>962</v>
      </c>
      <c r="C76" s="6" t="s">
        <v>964</v>
      </c>
    </row>
    <row r="77">
      <c r="A77" s="7" t="s">
        <v>965</v>
      </c>
      <c r="B77" s="10" t="s">
        <v>967</v>
      </c>
      <c r="C77" s="6" t="s">
        <v>968</v>
      </c>
    </row>
    <row r="78">
      <c r="A78" s="7" t="s">
        <v>970</v>
      </c>
      <c r="B78" s="10" t="s">
        <v>971</v>
      </c>
      <c r="C78" s="6" t="s">
        <v>972</v>
      </c>
    </row>
    <row r="79">
      <c r="A79" s="7" t="s">
        <v>974</v>
      </c>
      <c r="B79" s="10" t="s">
        <v>975</v>
      </c>
      <c r="C79" s="10" t="s">
        <v>976</v>
      </c>
    </row>
    <row r="80">
      <c r="A80" s="7" t="s">
        <v>978</v>
      </c>
      <c r="B80" s="10" t="s">
        <v>979</v>
      </c>
      <c r="C80" s="6" t="s">
        <v>980</v>
      </c>
    </row>
    <row r="81">
      <c r="A81" s="7" t="s">
        <v>982</v>
      </c>
      <c r="B81" s="10" t="s">
        <v>983</v>
      </c>
      <c r="C81" s="6" t="s">
        <v>985</v>
      </c>
    </row>
    <row r="82">
      <c r="A82" s="7" t="s">
        <v>986</v>
      </c>
      <c r="B82" s="10" t="s">
        <v>987</v>
      </c>
      <c r="C82" s="6" t="s">
        <v>989</v>
      </c>
    </row>
    <row r="83">
      <c r="A83" s="7" t="s">
        <v>990</v>
      </c>
      <c r="B83" s="10" t="s">
        <v>992</v>
      </c>
      <c r="C83" s="6" t="s">
        <v>993</v>
      </c>
    </row>
    <row r="84">
      <c r="A84" s="7" t="s">
        <v>995</v>
      </c>
      <c r="B84" s="10" t="s">
        <v>997</v>
      </c>
      <c r="C84" s="10" t="s">
        <v>998</v>
      </c>
    </row>
    <row r="85">
      <c r="A85" s="7" t="s">
        <v>1000</v>
      </c>
      <c r="B85" s="10" t="s">
        <v>1001</v>
      </c>
      <c r="C85" s="6" t="s">
        <v>1002</v>
      </c>
    </row>
    <row r="86">
      <c r="A86" s="7" t="s">
        <v>1003</v>
      </c>
      <c r="B86" s="10" t="s">
        <v>1004</v>
      </c>
      <c r="C86" s="6" t="s">
        <v>1005</v>
      </c>
    </row>
    <row r="87">
      <c r="A87" s="7" t="s">
        <v>1007</v>
      </c>
      <c r="B87" s="10" t="s">
        <v>1009</v>
      </c>
      <c r="C87" s="10" t="s">
        <v>1010</v>
      </c>
    </row>
    <row r="88">
      <c r="A88" s="7" t="s">
        <v>1012</v>
      </c>
      <c r="B88" s="10" t="s">
        <v>1013</v>
      </c>
      <c r="C88" s="10" t="s">
        <v>1014</v>
      </c>
    </row>
    <row r="89">
      <c r="A89" s="7" t="s">
        <v>1015</v>
      </c>
      <c r="B89" s="10" t="s">
        <v>1016</v>
      </c>
      <c r="C89" s="10" t="s">
        <v>1017</v>
      </c>
    </row>
    <row r="90">
      <c r="A90" s="7" t="s">
        <v>1019</v>
      </c>
      <c r="B90" s="10" t="s">
        <v>1021</v>
      </c>
      <c r="C90" s="6" t="s">
        <v>1023</v>
      </c>
    </row>
    <row r="91">
      <c r="A91" s="7" t="s">
        <v>1025</v>
      </c>
      <c r="B91" s="10" t="s">
        <v>1027</v>
      </c>
      <c r="C91" s="6" t="s">
        <v>1029</v>
      </c>
    </row>
    <row r="92">
      <c r="A92" s="7" t="s">
        <v>1030</v>
      </c>
      <c r="B92" s="10" t="s">
        <v>1032</v>
      </c>
      <c r="C92" s="10" t="s">
        <v>1040</v>
      </c>
    </row>
    <row r="93">
      <c r="A93" s="7" t="s">
        <v>1042</v>
      </c>
      <c r="B93" s="10" t="s">
        <v>1043</v>
      </c>
      <c r="C93" s="10" t="s">
        <v>1044</v>
      </c>
    </row>
    <row r="94">
      <c r="A94" s="7" t="s">
        <v>1045</v>
      </c>
      <c r="B94" s="10" t="s">
        <v>1047</v>
      </c>
      <c r="C94" s="10" t="s">
        <v>1048</v>
      </c>
    </row>
    <row r="95">
      <c r="A95" s="7" t="s">
        <v>1049</v>
      </c>
      <c r="B95" s="10" t="s">
        <v>1051</v>
      </c>
      <c r="C95" s="10" t="s">
        <v>1052</v>
      </c>
    </row>
    <row r="96">
      <c r="A96" s="7" t="s">
        <v>1053</v>
      </c>
      <c r="B96" s="10" t="s">
        <v>1055</v>
      </c>
      <c r="C96" s="10" t="s">
        <v>1056</v>
      </c>
    </row>
    <row r="97">
      <c r="A97" s="7" t="s">
        <v>1057</v>
      </c>
      <c r="B97" s="10" t="s">
        <v>1059</v>
      </c>
      <c r="C97" s="10" t="s">
        <v>1060</v>
      </c>
    </row>
    <row r="98">
      <c r="A98" s="7" t="s">
        <v>1061</v>
      </c>
      <c r="B98" s="10" t="s">
        <v>1064</v>
      </c>
      <c r="C98" s="10" t="s">
        <v>1065</v>
      </c>
    </row>
    <row r="99">
      <c r="A99" s="7" t="s">
        <v>1068</v>
      </c>
      <c r="B99" s="10" t="s">
        <v>1069</v>
      </c>
      <c r="C99" s="10" t="s">
        <v>1070</v>
      </c>
    </row>
    <row r="100">
      <c r="A100" s="7" t="s">
        <v>1072</v>
      </c>
      <c r="B100" s="10" t="s">
        <v>1073</v>
      </c>
      <c r="C100" s="10" t="s">
        <v>1074</v>
      </c>
    </row>
    <row r="101">
      <c r="A101" s="7" t="s">
        <v>1076</v>
      </c>
      <c r="B101" s="10" t="s">
        <v>1077</v>
      </c>
      <c r="C101" s="10" t="s">
        <v>1078</v>
      </c>
    </row>
    <row r="102">
      <c r="A102" s="7" t="s">
        <v>1080</v>
      </c>
      <c r="B102" s="10" t="s">
        <v>1082</v>
      </c>
      <c r="C102" s="10" t="s">
        <v>1084</v>
      </c>
    </row>
    <row r="103">
      <c r="A103" s="7" t="s">
        <v>1085</v>
      </c>
      <c r="B103" s="10" t="s">
        <v>1087</v>
      </c>
      <c r="C103" s="10" t="s">
        <v>1088</v>
      </c>
    </row>
    <row r="104">
      <c r="A104" s="7" t="s">
        <v>1089</v>
      </c>
      <c r="B104" s="10" t="s">
        <v>1090</v>
      </c>
      <c r="C104" s="6" t="s">
        <v>1091</v>
      </c>
    </row>
    <row r="105">
      <c r="A105" s="7" t="s">
        <v>1093</v>
      </c>
      <c r="B105" s="10" t="s">
        <v>1094</v>
      </c>
      <c r="C105" s="6" t="s">
        <v>1095</v>
      </c>
    </row>
    <row r="106">
      <c r="A106" s="7" t="s">
        <v>1096</v>
      </c>
      <c r="B106" s="10" t="s">
        <v>1033</v>
      </c>
      <c r="C106" s="6" t="s">
        <v>1034</v>
      </c>
    </row>
    <row r="107">
      <c r="A107" s="7" t="s">
        <v>1098</v>
      </c>
      <c r="B107" s="10" t="s">
        <v>1100</v>
      </c>
      <c r="C107" s="6" t="s">
        <v>1101</v>
      </c>
    </row>
    <row r="108">
      <c r="A108" s="7" t="s">
        <v>1103</v>
      </c>
      <c r="B108" s="10" t="s">
        <v>1105</v>
      </c>
      <c r="C108" s="10" t="s">
        <v>1108</v>
      </c>
    </row>
    <row r="109">
      <c r="A109" s="7" t="s">
        <v>1112</v>
      </c>
      <c r="B109" s="10" t="s">
        <v>1113</v>
      </c>
      <c r="C109" s="6" t="s">
        <v>1115</v>
      </c>
    </row>
    <row r="110">
      <c r="A110" s="7" t="s">
        <v>1117</v>
      </c>
      <c r="B110" s="10" t="s">
        <v>1122</v>
      </c>
      <c r="C110" s="6" t="s">
        <v>1124</v>
      </c>
    </row>
    <row r="111">
      <c r="A111" s="7" t="s">
        <v>1126</v>
      </c>
      <c r="B111" s="10" t="s">
        <v>1128</v>
      </c>
      <c r="C111" s="6" t="s">
        <v>1129</v>
      </c>
    </row>
    <row r="112">
      <c r="A112" s="7" t="s">
        <v>1131</v>
      </c>
      <c r="B112" s="10" t="s">
        <v>1133</v>
      </c>
      <c r="C112" s="6" t="s">
        <v>1134</v>
      </c>
    </row>
    <row r="113">
      <c r="A113" s="7" t="s">
        <v>1136</v>
      </c>
      <c r="B113" s="10" t="s">
        <v>1137</v>
      </c>
      <c r="C113" s="6" t="s">
        <v>1139</v>
      </c>
    </row>
    <row r="114">
      <c r="A114" s="7" t="s">
        <v>1141</v>
      </c>
      <c r="B114" s="10" t="s">
        <v>1143</v>
      </c>
      <c r="C114" s="6" t="s">
        <v>1144</v>
      </c>
    </row>
    <row r="115">
      <c r="A115" s="7" t="s">
        <v>1147</v>
      </c>
      <c r="B115" s="10" t="s">
        <v>1149</v>
      </c>
      <c r="C115" s="6" t="s">
        <v>1152</v>
      </c>
    </row>
    <row r="116">
      <c r="A116" s="7" t="s">
        <v>1155</v>
      </c>
      <c r="B116" s="7" t="s">
        <v>1157</v>
      </c>
      <c r="C116" s="7" t="s">
        <v>1158</v>
      </c>
    </row>
    <row r="117">
      <c r="A117" s="7" t="s">
        <v>1159</v>
      </c>
      <c r="B117" s="7" t="s">
        <v>1160</v>
      </c>
      <c r="C117" s="7" t="s">
        <v>1162</v>
      </c>
    </row>
    <row r="118">
      <c r="A118" s="15" t="s">
        <v>1165</v>
      </c>
      <c r="B118" s="7" t="s">
        <v>1174</v>
      </c>
      <c r="C118" s="7" t="s">
        <v>1177</v>
      </c>
    </row>
    <row r="119">
      <c r="A119" s="7" t="s">
        <v>1180</v>
      </c>
      <c r="B119" s="7" t="s">
        <v>1182</v>
      </c>
      <c r="C119" s="7" t="s">
        <v>1185</v>
      </c>
    </row>
    <row r="120">
      <c r="A120" s="7" t="s">
        <v>1188</v>
      </c>
      <c r="B120" s="7" t="s">
        <v>1190</v>
      </c>
      <c r="C120" s="7" t="s">
        <v>1192</v>
      </c>
    </row>
    <row r="121">
      <c r="A121" s="7" t="s">
        <v>1193</v>
      </c>
      <c r="B121" s="7" t="s">
        <v>1196</v>
      </c>
      <c r="C121" s="7" t="s">
        <v>1198</v>
      </c>
    </row>
    <row r="122">
      <c r="A122" s="7" t="s">
        <v>1199</v>
      </c>
      <c r="B122" s="7" t="s">
        <v>1201</v>
      </c>
      <c r="C122" s="7" t="s">
        <v>1202</v>
      </c>
    </row>
    <row r="123">
      <c r="A123" s="7" t="s">
        <v>1204</v>
      </c>
      <c r="B123" s="7" t="s">
        <v>1209</v>
      </c>
      <c r="C123" s="7" t="s">
        <v>1210</v>
      </c>
    </row>
    <row r="124">
      <c r="A124" s="7" t="s">
        <v>1212</v>
      </c>
      <c r="B124" s="7" t="s">
        <v>1214</v>
      </c>
      <c r="C124" s="7" t="s">
        <v>1215</v>
      </c>
    </row>
    <row r="125">
      <c r="A125" s="7" t="s">
        <v>1217</v>
      </c>
      <c r="B125" s="9" t="s">
        <v>1218</v>
      </c>
      <c r="C125" s="7" t="s">
        <v>1220</v>
      </c>
    </row>
    <row r="126">
      <c r="A126" s="7" t="s">
        <v>1222</v>
      </c>
      <c r="B126" s="9" t="s">
        <v>1224</v>
      </c>
      <c r="C126" s="7" t="s">
        <v>1225</v>
      </c>
    </row>
    <row r="127">
      <c r="A127" s="7" t="s">
        <v>1226</v>
      </c>
      <c r="B127" s="9" t="s">
        <v>1227</v>
      </c>
      <c r="C127" s="7" t="s">
        <v>1228</v>
      </c>
    </row>
    <row r="128">
      <c r="A128" s="7" t="s">
        <v>1229</v>
      </c>
      <c r="B128" s="10" t="s">
        <v>1230</v>
      </c>
      <c r="C128" s="7" t="s">
        <v>1231</v>
      </c>
    </row>
    <row r="129">
      <c r="A129" s="7" t="s">
        <v>1217</v>
      </c>
      <c r="B129" s="7" t="s">
        <v>1233</v>
      </c>
      <c r="C129" s="7" t="s">
        <v>1234</v>
      </c>
    </row>
    <row r="130">
      <c r="A130" s="7" t="s">
        <v>1222</v>
      </c>
      <c r="B130" s="7" t="s">
        <v>1236</v>
      </c>
      <c r="C130" s="7" t="s">
        <v>1238</v>
      </c>
    </row>
    <row r="131">
      <c r="A131" s="7" t="s">
        <v>1226</v>
      </c>
      <c r="B131" s="7" t="s">
        <v>1242</v>
      </c>
      <c r="C131" s="7" t="s">
        <v>1244</v>
      </c>
    </row>
    <row r="132">
      <c r="A132" s="7" t="s">
        <v>1229</v>
      </c>
      <c r="B132" s="7" t="s">
        <v>1247</v>
      </c>
      <c r="C132" s="7" t="s">
        <v>1248</v>
      </c>
    </row>
    <row r="133">
      <c r="A133" s="7" t="s">
        <v>1251</v>
      </c>
      <c r="B133" s="7" t="s">
        <v>1253</v>
      </c>
      <c r="C133" s="7" t="s">
        <v>1255</v>
      </c>
    </row>
    <row r="134">
      <c r="A134" s="7" t="s">
        <v>1257</v>
      </c>
      <c r="B134" s="6" t="s">
        <v>845</v>
      </c>
      <c r="C134" s="7" t="s">
        <v>1260</v>
      </c>
    </row>
    <row r="135">
      <c r="A135" s="7" t="s">
        <v>1261</v>
      </c>
      <c r="B135" s="6" t="s">
        <v>850</v>
      </c>
      <c r="C135" s="7" t="s">
        <v>1266</v>
      </c>
    </row>
    <row r="136">
      <c r="A136" s="7" t="s">
        <v>1268</v>
      </c>
      <c r="B136" s="7" t="s">
        <v>1271</v>
      </c>
      <c r="C136" s="7" t="s">
        <v>1273</v>
      </c>
    </row>
    <row r="137">
      <c r="A137" s="7" t="s">
        <v>1277</v>
      </c>
      <c r="B137" s="6" t="s">
        <v>1280</v>
      </c>
      <c r="C137" s="7" t="s">
        <v>1281</v>
      </c>
    </row>
    <row r="138">
      <c r="A138" s="7" t="s">
        <v>1284</v>
      </c>
      <c r="B138" s="6" t="s">
        <v>1286</v>
      </c>
      <c r="C138" s="7" t="s">
        <v>1288</v>
      </c>
    </row>
    <row r="139">
      <c r="A139" s="7" t="s">
        <v>1290</v>
      </c>
      <c r="B139" s="6" t="s">
        <v>1292</v>
      </c>
      <c r="C139" s="7" t="s">
        <v>1294</v>
      </c>
    </row>
    <row r="140">
      <c r="A140" s="7" t="s">
        <v>1297</v>
      </c>
      <c r="B140" s="6" t="s">
        <v>1300</v>
      </c>
      <c r="C140" s="7" t="s">
        <v>1301</v>
      </c>
    </row>
    <row r="141">
      <c r="A141" s="7" t="s">
        <v>1303</v>
      </c>
      <c r="B141" s="6" t="s">
        <v>1305</v>
      </c>
      <c r="C141" s="7" t="s">
        <v>1306</v>
      </c>
    </row>
    <row r="142">
      <c r="A142" s="7" t="s">
        <v>1308</v>
      </c>
      <c r="B142" s="6" t="s">
        <v>1310</v>
      </c>
      <c r="C142" s="7" t="s">
        <v>1311</v>
      </c>
    </row>
    <row r="143">
      <c r="A143" s="7" t="s">
        <v>1314</v>
      </c>
      <c r="B143" s="7" t="s">
        <v>1315</v>
      </c>
      <c r="C143" s="7" t="s">
        <v>1316</v>
      </c>
    </row>
    <row r="144">
      <c r="A144" s="7" t="s">
        <v>1318</v>
      </c>
      <c r="B144" s="10" t="s">
        <v>1319</v>
      </c>
      <c r="C144" s="7" t="s">
        <v>1320</v>
      </c>
    </row>
    <row r="145">
      <c r="A145" s="7" t="s">
        <v>1321</v>
      </c>
      <c r="B145" s="10" t="s">
        <v>1323</v>
      </c>
      <c r="C145" s="7" t="s">
        <v>1324</v>
      </c>
    </row>
    <row r="146">
      <c r="A146" s="7" t="s">
        <v>1325</v>
      </c>
      <c r="B146" s="10" t="s">
        <v>1327</v>
      </c>
      <c r="C146" s="7" t="s">
        <v>1328</v>
      </c>
    </row>
    <row r="147">
      <c r="A147" s="7" t="s">
        <v>1330</v>
      </c>
      <c r="B147" s="7" t="s">
        <v>1331</v>
      </c>
      <c r="C147" s="7" t="s">
        <v>1332</v>
      </c>
    </row>
    <row r="148">
      <c r="A148" s="7" t="s">
        <v>1333</v>
      </c>
      <c r="B148" s="10" t="s">
        <v>1334</v>
      </c>
      <c r="C148" s="7" t="s">
        <v>1336</v>
      </c>
    </row>
    <row r="149">
      <c r="A149" s="7" t="s">
        <v>1339</v>
      </c>
      <c r="B149" s="10" t="s">
        <v>1343</v>
      </c>
      <c r="C149" s="7" t="s">
        <v>1346</v>
      </c>
    </row>
    <row r="150">
      <c r="A150" s="7" t="s">
        <v>1348</v>
      </c>
      <c r="B150" s="7" t="s">
        <v>1350</v>
      </c>
      <c r="C150" s="7" t="s">
        <v>1352</v>
      </c>
    </row>
    <row r="151">
      <c r="A151" s="7" t="s">
        <v>1353</v>
      </c>
      <c r="B151" s="10" t="s">
        <v>1355</v>
      </c>
      <c r="C151" s="7" t="s">
        <v>1357</v>
      </c>
    </row>
    <row r="152">
      <c r="A152" s="7" t="s">
        <v>1359</v>
      </c>
      <c r="B152" s="10" t="s">
        <v>1361</v>
      </c>
      <c r="C152" s="7" t="s">
        <v>1363</v>
      </c>
    </row>
    <row r="153">
      <c r="A153" s="7" t="s">
        <v>1365</v>
      </c>
      <c r="B153" s="10" t="s">
        <v>1366</v>
      </c>
      <c r="C153" s="7" t="s">
        <v>1367</v>
      </c>
    </row>
    <row r="154">
      <c r="A154" s="7" t="s">
        <v>1370</v>
      </c>
      <c r="B154" s="10" t="s">
        <v>1372</v>
      </c>
      <c r="C154" s="7" t="s">
        <v>1374</v>
      </c>
    </row>
    <row r="155">
      <c r="A155" s="7" t="s">
        <v>1377</v>
      </c>
      <c r="B155" s="6" t="s">
        <v>296</v>
      </c>
      <c r="C155" s="6" t="s">
        <v>298</v>
      </c>
    </row>
    <row r="156">
      <c r="A156" s="7" t="s">
        <v>1381</v>
      </c>
      <c r="B156" s="6" t="s">
        <v>303</v>
      </c>
      <c r="C156" s="6" t="s">
        <v>307</v>
      </c>
    </row>
    <row r="157">
      <c r="A157" s="7" t="s">
        <v>1385</v>
      </c>
      <c r="B157" s="6" t="s">
        <v>313</v>
      </c>
      <c r="C157" s="6" t="s">
        <v>315</v>
      </c>
    </row>
    <row r="158">
      <c r="A158" s="7" t="s">
        <v>1387</v>
      </c>
      <c r="B158" s="6" t="s">
        <v>322</v>
      </c>
      <c r="C158" s="6" t="s">
        <v>325</v>
      </c>
    </row>
    <row r="159">
      <c r="A159" s="7" t="s">
        <v>1388</v>
      </c>
      <c r="B159" s="6" t="s">
        <v>330</v>
      </c>
      <c r="C159" s="6" t="s">
        <v>333</v>
      </c>
    </row>
    <row r="160">
      <c r="A160" s="7" t="s">
        <v>1389</v>
      </c>
      <c r="B160" s="6" t="s">
        <v>338</v>
      </c>
      <c r="C160" s="6" t="s">
        <v>341</v>
      </c>
    </row>
    <row r="161">
      <c r="A161" s="7" t="s">
        <v>1390</v>
      </c>
      <c r="B161" s="6" t="s">
        <v>348</v>
      </c>
      <c r="C161" s="6" t="s">
        <v>351</v>
      </c>
    </row>
    <row r="162">
      <c r="A162" s="7" t="s">
        <v>1391</v>
      </c>
      <c r="B162" s="6" t="s">
        <v>356</v>
      </c>
      <c r="C162" s="6" t="s">
        <v>359</v>
      </c>
    </row>
    <row r="163">
      <c r="A163" s="7" t="s">
        <v>1394</v>
      </c>
      <c r="B163" s="6" t="s">
        <v>1395</v>
      </c>
      <c r="C163" s="6" t="s">
        <v>1396</v>
      </c>
    </row>
    <row r="164">
      <c r="A164" s="7" t="s">
        <v>1397</v>
      </c>
      <c r="B164" s="6" t="s">
        <v>1398</v>
      </c>
      <c r="C164" s="6" t="s">
        <v>1399</v>
      </c>
    </row>
    <row r="165">
      <c r="A165" s="7" t="s">
        <v>1400</v>
      </c>
      <c r="B165" s="6" t="s">
        <v>1401</v>
      </c>
      <c r="C165" s="6" t="s">
        <v>1402</v>
      </c>
    </row>
    <row r="166">
      <c r="A166" s="7" t="s">
        <v>1403</v>
      </c>
      <c r="B166" s="6" t="s">
        <v>1404</v>
      </c>
      <c r="C166" s="6" t="s">
        <v>1405</v>
      </c>
    </row>
    <row r="167">
      <c r="A167" s="7" t="s">
        <v>1406</v>
      </c>
      <c r="B167" s="10" t="s">
        <v>1407</v>
      </c>
      <c r="C167" s="10" t="s">
        <v>1408</v>
      </c>
    </row>
    <row r="168">
      <c r="A168" s="7" t="s">
        <v>1409</v>
      </c>
      <c r="B168" s="10" t="s">
        <v>1410</v>
      </c>
      <c r="C168" s="10" t="s">
        <v>1411</v>
      </c>
    </row>
    <row r="169">
      <c r="A169" s="7" t="s">
        <v>1412</v>
      </c>
      <c r="B169" s="10" t="s">
        <v>1413</v>
      </c>
      <c r="C169" s="10" t="s">
        <v>1414</v>
      </c>
    </row>
    <row r="170">
      <c r="A170" s="7" t="s">
        <v>1415</v>
      </c>
      <c r="B170" s="10" t="s">
        <v>1416</v>
      </c>
      <c r="C170" s="10" t="s">
        <v>1417</v>
      </c>
    </row>
    <row r="171">
      <c r="A171" s="7" t="s">
        <v>1419</v>
      </c>
      <c r="B171" s="10" t="s">
        <v>1420</v>
      </c>
      <c r="C171" s="10" t="s">
        <v>1421</v>
      </c>
    </row>
    <row r="172">
      <c r="A172" s="7" t="s">
        <v>1422</v>
      </c>
      <c r="B172" s="10" t="s">
        <v>1423</v>
      </c>
      <c r="C172" s="10" t="s">
        <v>1424</v>
      </c>
    </row>
    <row r="173">
      <c r="A173" s="7" t="s">
        <v>1425</v>
      </c>
      <c r="B173" s="10" t="s">
        <v>1426</v>
      </c>
      <c r="C173" s="7" t="s">
        <v>1427</v>
      </c>
    </row>
    <row r="174">
      <c r="A174" s="7" t="s">
        <v>1428</v>
      </c>
      <c r="B174" s="10" t="s">
        <v>1429</v>
      </c>
      <c r="C174" s="7" t="s">
        <v>1430</v>
      </c>
    </row>
    <row r="175">
      <c r="A175" s="7" t="s">
        <v>1431</v>
      </c>
      <c r="B175" s="10" t="s">
        <v>1432</v>
      </c>
      <c r="C175" s="7" t="s">
        <v>1433</v>
      </c>
    </row>
    <row r="176">
      <c r="A176" s="7" t="s">
        <v>1434</v>
      </c>
      <c r="B176" s="6" t="s">
        <v>1435</v>
      </c>
      <c r="C176" s="7" t="s">
        <v>1436</v>
      </c>
    </row>
    <row r="177">
      <c r="A177" s="7" t="s">
        <v>1437</v>
      </c>
      <c r="B177" s="6" t="s">
        <v>1438</v>
      </c>
      <c r="C177" s="7" t="s">
        <v>280</v>
      </c>
    </row>
    <row r="178">
      <c r="A178" s="7" t="s">
        <v>1439</v>
      </c>
      <c r="B178" s="10" t="s">
        <v>1440</v>
      </c>
      <c r="C178" s="7" t="s">
        <v>288</v>
      </c>
    </row>
    <row r="179">
      <c r="A179" s="7" t="s">
        <v>1441</v>
      </c>
      <c r="B179" s="10" t="s">
        <v>1442</v>
      </c>
      <c r="C179" s="7" t="s">
        <v>1316</v>
      </c>
    </row>
    <row r="180">
      <c r="A180" s="7" t="s">
        <v>1444</v>
      </c>
      <c r="B180" s="10" t="s">
        <v>1445</v>
      </c>
      <c r="C180" s="7" t="s">
        <v>1446</v>
      </c>
    </row>
    <row r="181">
      <c r="A181" s="7" t="s">
        <v>1447</v>
      </c>
      <c r="B181" s="6" t="s">
        <v>1448</v>
      </c>
      <c r="C181" s="7" t="s">
        <v>1449</v>
      </c>
    </row>
    <row r="182">
      <c r="A182" s="7" t="s">
        <v>1450</v>
      </c>
      <c r="B182" s="6" t="s">
        <v>278</v>
      </c>
      <c r="C182" s="7" t="s">
        <v>280</v>
      </c>
    </row>
    <row r="183">
      <c r="A183" s="7" t="s">
        <v>1451</v>
      </c>
      <c r="B183" s="10" t="s">
        <v>1452</v>
      </c>
      <c r="C183" s="7" t="s">
        <v>288</v>
      </c>
    </row>
    <row r="184">
      <c r="A184" s="7" t="s">
        <v>1453</v>
      </c>
      <c r="B184" s="6" t="s">
        <v>1454</v>
      </c>
      <c r="C184" s="6" t="s">
        <v>1455</v>
      </c>
    </row>
    <row r="185">
      <c r="A185" s="7" t="s">
        <v>1456</v>
      </c>
      <c r="B185" s="6" t="s">
        <v>1457</v>
      </c>
      <c r="C185" s="6" t="s">
        <v>1458</v>
      </c>
    </row>
    <row r="186">
      <c r="A186" s="7" t="s">
        <v>1459</v>
      </c>
      <c r="B186" s="6" t="s">
        <v>1460</v>
      </c>
      <c r="C186" s="6" t="s">
        <v>1461</v>
      </c>
    </row>
    <row r="187">
      <c r="A187" s="7" t="s">
        <v>1462</v>
      </c>
      <c r="B187" s="10" t="s">
        <v>1463</v>
      </c>
      <c r="C187" s="10" t="s">
        <v>1464</v>
      </c>
    </row>
    <row r="188">
      <c r="A188" s="7" t="s">
        <v>1465</v>
      </c>
      <c r="B188" s="10" t="s">
        <v>1466</v>
      </c>
      <c r="C188" s="10" t="s">
        <v>1467</v>
      </c>
    </row>
    <row r="189">
      <c r="A189" s="7" t="s">
        <v>1468</v>
      </c>
      <c r="B189" s="10" t="s">
        <v>1469</v>
      </c>
      <c r="C189" s="10" t="s">
        <v>1470</v>
      </c>
    </row>
    <row r="190">
      <c r="A190" s="7" t="s">
        <v>1471</v>
      </c>
      <c r="B190" s="6" t="s">
        <v>1472</v>
      </c>
      <c r="C190" s="6" t="s">
        <v>1473</v>
      </c>
    </row>
    <row r="191">
      <c r="A191" s="7" t="s">
        <v>1474</v>
      </c>
      <c r="B191" s="6" t="s">
        <v>1476</v>
      </c>
      <c r="C191" s="6" t="s">
        <v>1477</v>
      </c>
    </row>
    <row r="192">
      <c r="A192" s="7" t="s">
        <v>1478</v>
      </c>
      <c r="B192" s="6" t="s">
        <v>1479</v>
      </c>
      <c r="C192" s="6" t="s">
        <v>1480</v>
      </c>
    </row>
    <row r="193">
      <c r="A193" s="7" t="s">
        <v>1481</v>
      </c>
      <c r="B193" s="6" t="s">
        <v>1482</v>
      </c>
      <c r="C193" s="6" t="s">
        <v>1483</v>
      </c>
    </row>
    <row r="194">
      <c r="A194" s="7" t="s">
        <v>1484</v>
      </c>
      <c r="B194" s="6" t="s">
        <v>1485</v>
      </c>
      <c r="C194" s="6" t="s">
        <v>1486</v>
      </c>
    </row>
    <row r="195">
      <c r="A195" s="7" t="s">
        <v>1487</v>
      </c>
      <c r="B195" s="6" t="s">
        <v>1488</v>
      </c>
      <c r="C195" s="6" t="s">
        <v>1489</v>
      </c>
    </row>
    <row r="196">
      <c r="A196" s="7" t="s">
        <v>1490</v>
      </c>
      <c r="B196" s="10" t="s">
        <v>1296</v>
      </c>
      <c r="C196" s="10" t="s">
        <v>1491</v>
      </c>
    </row>
    <row r="197">
      <c r="A197" s="7" t="s">
        <v>1492</v>
      </c>
      <c r="B197" s="10" t="s">
        <v>1493</v>
      </c>
      <c r="C197" s="10" t="s">
        <v>1494</v>
      </c>
    </row>
    <row r="198">
      <c r="A198" s="7" t="s">
        <v>1495</v>
      </c>
      <c r="B198" s="10" t="s">
        <v>1269</v>
      </c>
      <c r="C198" s="10" t="s">
        <v>1496</v>
      </c>
    </row>
    <row r="199">
      <c r="A199" s="7" t="s">
        <v>1497</v>
      </c>
      <c r="B199" s="10" t="s">
        <v>1161</v>
      </c>
      <c r="C199" s="10" t="s">
        <v>1164</v>
      </c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63"/>
    <col customWidth="1" min="2" max="2" width="33.0"/>
    <col customWidth="1" min="3" max="3" width="30.13"/>
    <col customWidth="1" min="4" max="4" width="18.13"/>
  </cols>
  <sheetData>
    <row r="1" ht="83.25" customHeight="1">
      <c r="A1" s="1" t="s">
        <v>0</v>
      </c>
      <c r="B1" s="1" t="s">
        <v>1</v>
      </c>
      <c r="C1" s="1" t="s">
        <v>2</v>
      </c>
    </row>
    <row r="2">
      <c r="A2" s="7" t="s">
        <v>796</v>
      </c>
      <c r="B2" s="7" t="s">
        <v>800</v>
      </c>
      <c r="C2" s="7" t="s">
        <v>805</v>
      </c>
    </row>
    <row r="3">
      <c r="A3" s="7" t="s">
        <v>809</v>
      </c>
      <c r="B3" s="7" t="s">
        <v>812</v>
      </c>
      <c r="C3" s="7" t="s">
        <v>815</v>
      </c>
    </row>
    <row r="4">
      <c r="A4" s="7" t="s">
        <v>820</v>
      </c>
      <c r="B4" s="10" t="s">
        <v>825</v>
      </c>
      <c r="C4" s="10" t="s">
        <v>828</v>
      </c>
    </row>
    <row r="5">
      <c r="A5" s="7" t="s">
        <v>832</v>
      </c>
      <c r="B5" s="10" t="s">
        <v>834</v>
      </c>
      <c r="C5" s="10" t="s">
        <v>835</v>
      </c>
    </row>
    <row r="6">
      <c r="A6" s="7" t="s">
        <v>838</v>
      </c>
      <c r="B6" s="10" t="s">
        <v>841</v>
      </c>
      <c r="C6" s="10" t="s">
        <v>842</v>
      </c>
    </row>
    <row r="7">
      <c r="A7" s="7" t="s">
        <v>843</v>
      </c>
      <c r="B7" s="10" t="s">
        <v>846</v>
      </c>
      <c r="C7" s="10" t="s">
        <v>848</v>
      </c>
    </row>
    <row r="8">
      <c r="A8" s="7" t="s">
        <v>851</v>
      </c>
      <c r="B8" s="10" t="s">
        <v>853</v>
      </c>
      <c r="C8" s="10" t="s">
        <v>855</v>
      </c>
    </row>
    <row r="9">
      <c r="A9" s="7" t="s">
        <v>857</v>
      </c>
      <c r="B9" s="10" t="s">
        <v>859</v>
      </c>
      <c r="C9" s="10" t="s">
        <v>861</v>
      </c>
    </row>
    <row r="10">
      <c r="A10" s="10" t="s">
        <v>863</v>
      </c>
      <c r="B10" s="10" t="s">
        <v>866</v>
      </c>
      <c r="C10" s="6" t="s">
        <v>869</v>
      </c>
    </row>
    <row r="11">
      <c r="A11" s="6" t="s">
        <v>872</v>
      </c>
      <c r="B11" s="10" t="s">
        <v>874</v>
      </c>
      <c r="C11" s="6" t="s">
        <v>876</v>
      </c>
    </row>
    <row r="12">
      <c r="A12" s="14" t="s">
        <v>879</v>
      </c>
      <c r="B12" s="10" t="s">
        <v>889</v>
      </c>
      <c r="C12" s="6" t="s">
        <v>891</v>
      </c>
    </row>
    <row r="13">
      <c r="A13" s="14" t="s">
        <v>894</v>
      </c>
      <c r="B13" s="10" t="s">
        <v>897</v>
      </c>
      <c r="C13" s="10" t="s">
        <v>899</v>
      </c>
    </row>
    <row r="14">
      <c r="A14" s="7" t="s">
        <v>903</v>
      </c>
      <c r="B14" s="10" t="s">
        <v>870</v>
      </c>
      <c r="C14" s="6" t="s">
        <v>871</v>
      </c>
    </row>
    <row r="15">
      <c r="A15" s="7" t="s">
        <v>907</v>
      </c>
      <c r="B15" s="10" t="s">
        <v>875</v>
      </c>
      <c r="C15" s="6" t="s">
        <v>877</v>
      </c>
    </row>
    <row r="16">
      <c r="A16" s="7" t="s">
        <v>913</v>
      </c>
      <c r="B16" s="10" t="s">
        <v>914</v>
      </c>
      <c r="C16" s="6" t="s">
        <v>881</v>
      </c>
    </row>
    <row r="17">
      <c r="A17" s="7" t="s">
        <v>919</v>
      </c>
      <c r="B17" s="10" t="s">
        <v>883</v>
      </c>
      <c r="C17" s="10" t="s">
        <v>922</v>
      </c>
    </row>
    <row r="18">
      <c r="A18" s="7" t="s">
        <v>926</v>
      </c>
      <c r="B18" s="10" t="s">
        <v>886</v>
      </c>
      <c r="C18" s="10" t="s">
        <v>931</v>
      </c>
    </row>
    <row r="19">
      <c r="A19" s="7" t="s">
        <v>935</v>
      </c>
      <c r="B19" s="10" t="s">
        <v>937</v>
      </c>
      <c r="C19" s="10" t="s">
        <v>940</v>
      </c>
    </row>
    <row r="20">
      <c r="A20" s="7" t="s">
        <v>944</v>
      </c>
      <c r="B20" s="10" t="s">
        <v>946</v>
      </c>
      <c r="C20" s="10" t="s">
        <v>948</v>
      </c>
    </row>
    <row r="21">
      <c r="A21" s="7" t="s">
        <v>953</v>
      </c>
      <c r="B21" s="10" t="s">
        <v>955</v>
      </c>
      <c r="C21" s="10" t="s">
        <v>958</v>
      </c>
    </row>
    <row r="22">
      <c r="A22" s="7" t="s">
        <v>961</v>
      </c>
      <c r="B22" s="10" t="s">
        <v>906</v>
      </c>
      <c r="C22" s="10" t="s">
        <v>966</v>
      </c>
    </row>
    <row r="23">
      <c r="A23" s="7" t="s">
        <v>969</v>
      </c>
      <c r="B23" s="10" t="s">
        <v>910</v>
      </c>
      <c r="C23" s="10" t="s">
        <v>973</v>
      </c>
    </row>
    <row r="24">
      <c r="A24" s="7" t="s">
        <v>977</v>
      </c>
      <c r="B24" s="10" t="s">
        <v>915</v>
      </c>
      <c r="C24" s="10" t="s">
        <v>981</v>
      </c>
    </row>
    <row r="25">
      <c r="A25" s="7" t="s">
        <v>984</v>
      </c>
      <c r="B25" s="10" t="s">
        <v>918</v>
      </c>
      <c r="C25" s="10" t="s">
        <v>988</v>
      </c>
    </row>
    <row r="26">
      <c r="A26" s="7" t="s">
        <v>991</v>
      </c>
      <c r="B26" s="10" t="s">
        <v>923</v>
      </c>
      <c r="C26" s="6" t="s">
        <v>924</v>
      </c>
    </row>
    <row r="27">
      <c r="A27" s="7" t="s">
        <v>999</v>
      </c>
      <c r="B27" s="10" t="s">
        <v>929</v>
      </c>
      <c r="C27" s="6" t="s">
        <v>930</v>
      </c>
    </row>
    <row r="28">
      <c r="A28" s="10" t="s">
        <v>1006</v>
      </c>
      <c r="B28" s="10" t="s">
        <v>1008</v>
      </c>
      <c r="C28" s="9" t="s">
        <v>1011</v>
      </c>
    </row>
    <row r="29">
      <c r="A29" s="6" t="s">
        <v>1018</v>
      </c>
      <c r="B29" s="10" t="s">
        <v>1020</v>
      </c>
      <c r="C29" s="10" t="s">
        <v>1022</v>
      </c>
    </row>
    <row r="30">
      <c r="A30" s="6" t="s">
        <v>1024</v>
      </c>
      <c r="B30" s="10" t="s">
        <v>1026</v>
      </c>
      <c r="C30" s="10" t="s">
        <v>1028</v>
      </c>
    </row>
    <row r="31">
      <c r="A31" s="7" t="s">
        <v>1031</v>
      </c>
      <c r="B31" s="10" t="s">
        <v>1033</v>
      </c>
      <c r="C31" s="6" t="s">
        <v>1034</v>
      </c>
    </row>
    <row r="32">
      <c r="A32" s="7" t="s">
        <v>1037</v>
      </c>
      <c r="B32" s="10" t="s">
        <v>1038</v>
      </c>
      <c r="C32" s="10" t="s">
        <v>1039</v>
      </c>
    </row>
    <row r="33">
      <c r="A33" s="9" t="s">
        <v>1041</v>
      </c>
      <c r="B33" s="10" t="s">
        <v>1032</v>
      </c>
      <c r="C33" s="10" t="s">
        <v>1040</v>
      </c>
    </row>
    <row r="34">
      <c r="A34" s="9" t="s">
        <v>1046</v>
      </c>
      <c r="B34" s="10" t="s">
        <v>1043</v>
      </c>
      <c r="C34" s="10" t="s">
        <v>1044</v>
      </c>
    </row>
    <row r="35">
      <c r="A35" s="9" t="s">
        <v>1050</v>
      </c>
      <c r="B35" s="10" t="s">
        <v>1047</v>
      </c>
      <c r="C35" s="10" t="s">
        <v>1048</v>
      </c>
    </row>
    <row r="36">
      <c r="A36" s="9" t="s">
        <v>1054</v>
      </c>
      <c r="B36" s="10" t="s">
        <v>1051</v>
      </c>
      <c r="C36" s="10" t="s">
        <v>1052</v>
      </c>
    </row>
    <row r="37">
      <c r="A37" s="9" t="s">
        <v>1058</v>
      </c>
      <c r="B37" s="10" t="s">
        <v>1055</v>
      </c>
      <c r="C37" s="10" t="s">
        <v>1056</v>
      </c>
    </row>
    <row r="38">
      <c r="A38" s="9" t="s">
        <v>1062</v>
      </c>
      <c r="B38" s="10" t="s">
        <v>1059</v>
      </c>
      <c r="C38" s="10" t="s">
        <v>1060</v>
      </c>
    </row>
    <row r="39">
      <c r="A39" s="9" t="s">
        <v>1067</v>
      </c>
      <c r="B39" s="10" t="s">
        <v>1064</v>
      </c>
      <c r="C39" s="10" t="s">
        <v>1065</v>
      </c>
    </row>
    <row r="40">
      <c r="A40" s="9" t="s">
        <v>1071</v>
      </c>
      <c r="B40" s="10" t="s">
        <v>1069</v>
      </c>
      <c r="C40" s="10" t="s">
        <v>1070</v>
      </c>
    </row>
    <row r="41">
      <c r="A41" s="9" t="s">
        <v>1075</v>
      </c>
      <c r="B41" s="10" t="s">
        <v>1073</v>
      </c>
      <c r="C41" s="10" t="s">
        <v>1074</v>
      </c>
    </row>
    <row r="42">
      <c r="A42" s="9" t="s">
        <v>1079</v>
      </c>
      <c r="B42" s="10" t="s">
        <v>1077</v>
      </c>
      <c r="C42" s="10" t="s">
        <v>1078</v>
      </c>
    </row>
    <row r="43">
      <c r="A43" s="9" t="s">
        <v>1086</v>
      </c>
      <c r="B43" s="10" t="s">
        <v>1082</v>
      </c>
      <c r="C43" s="10" t="s">
        <v>1084</v>
      </c>
    </row>
    <row r="44">
      <c r="A44" s="9" t="s">
        <v>1092</v>
      </c>
      <c r="B44" s="10" t="s">
        <v>1087</v>
      </c>
      <c r="C44" s="10" t="s">
        <v>1088</v>
      </c>
    </row>
    <row r="45">
      <c r="A45" s="7" t="s">
        <v>1097</v>
      </c>
      <c r="B45" s="10" t="s">
        <v>1021</v>
      </c>
      <c r="C45" s="10" t="s">
        <v>1099</v>
      </c>
    </row>
    <row r="46">
      <c r="A46" s="7" t="s">
        <v>1102</v>
      </c>
      <c r="B46" s="10" t="s">
        <v>1027</v>
      </c>
      <c r="C46" s="10" t="s">
        <v>1104</v>
      </c>
    </row>
    <row r="47">
      <c r="A47" s="6" t="s">
        <v>1106</v>
      </c>
      <c r="B47" s="10" t="s">
        <v>1109</v>
      </c>
      <c r="C47" s="9" t="s">
        <v>1111</v>
      </c>
    </row>
    <row r="48">
      <c r="A48" s="6" t="s">
        <v>1114</v>
      </c>
      <c r="B48" s="10" t="s">
        <v>1116</v>
      </c>
      <c r="C48" s="9" t="s">
        <v>1118</v>
      </c>
    </row>
    <row r="49">
      <c r="A49" s="6" t="s">
        <v>1119</v>
      </c>
      <c r="B49" s="10" t="s">
        <v>1120</v>
      </c>
      <c r="C49" s="9" t="s">
        <v>1121</v>
      </c>
    </row>
    <row r="50">
      <c r="A50" s="6" t="s">
        <v>1123</v>
      </c>
      <c r="B50" s="10" t="s">
        <v>1125</v>
      </c>
      <c r="C50" s="9" t="s">
        <v>1127</v>
      </c>
    </row>
    <row r="51">
      <c r="A51" s="6" t="s">
        <v>1130</v>
      </c>
      <c r="B51" s="7" t="s">
        <v>1132</v>
      </c>
      <c r="C51" s="10" t="s">
        <v>1135</v>
      </c>
    </row>
    <row r="52">
      <c r="A52" s="6" t="s">
        <v>1138</v>
      </c>
      <c r="B52" s="7" t="s">
        <v>1140</v>
      </c>
      <c r="C52" s="10" t="s">
        <v>1142</v>
      </c>
    </row>
    <row r="53">
      <c r="A53" s="6" t="s">
        <v>1146</v>
      </c>
      <c r="B53" s="7" t="s">
        <v>1148</v>
      </c>
      <c r="C53" s="10" t="s">
        <v>1151</v>
      </c>
    </row>
    <row r="54">
      <c r="A54" s="6" t="s">
        <v>1154</v>
      </c>
      <c r="B54" s="7" t="s">
        <v>1156</v>
      </c>
      <c r="C54" s="10" t="s">
        <v>1163</v>
      </c>
    </row>
    <row r="55">
      <c r="A55" s="6" t="s">
        <v>1166</v>
      </c>
      <c r="B55" s="7" t="s">
        <v>1167</v>
      </c>
      <c r="C55" s="10" t="s">
        <v>1169</v>
      </c>
    </row>
    <row r="56">
      <c r="A56" s="6" t="s">
        <v>1171</v>
      </c>
      <c r="B56" s="7" t="s">
        <v>1173</v>
      </c>
      <c r="C56" s="10" t="s">
        <v>1175</v>
      </c>
    </row>
    <row r="57">
      <c r="A57" s="7" t="s">
        <v>1179</v>
      </c>
      <c r="B57" s="7" t="s">
        <v>1183</v>
      </c>
      <c r="C57" s="10" t="s">
        <v>1184</v>
      </c>
    </row>
    <row r="58">
      <c r="A58" s="7" t="s">
        <v>1187</v>
      </c>
      <c r="B58" s="10" t="s">
        <v>979</v>
      </c>
      <c r="C58" s="6" t="s">
        <v>980</v>
      </c>
    </row>
    <row r="59">
      <c r="A59" s="7" t="s">
        <v>1195</v>
      </c>
      <c r="B59" s="10" t="s">
        <v>983</v>
      </c>
      <c r="C59" s="6" t="s">
        <v>985</v>
      </c>
    </row>
    <row r="60">
      <c r="A60" s="7" t="s">
        <v>1205</v>
      </c>
      <c r="B60" s="10" t="s">
        <v>987</v>
      </c>
      <c r="C60" s="6" t="s">
        <v>989</v>
      </c>
    </row>
    <row r="61">
      <c r="A61" s="7" t="s">
        <v>1239</v>
      </c>
      <c r="B61" s="10" t="s">
        <v>992</v>
      </c>
      <c r="C61" s="6" t="s">
        <v>993</v>
      </c>
    </row>
    <row r="62">
      <c r="A62" s="9" t="s">
        <v>1250</v>
      </c>
      <c r="B62" s="10" t="s">
        <v>933</v>
      </c>
      <c r="C62" s="6" t="s">
        <v>934</v>
      </c>
    </row>
    <row r="63">
      <c r="A63" s="9" t="s">
        <v>1258</v>
      </c>
      <c r="B63" s="10" t="s">
        <v>938</v>
      </c>
      <c r="C63" s="10" t="s">
        <v>1263</v>
      </c>
    </row>
    <row r="64">
      <c r="A64" s="9" t="s">
        <v>1265</v>
      </c>
      <c r="B64" s="10" t="s">
        <v>942</v>
      </c>
      <c r="C64" s="10" t="s">
        <v>1270</v>
      </c>
    </row>
    <row r="65">
      <c r="A65" s="9" t="s">
        <v>1274</v>
      </c>
      <c r="B65" s="10" t="s">
        <v>947</v>
      </c>
      <c r="C65" s="6" t="s">
        <v>949</v>
      </c>
    </row>
    <row r="66">
      <c r="A66" s="9" t="s">
        <v>1283</v>
      </c>
      <c r="B66" s="10" t="s">
        <v>951</v>
      </c>
      <c r="C66" s="6" t="s">
        <v>952</v>
      </c>
    </row>
    <row r="67">
      <c r="A67" s="9" t="s">
        <v>1291</v>
      </c>
      <c r="B67" s="10" t="s">
        <v>1295</v>
      </c>
      <c r="C67" s="10" t="s">
        <v>1298</v>
      </c>
    </row>
    <row r="68">
      <c r="A68" s="10" t="s">
        <v>1302</v>
      </c>
      <c r="B68" s="10" t="s">
        <v>1304</v>
      </c>
      <c r="C68" s="10" t="s">
        <v>1307</v>
      </c>
    </row>
    <row r="69">
      <c r="A69" s="10" t="s">
        <v>1309</v>
      </c>
      <c r="B69" s="10" t="s">
        <v>1312</v>
      </c>
      <c r="C69" s="10" t="s">
        <v>976</v>
      </c>
    </row>
    <row r="70">
      <c r="A70" s="7" t="s">
        <v>1317</v>
      </c>
      <c r="B70" s="10" t="s">
        <v>971</v>
      </c>
      <c r="C70" s="6" t="s">
        <v>972</v>
      </c>
    </row>
    <row r="71">
      <c r="A71" s="7" t="s">
        <v>1322</v>
      </c>
      <c r="B71" s="10" t="s">
        <v>967</v>
      </c>
      <c r="C71" s="6" t="s">
        <v>968</v>
      </c>
    </row>
    <row r="72">
      <c r="A72" s="7" t="s">
        <v>1326</v>
      </c>
      <c r="B72" s="10" t="s">
        <v>975</v>
      </c>
      <c r="C72" s="10" t="s">
        <v>976</v>
      </c>
    </row>
    <row r="73">
      <c r="A73" s="7" t="s">
        <v>1329</v>
      </c>
      <c r="B73" s="7" t="s">
        <v>1100</v>
      </c>
      <c r="C73" s="7" t="s">
        <v>1101</v>
      </c>
    </row>
    <row r="74">
      <c r="A74" s="6" t="s">
        <v>1335</v>
      </c>
      <c r="B74" s="7" t="s">
        <v>1337</v>
      </c>
      <c r="C74" s="6" t="s">
        <v>1338</v>
      </c>
    </row>
    <row r="75">
      <c r="A75" s="6" t="s">
        <v>1341</v>
      </c>
      <c r="B75" s="7" t="s">
        <v>1342</v>
      </c>
      <c r="C75" s="6" t="s">
        <v>1344</v>
      </c>
    </row>
    <row r="76">
      <c r="A76" s="6" t="s">
        <v>1347</v>
      </c>
      <c r="B76" s="7" t="s">
        <v>1349</v>
      </c>
      <c r="C76" s="6" t="s">
        <v>1351</v>
      </c>
    </row>
    <row r="77">
      <c r="A77" s="6" t="s">
        <v>1354</v>
      </c>
      <c r="B77" s="7" t="s">
        <v>1356</v>
      </c>
      <c r="C77" s="6" t="s">
        <v>1358</v>
      </c>
    </row>
    <row r="78">
      <c r="A78" s="6" t="s">
        <v>1360</v>
      </c>
      <c r="B78" s="7" t="s">
        <v>1362</v>
      </c>
      <c r="C78" s="6" t="s">
        <v>1364</v>
      </c>
    </row>
    <row r="79">
      <c r="A79" s="6" t="s">
        <v>1368</v>
      </c>
      <c r="B79" s="7" t="s">
        <v>1369</v>
      </c>
      <c r="C79" s="6" t="s">
        <v>1373</v>
      </c>
    </row>
    <row r="80">
      <c r="A80" s="13" t="s">
        <v>1376</v>
      </c>
      <c r="B80" s="7" t="s">
        <v>1378</v>
      </c>
      <c r="C80" s="13" t="s">
        <v>1379</v>
      </c>
    </row>
    <row r="81">
      <c r="A81" s="13" t="s">
        <v>1380</v>
      </c>
      <c r="B81" s="7" t="s">
        <v>1382</v>
      </c>
      <c r="C81" s="13" t="s">
        <v>1383</v>
      </c>
    </row>
    <row r="82">
      <c r="A82" s="13" t="s">
        <v>1384</v>
      </c>
      <c r="B82" s="7" t="s">
        <v>1386</v>
      </c>
      <c r="C82" s="13" t="s">
        <v>1005</v>
      </c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22.25"/>
    <col customWidth="1" min="3" max="3" width="23.88"/>
  </cols>
  <sheetData>
    <row r="1" ht="83.25" customHeight="1">
      <c r="A1" s="1" t="s">
        <v>0</v>
      </c>
      <c r="B1" s="1" t="s">
        <v>1</v>
      </c>
      <c r="C1" s="1" t="s">
        <v>2</v>
      </c>
    </row>
    <row r="2">
      <c r="A2" s="6" t="s">
        <v>1153</v>
      </c>
      <c r="B2" s="7" t="s">
        <v>1161</v>
      </c>
      <c r="C2" s="6" t="s">
        <v>1164</v>
      </c>
    </row>
    <row r="3">
      <c r="A3" s="6" t="s">
        <v>1168</v>
      </c>
      <c r="B3" s="7" t="s">
        <v>1170</v>
      </c>
      <c r="C3" s="6" t="s">
        <v>1172</v>
      </c>
    </row>
    <row r="4">
      <c r="A4" s="6" t="s">
        <v>1176</v>
      </c>
      <c r="B4" s="7" t="s">
        <v>1178</v>
      </c>
      <c r="C4" s="6" t="s">
        <v>1181</v>
      </c>
    </row>
    <row r="5">
      <c r="A5" s="6" t="s">
        <v>1186</v>
      </c>
      <c r="B5" s="7" t="s">
        <v>1189</v>
      </c>
      <c r="C5" s="6" t="s">
        <v>1191</v>
      </c>
    </row>
    <row r="6">
      <c r="A6" s="6" t="s">
        <v>1194</v>
      </c>
      <c r="B6" s="7" t="s">
        <v>1197</v>
      </c>
      <c r="C6" s="6" t="s">
        <v>1200</v>
      </c>
    </row>
    <row r="7">
      <c r="A7" s="6" t="s">
        <v>1203</v>
      </c>
      <c r="B7" s="7" t="s">
        <v>1206</v>
      </c>
      <c r="C7" s="6" t="s">
        <v>1208</v>
      </c>
    </row>
    <row r="8">
      <c r="A8" s="6" t="s">
        <v>1213</v>
      </c>
      <c r="B8" s="7" t="s">
        <v>1216</v>
      </c>
      <c r="C8" s="6" t="s">
        <v>1219</v>
      </c>
    </row>
    <row r="9">
      <c r="A9" s="6" t="s">
        <v>1221</v>
      </c>
      <c r="B9" s="7" t="s">
        <v>1223</v>
      </c>
      <c r="C9" s="6" t="s">
        <v>1232</v>
      </c>
    </row>
    <row r="10">
      <c r="A10" s="6" t="s">
        <v>1235</v>
      </c>
      <c r="B10" s="7" t="s">
        <v>1237</v>
      </c>
      <c r="C10" s="6" t="s">
        <v>1241</v>
      </c>
    </row>
    <row r="11">
      <c r="A11" s="6" t="s">
        <v>1245</v>
      </c>
      <c r="B11" s="7" t="s">
        <v>1246</v>
      </c>
      <c r="C11" s="6" t="s">
        <v>1249</v>
      </c>
    </row>
    <row r="12">
      <c r="A12" s="6" t="s">
        <v>1252</v>
      </c>
      <c r="B12" s="7" t="s">
        <v>1254</v>
      </c>
      <c r="C12" s="6" t="s">
        <v>1256</v>
      </c>
    </row>
    <row r="13">
      <c r="A13" s="6" t="s">
        <v>1259</v>
      </c>
      <c r="B13" s="7" t="s">
        <v>1262</v>
      </c>
      <c r="C13" s="6" t="s">
        <v>1264</v>
      </c>
    </row>
    <row r="14">
      <c r="A14" s="6" t="s">
        <v>1267</v>
      </c>
      <c r="B14" s="7" t="s">
        <v>1269</v>
      </c>
      <c r="C14" s="6" t="s">
        <v>1272</v>
      </c>
    </row>
    <row r="15">
      <c r="A15" s="6" t="s">
        <v>1276</v>
      </c>
      <c r="B15" s="7" t="s">
        <v>1279</v>
      </c>
      <c r="C15" s="6" t="s">
        <v>1282</v>
      </c>
    </row>
    <row r="16">
      <c r="A16" s="6" t="s">
        <v>1285</v>
      </c>
      <c r="B16" s="7" t="s">
        <v>1287</v>
      </c>
      <c r="C16" s="6" t="s">
        <v>1289</v>
      </c>
    </row>
    <row r="17">
      <c r="A17" s="6" t="s">
        <v>1293</v>
      </c>
      <c r="B17" s="7" t="s">
        <v>1296</v>
      </c>
      <c r="C17" s="6" t="s">
        <v>1299</v>
      </c>
    </row>
  </sheetData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  <col customWidth="1" min="2" max="2" width="23.13"/>
    <col customWidth="1" min="3" max="3" width="22.5"/>
  </cols>
  <sheetData>
    <row r="1" ht="83.25" customHeight="1">
      <c r="A1" s="1" t="s">
        <v>0</v>
      </c>
      <c r="B1" s="1" t="s">
        <v>1</v>
      </c>
      <c r="C1" s="1" t="s">
        <v>2</v>
      </c>
    </row>
    <row r="2">
      <c r="A2" s="10" t="s">
        <v>1499</v>
      </c>
      <c r="B2" s="7" t="str">
        <f t="shared" ref="B2:B7" si="1">RIGHT(A2,LEN(A2) - (FIND(".",A2)))</f>
        <v>Weapon</v>
      </c>
      <c r="C2" s="7" t="s">
        <v>1473</v>
      </c>
    </row>
    <row r="3">
      <c r="A3" s="10" t="s">
        <v>1502</v>
      </c>
      <c r="B3" s="7" t="str">
        <f t="shared" si="1"/>
        <v>Armor</v>
      </c>
      <c r="C3" s="7" t="s">
        <v>1477</v>
      </c>
    </row>
    <row r="4">
      <c r="A4" s="10" t="s">
        <v>1503</v>
      </c>
      <c r="B4" s="7" t="str">
        <f t="shared" si="1"/>
        <v>Gauntlet</v>
      </c>
      <c r="C4" s="7" t="s">
        <v>1480</v>
      </c>
    </row>
    <row r="5">
      <c r="A5" s="10" t="s">
        <v>1504</v>
      </c>
      <c r="B5" s="13" t="str">
        <f t="shared" si="1"/>
        <v>Boots</v>
      </c>
      <c r="C5" s="7" t="s">
        <v>1483</v>
      </c>
    </row>
    <row r="6">
      <c r="A6" s="10" t="s">
        <v>1505</v>
      </c>
      <c r="B6" s="13" t="str">
        <f t="shared" si="1"/>
        <v>Helmet</v>
      </c>
      <c r="C6" s="7" t="s">
        <v>1507</v>
      </c>
    </row>
    <row r="7">
      <c r="A7" s="10" t="s">
        <v>1508</v>
      </c>
      <c r="B7" s="13" t="str">
        <f t="shared" si="1"/>
        <v>Accessory</v>
      </c>
      <c r="C7" s="7" t="s">
        <v>1489</v>
      </c>
    </row>
    <row r="8">
      <c r="A8" s="16" t="s">
        <v>1509</v>
      </c>
      <c r="B8" s="16" t="s">
        <v>1510</v>
      </c>
      <c r="C8" s="16" t="s">
        <v>1511</v>
      </c>
    </row>
    <row r="9">
      <c r="A9" s="16" t="s">
        <v>1512</v>
      </c>
      <c r="B9" s="16" t="s">
        <v>1514</v>
      </c>
      <c r="C9" s="16" t="s">
        <v>1515</v>
      </c>
    </row>
    <row r="10">
      <c r="A10" s="16" t="s">
        <v>1516</v>
      </c>
      <c r="B10" s="16" t="s">
        <v>1517</v>
      </c>
      <c r="C10" s="16" t="s">
        <v>1518</v>
      </c>
    </row>
    <row r="11">
      <c r="A11" s="16" t="s">
        <v>1519</v>
      </c>
      <c r="B11" s="16" t="s">
        <v>1520</v>
      </c>
      <c r="C11" s="16" t="s">
        <v>1521</v>
      </c>
    </row>
    <row r="12">
      <c r="A12" s="16" t="s">
        <v>1526</v>
      </c>
      <c r="B12" s="16" t="s">
        <v>1528</v>
      </c>
      <c r="C12" s="16" t="s">
        <v>1530</v>
      </c>
    </row>
    <row r="13">
      <c r="A13" s="16" t="s">
        <v>1532</v>
      </c>
      <c r="B13" s="16" t="s">
        <v>1534</v>
      </c>
      <c r="C13" s="16" t="s">
        <v>1536</v>
      </c>
    </row>
    <row r="14">
      <c r="A14" s="16" t="s">
        <v>1537</v>
      </c>
      <c r="B14" s="16" t="s">
        <v>1538</v>
      </c>
      <c r="C14" s="16" t="s">
        <v>1540</v>
      </c>
    </row>
    <row r="15">
      <c r="A15" s="16" t="s">
        <v>1542</v>
      </c>
      <c r="B15" s="16" t="s">
        <v>1543</v>
      </c>
      <c r="C15" s="16" t="s">
        <v>1544</v>
      </c>
    </row>
    <row r="16">
      <c r="A16" s="16" t="s">
        <v>1545</v>
      </c>
      <c r="B16" s="16" t="s">
        <v>1546</v>
      </c>
      <c r="C16" s="16" t="s">
        <v>1548</v>
      </c>
    </row>
    <row r="17">
      <c r="A17" s="16" t="s">
        <v>1550</v>
      </c>
      <c r="B17" s="16" t="s">
        <v>1551</v>
      </c>
      <c r="C17" s="16" t="s">
        <v>1553</v>
      </c>
    </row>
    <row r="18">
      <c r="A18" s="16" t="s">
        <v>1555</v>
      </c>
      <c r="B18" s="16" t="s">
        <v>1557</v>
      </c>
      <c r="C18" s="16" t="s">
        <v>1559</v>
      </c>
    </row>
    <row r="19">
      <c r="A19" s="16" t="s">
        <v>1562</v>
      </c>
      <c r="B19" s="16" t="s">
        <v>1564</v>
      </c>
      <c r="C19" s="16" t="s">
        <v>1565</v>
      </c>
    </row>
    <row r="20">
      <c r="A20" s="16" t="s">
        <v>1567</v>
      </c>
      <c r="B20" s="16" t="s">
        <v>1569</v>
      </c>
      <c r="C20" s="16" t="s">
        <v>1571</v>
      </c>
    </row>
    <row r="21">
      <c r="A21" s="16" t="s">
        <v>1576</v>
      </c>
      <c r="B21" s="16" t="s">
        <v>1578</v>
      </c>
      <c r="C21" s="16" t="s">
        <v>1579</v>
      </c>
    </row>
    <row r="22">
      <c r="A22" s="16" t="s">
        <v>1582</v>
      </c>
      <c r="B22" s="16" t="s">
        <v>1584</v>
      </c>
      <c r="C22" s="16" t="s">
        <v>1587</v>
      </c>
    </row>
    <row r="23">
      <c r="A23" s="16" t="s">
        <v>1589</v>
      </c>
      <c r="B23" s="16" t="s">
        <v>1591</v>
      </c>
      <c r="C23" s="16" t="s">
        <v>1593</v>
      </c>
    </row>
    <row r="24">
      <c r="A24" s="16" t="s">
        <v>1595</v>
      </c>
      <c r="B24" s="16" t="s">
        <v>1598</v>
      </c>
      <c r="C24" s="16" t="s">
        <v>1600</v>
      </c>
    </row>
    <row r="25">
      <c r="A25" s="16" t="s">
        <v>1602</v>
      </c>
      <c r="B25" s="16" t="s">
        <v>1605</v>
      </c>
      <c r="C25" s="16" t="s">
        <v>1608</v>
      </c>
    </row>
    <row r="26">
      <c r="A26" s="16" t="s">
        <v>1611</v>
      </c>
      <c r="B26" s="16" t="s">
        <v>1613</v>
      </c>
      <c r="C26" s="16" t="s">
        <v>1615</v>
      </c>
    </row>
    <row r="27">
      <c r="A27" s="16" t="s">
        <v>1618</v>
      </c>
      <c r="B27" s="16" t="s">
        <v>1619</v>
      </c>
      <c r="C27" s="16" t="s">
        <v>1621</v>
      </c>
    </row>
    <row r="28">
      <c r="A28" s="16" t="s">
        <v>1623</v>
      </c>
      <c r="B28" s="16" t="s">
        <v>1626</v>
      </c>
      <c r="C28" s="16" t="s">
        <v>1628</v>
      </c>
    </row>
    <row r="29">
      <c r="A29" s="16" t="s">
        <v>1630</v>
      </c>
      <c r="B29" s="16" t="s">
        <v>1632</v>
      </c>
      <c r="C29" s="16" t="s">
        <v>1634</v>
      </c>
    </row>
    <row r="30">
      <c r="A30" s="16" t="s">
        <v>1638</v>
      </c>
      <c r="B30" s="16" t="s">
        <v>1639</v>
      </c>
      <c r="C30" s="16" t="s">
        <v>1640</v>
      </c>
    </row>
    <row r="31">
      <c r="A31" s="16" t="s">
        <v>1642</v>
      </c>
      <c r="B31" s="16" t="s">
        <v>1644</v>
      </c>
      <c r="C31" s="16" t="s">
        <v>1646</v>
      </c>
    </row>
    <row r="32">
      <c r="A32" s="16" t="s">
        <v>1648</v>
      </c>
      <c r="B32" s="16" t="s">
        <v>1650</v>
      </c>
      <c r="C32" s="16" t="s">
        <v>1652</v>
      </c>
    </row>
    <row r="33">
      <c r="A33" s="16" t="s">
        <v>1654</v>
      </c>
      <c r="B33" s="16" t="s">
        <v>1657</v>
      </c>
      <c r="C33" s="16" t="s">
        <v>1660</v>
      </c>
    </row>
    <row r="34">
      <c r="A34" s="16" t="s">
        <v>1664</v>
      </c>
      <c r="B34" s="16" t="s">
        <v>1666</v>
      </c>
      <c r="C34" s="16" t="s">
        <v>1668</v>
      </c>
    </row>
    <row r="35">
      <c r="A35" s="16" t="s">
        <v>1670</v>
      </c>
      <c r="B35" s="16" t="s">
        <v>1671</v>
      </c>
      <c r="C35" s="16" t="s">
        <v>1672</v>
      </c>
    </row>
    <row r="36">
      <c r="A36" s="16" t="s">
        <v>1673</v>
      </c>
      <c r="B36" s="16" t="s">
        <v>1674</v>
      </c>
      <c r="C36" s="16" t="s">
        <v>1675</v>
      </c>
    </row>
    <row r="37">
      <c r="A37" s="16" t="s">
        <v>1677</v>
      </c>
      <c r="B37" s="16" t="s">
        <v>1678</v>
      </c>
      <c r="C37" s="16" t="s">
        <v>1680</v>
      </c>
    </row>
    <row r="38">
      <c r="A38" s="16" t="s">
        <v>1682</v>
      </c>
      <c r="B38" s="16" t="s">
        <v>1684</v>
      </c>
      <c r="C38" s="16" t="s">
        <v>1685</v>
      </c>
    </row>
    <row r="39">
      <c r="A39" s="16" t="s">
        <v>1689</v>
      </c>
      <c r="B39" s="16" t="s">
        <v>1692</v>
      </c>
      <c r="C39" s="16" t="s">
        <v>1693</v>
      </c>
    </row>
    <row r="40">
      <c r="A40" s="16" t="s">
        <v>1697</v>
      </c>
      <c r="B40" s="16" t="s">
        <v>1700</v>
      </c>
      <c r="C40" s="16" t="s">
        <v>1702</v>
      </c>
    </row>
    <row r="41">
      <c r="A41" s="16" t="s">
        <v>1706</v>
      </c>
      <c r="B41" s="16" t="s">
        <v>1709</v>
      </c>
      <c r="C41" s="16" t="s">
        <v>1712</v>
      </c>
    </row>
    <row r="42">
      <c r="A42" s="16" t="s">
        <v>1716</v>
      </c>
      <c r="B42" s="16" t="s">
        <v>1719</v>
      </c>
      <c r="C42" s="16" t="s">
        <v>1721</v>
      </c>
    </row>
    <row r="43">
      <c r="A43" s="16" t="s">
        <v>1725</v>
      </c>
      <c r="B43" s="16" t="s">
        <v>1729</v>
      </c>
      <c r="C43" s="16" t="s">
        <v>1732</v>
      </c>
    </row>
    <row r="44">
      <c r="A44" s="16" t="s">
        <v>1737</v>
      </c>
      <c r="B44" s="16" t="s">
        <v>1742</v>
      </c>
      <c r="C44" s="16" t="s">
        <v>1745</v>
      </c>
    </row>
    <row r="45">
      <c r="A45" s="16" t="s">
        <v>1751</v>
      </c>
      <c r="B45" s="16" t="s">
        <v>1755</v>
      </c>
      <c r="C45" s="16" t="s">
        <v>1758</v>
      </c>
    </row>
    <row r="46">
      <c r="A46" s="16" t="s">
        <v>1762</v>
      </c>
      <c r="B46" s="16" t="s">
        <v>1765</v>
      </c>
      <c r="C46" s="16" t="s">
        <v>1769</v>
      </c>
    </row>
    <row r="47">
      <c r="A47" s="16" t="s">
        <v>1774</v>
      </c>
      <c r="B47" s="16" t="s">
        <v>1777</v>
      </c>
      <c r="C47" s="16" t="s">
        <v>1780</v>
      </c>
    </row>
    <row r="48">
      <c r="A48" s="16" t="s">
        <v>1784</v>
      </c>
      <c r="B48" s="16" t="s">
        <v>1787</v>
      </c>
      <c r="C48" s="16" t="s">
        <v>1791</v>
      </c>
    </row>
    <row r="49">
      <c r="A49" s="16" t="s">
        <v>1795</v>
      </c>
      <c r="B49" s="16" t="s">
        <v>1798</v>
      </c>
      <c r="C49" s="16" t="s">
        <v>1801</v>
      </c>
    </row>
    <row r="50">
      <c r="A50" s="16" t="s">
        <v>1805</v>
      </c>
      <c r="B50" s="16" t="s">
        <v>1808</v>
      </c>
      <c r="C50" s="16" t="s">
        <v>1811</v>
      </c>
    </row>
    <row r="51">
      <c r="A51" s="16" t="s">
        <v>1817</v>
      </c>
      <c r="B51" s="16" t="s">
        <v>1821</v>
      </c>
      <c r="C51" s="16" t="s">
        <v>1824</v>
      </c>
    </row>
    <row r="52">
      <c r="A52" s="16" t="s">
        <v>1829</v>
      </c>
      <c r="B52" s="16" t="s">
        <v>1831</v>
      </c>
      <c r="C52" s="16" t="s">
        <v>1834</v>
      </c>
    </row>
    <row r="53">
      <c r="A53" s="16" t="s">
        <v>1841</v>
      </c>
      <c r="B53" s="16" t="s">
        <v>1844</v>
      </c>
      <c r="C53" s="16" t="s">
        <v>1848</v>
      </c>
    </row>
    <row r="54">
      <c r="A54" s="16" t="s">
        <v>1851</v>
      </c>
      <c r="B54" s="16" t="s">
        <v>1855</v>
      </c>
      <c r="C54" s="16" t="s">
        <v>1858</v>
      </c>
    </row>
    <row r="55">
      <c r="A55" s="16" t="s">
        <v>1860</v>
      </c>
      <c r="B55" s="16" t="s">
        <v>1862</v>
      </c>
      <c r="C55" s="16" t="s">
        <v>1864</v>
      </c>
    </row>
    <row r="56">
      <c r="A56" s="16" t="s">
        <v>1868</v>
      </c>
      <c r="B56" s="16" t="s">
        <v>1871</v>
      </c>
      <c r="C56" s="16" t="s">
        <v>1873</v>
      </c>
    </row>
    <row r="57">
      <c r="A57" s="16" t="s">
        <v>1878</v>
      </c>
      <c r="B57" s="16" t="s">
        <v>1881</v>
      </c>
      <c r="C57" s="16" t="s">
        <v>1884</v>
      </c>
    </row>
    <row r="58">
      <c r="A58" s="16" t="s">
        <v>1890</v>
      </c>
      <c r="B58" s="16" t="s">
        <v>1893</v>
      </c>
      <c r="C58" s="16" t="s">
        <v>1895</v>
      </c>
    </row>
    <row r="59">
      <c r="A59" s="16" t="s">
        <v>1900</v>
      </c>
      <c r="B59" s="16" t="s">
        <v>1903</v>
      </c>
      <c r="C59" s="16" t="s">
        <v>1905</v>
      </c>
    </row>
    <row r="60">
      <c r="A60" s="16" t="s">
        <v>1912</v>
      </c>
      <c r="B60" s="16" t="s">
        <v>1914</v>
      </c>
      <c r="C60" s="16" t="s">
        <v>1917</v>
      </c>
    </row>
    <row r="61">
      <c r="A61" s="16" t="s">
        <v>1922</v>
      </c>
      <c r="B61" s="16" t="s">
        <v>1925</v>
      </c>
      <c r="C61" s="16" t="s">
        <v>1931</v>
      </c>
    </row>
    <row r="62">
      <c r="A62" s="16" t="s">
        <v>1936</v>
      </c>
      <c r="B62" s="16" t="s">
        <v>1938</v>
      </c>
      <c r="C62" s="16" t="s">
        <v>1942</v>
      </c>
    </row>
    <row r="63">
      <c r="A63" s="16" t="s">
        <v>1945</v>
      </c>
      <c r="B63" s="16" t="s">
        <v>1951</v>
      </c>
      <c r="C63" s="16" t="s">
        <v>1954</v>
      </c>
    </row>
    <row r="64">
      <c r="A64" s="16" t="s">
        <v>1957</v>
      </c>
      <c r="B64" s="16" t="s">
        <v>1960</v>
      </c>
      <c r="C64" s="16" t="s">
        <v>1962</v>
      </c>
    </row>
    <row r="65">
      <c r="A65" s="16" t="s">
        <v>1965</v>
      </c>
      <c r="B65" s="16" t="s">
        <v>1967</v>
      </c>
      <c r="C65" s="16" t="s">
        <v>1969</v>
      </c>
    </row>
    <row r="66">
      <c r="A66" s="16" t="s">
        <v>1973</v>
      </c>
      <c r="B66" s="16" t="s">
        <v>1975</v>
      </c>
      <c r="C66" s="16" t="s">
        <v>1976</v>
      </c>
    </row>
    <row r="67">
      <c r="A67" s="16" t="s">
        <v>1978</v>
      </c>
      <c r="B67" s="16" t="s">
        <v>1980</v>
      </c>
      <c r="C67" s="16" t="s">
        <v>1982</v>
      </c>
    </row>
    <row r="68">
      <c r="A68" s="16" t="s">
        <v>1983</v>
      </c>
      <c r="B68" s="16" t="s">
        <v>1985</v>
      </c>
      <c r="C68" s="16" t="s">
        <v>1987</v>
      </c>
    </row>
    <row r="69">
      <c r="A69" s="16" t="s">
        <v>1989</v>
      </c>
      <c r="B69" s="16" t="s">
        <v>1991</v>
      </c>
      <c r="C69" s="16" t="s">
        <v>1993</v>
      </c>
    </row>
    <row r="70">
      <c r="A70" s="16" t="s">
        <v>1995</v>
      </c>
      <c r="B70" s="16" t="s">
        <v>1997</v>
      </c>
      <c r="C70" s="16" t="s">
        <v>1999</v>
      </c>
    </row>
    <row r="71">
      <c r="A71" s="16" t="s">
        <v>2001</v>
      </c>
      <c r="B71" s="16" t="s">
        <v>2003</v>
      </c>
      <c r="C71" s="16" t="s">
        <v>2005</v>
      </c>
    </row>
    <row r="72">
      <c r="A72" s="16" t="s">
        <v>2008</v>
      </c>
      <c r="B72" s="16" t="s">
        <v>2010</v>
      </c>
      <c r="C72" s="16" t="s">
        <v>2012</v>
      </c>
    </row>
    <row r="73">
      <c r="A73" s="16" t="s">
        <v>2015</v>
      </c>
      <c r="B73" s="16" t="s">
        <v>2016</v>
      </c>
      <c r="C73" s="16" t="s">
        <v>2018</v>
      </c>
    </row>
    <row r="74">
      <c r="A74" s="16" t="s">
        <v>2020</v>
      </c>
      <c r="B74" s="16" t="s">
        <v>2022</v>
      </c>
      <c r="C74" s="16" t="s">
        <v>2024</v>
      </c>
    </row>
    <row r="75">
      <c r="A75" s="16" t="s">
        <v>2029</v>
      </c>
      <c r="B75" s="16" t="s">
        <v>2031</v>
      </c>
      <c r="C75" s="16" t="s">
        <v>2032</v>
      </c>
    </row>
    <row r="76">
      <c r="A76" s="16" t="s">
        <v>2035</v>
      </c>
      <c r="B76" s="16" t="s">
        <v>2038</v>
      </c>
      <c r="C76" s="16" t="s">
        <v>2040</v>
      </c>
    </row>
    <row r="77">
      <c r="A77" s="16" t="s">
        <v>2043</v>
      </c>
      <c r="B77" s="16" t="s">
        <v>2045</v>
      </c>
      <c r="C77" s="16" t="s">
        <v>2046</v>
      </c>
    </row>
    <row r="78">
      <c r="A78" s="16" t="s">
        <v>2047</v>
      </c>
      <c r="B78" s="16" t="s">
        <v>2048</v>
      </c>
      <c r="C78" s="16" t="s">
        <v>2049</v>
      </c>
    </row>
    <row r="79">
      <c r="A79" s="16" t="s">
        <v>2050</v>
      </c>
      <c r="B79" s="16" t="s">
        <v>2052</v>
      </c>
      <c r="C79" s="16" t="s">
        <v>2054</v>
      </c>
    </row>
    <row r="80">
      <c r="A80" s="16" t="s">
        <v>2056</v>
      </c>
      <c r="B80" s="16" t="s">
        <v>2058</v>
      </c>
      <c r="C80" s="16" t="s">
        <v>2060</v>
      </c>
    </row>
    <row r="81">
      <c r="A81" s="16" t="s">
        <v>2062</v>
      </c>
      <c r="B81" s="16" t="s">
        <v>2065</v>
      </c>
      <c r="C81" s="16" t="s">
        <v>2070</v>
      </c>
    </row>
    <row r="82">
      <c r="A82" s="16" t="s">
        <v>2073</v>
      </c>
      <c r="B82" s="16" t="s">
        <v>2075</v>
      </c>
      <c r="C82" s="16" t="s">
        <v>2076</v>
      </c>
    </row>
    <row r="83">
      <c r="A83" s="16" t="s">
        <v>2078</v>
      </c>
      <c r="B83" s="16" t="s">
        <v>2080</v>
      </c>
      <c r="C83" s="16" t="s">
        <v>2082</v>
      </c>
    </row>
    <row r="84">
      <c r="A84" s="16" t="s">
        <v>2084</v>
      </c>
      <c r="B84" s="16" t="s">
        <v>2086</v>
      </c>
      <c r="C84" s="16" t="s">
        <v>2088</v>
      </c>
    </row>
    <row r="85">
      <c r="A85" s="16" t="s">
        <v>2090</v>
      </c>
      <c r="B85" s="16" t="s">
        <v>2092</v>
      </c>
      <c r="C85" s="16" t="s">
        <v>2094</v>
      </c>
    </row>
    <row r="86">
      <c r="A86" s="16" t="s">
        <v>2097</v>
      </c>
      <c r="B86" s="16" t="s">
        <v>2100</v>
      </c>
      <c r="C86" s="16" t="s">
        <v>2102</v>
      </c>
    </row>
    <row r="87">
      <c r="A87" s="16" t="s">
        <v>2104</v>
      </c>
      <c r="B87" s="16" t="s">
        <v>2108</v>
      </c>
      <c r="C87" s="16" t="s">
        <v>2110</v>
      </c>
    </row>
    <row r="88">
      <c r="A88" s="16" t="s">
        <v>2113</v>
      </c>
      <c r="B88" s="16" t="s">
        <v>2116</v>
      </c>
      <c r="C88" s="16" t="s">
        <v>2119</v>
      </c>
    </row>
    <row r="89">
      <c r="A89" s="16" t="s">
        <v>2121</v>
      </c>
      <c r="B89" s="16" t="s">
        <v>2124</v>
      </c>
      <c r="C89" s="16" t="s">
        <v>2128</v>
      </c>
    </row>
    <row r="90">
      <c r="A90" s="16" t="s">
        <v>2131</v>
      </c>
      <c r="B90" s="16" t="s">
        <v>2133</v>
      </c>
      <c r="C90" s="16" t="s">
        <v>2136</v>
      </c>
    </row>
    <row r="91">
      <c r="A91" s="16" t="s">
        <v>2142</v>
      </c>
      <c r="B91" s="16" t="s">
        <v>2145</v>
      </c>
      <c r="C91" s="16" t="s">
        <v>2147</v>
      </c>
    </row>
    <row r="92">
      <c r="A92" s="16" t="s">
        <v>2150</v>
      </c>
      <c r="B92" s="16" t="s">
        <v>2151</v>
      </c>
      <c r="C92" s="16" t="s">
        <v>2153</v>
      </c>
    </row>
    <row r="93">
      <c r="A93" s="16" t="s">
        <v>2155</v>
      </c>
      <c r="B93" s="16" t="s">
        <v>2157</v>
      </c>
      <c r="C93" s="16" t="s">
        <v>2158</v>
      </c>
    </row>
    <row r="94">
      <c r="A94" s="16" t="s">
        <v>2160</v>
      </c>
      <c r="B94" s="16" t="s">
        <v>2162</v>
      </c>
      <c r="C94" s="16" t="s">
        <v>2164</v>
      </c>
    </row>
    <row r="95">
      <c r="A95" s="16" t="s">
        <v>2166</v>
      </c>
      <c r="B95" s="16" t="s">
        <v>2167</v>
      </c>
      <c r="C95" s="16" t="s">
        <v>2169</v>
      </c>
    </row>
    <row r="96">
      <c r="A96" s="16" t="s">
        <v>2171</v>
      </c>
      <c r="B96" s="16" t="s">
        <v>2173</v>
      </c>
      <c r="C96" s="16" t="s">
        <v>2175</v>
      </c>
    </row>
    <row r="97">
      <c r="A97" s="16" t="s">
        <v>2178</v>
      </c>
      <c r="B97" s="16" t="s">
        <v>2180</v>
      </c>
      <c r="C97" s="16" t="s">
        <v>2182</v>
      </c>
    </row>
    <row r="98">
      <c r="A98" s="16" t="s">
        <v>2185</v>
      </c>
      <c r="B98" s="16" t="s">
        <v>2186</v>
      </c>
      <c r="C98" s="16" t="s">
        <v>2188</v>
      </c>
    </row>
    <row r="99">
      <c r="A99" s="16" t="s">
        <v>2191</v>
      </c>
      <c r="B99" s="16" t="s">
        <v>2193</v>
      </c>
      <c r="C99" s="16" t="s">
        <v>2195</v>
      </c>
    </row>
    <row r="100">
      <c r="A100" s="16" t="s">
        <v>2197</v>
      </c>
      <c r="B100" s="16" t="s">
        <v>2200</v>
      </c>
      <c r="C100" s="16" t="s">
        <v>2202</v>
      </c>
    </row>
    <row r="101">
      <c r="A101" s="16" t="s">
        <v>2204</v>
      </c>
      <c r="B101" s="16" t="s">
        <v>2207</v>
      </c>
      <c r="C101" s="16" t="s">
        <v>2210</v>
      </c>
    </row>
    <row r="102">
      <c r="A102" s="16" t="s">
        <v>2212</v>
      </c>
      <c r="B102" s="16" t="s">
        <v>2214</v>
      </c>
      <c r="C102" s="16" t="s">
        <v>2216</v>
      </c>
    </row>
    <row r="103">
      <c r="A103" s="16" t="s">
        <v>2219</v>
      </c>
      <c r="B103" s="16" t="s">
        <v>2221</v>
      </c>
      <c r="C103" s="16" t="s">
        <v>2222</v>
      </c>
    </row>
    <row r="104">
      <c r="A104" s="16" t="s">
        <v>2224</v>
      </c>
      <c r="B104" s="16" t="s">
        <v>2226</v>
      </c>
      <c r="C104" s="16" t="s">
        <v>2228</v>
      </c>
    </row>
    <row r="105">
      <c r="A105" s="16" t="s">
        <v>2230</v>
      </c>
      <c r="B105" s="16" t="s">
        <v>2232</v>
      </c>
      <c r="C105" s="16" t="s">
        <v>2234</v>
      </c>
    </row>
    <row r="106">
      <c r="A106" s="16" t="s">
        <v>2237</v>
      </c>
      <c r="B106" s="16" t="s">
        <v>2239</v>
      </c>
      <c r="C106" s="16" t="s">
        <v>2242</v>
      </c>
    </row>
    <row r="107">
      <c r="A107" s="16" t="s">
        <v>2244</v>
      </c>
      <c r="B107" s="16" t="s">
        <v>2245</v>
      </c>
      <c r="C107" s="16" t="s">
        <v>2247</v>
      </c>
    </row>
    <row r="108">
      <c r="A108" s="16" t="s">
        <v>2249</v>
      </c>
      <c r="B108" s="16" t="s">
        <v>2251</v>
      </c>
      <c r="C108" s="16" t="s">
        <v>2253</v>
      </c>
    </row>
    <row r="109">
      <c r="A109" s="16" t="s">
        <v>2255</v>
      </c>
      <c r="B109" s="16" t="s">
        <v>2257</v>
      </c>
      <c r="C109" s="16" t="s">
        <v>2259</v>
      </c>
    </row>
    <row r="110">
      <c r="A110" s="16" t="s">
        <v>2261</v>
      </c>
      <c r="B110" s="16" t="s">
        <v>2262</v>
      </c>
      <c r="C110" s="16" t="s">
        <v>2265</v>
      </c>
    </row>
    <row r="111">
      <c r="A111" s="16" t="s">
        <v>2267</v>
      </c>
      <c r="B111" s="16" t="s">
        <v>2270</v>
      </c>
      <c r="C111" s="16" t="s">
        <v>2273</v>
      </c>
    </row>
    <row r="112">
      <c r="A112" s="16" t="s">
        <v>2276</v>
      </c>
      <c r="B112" s="16" t="s">
        <v>2279</v>
      </c>
      <c r="C112" s="16" t="s">
        <v>2281</v>
      </c>
    </row>
    <row r="113">
      <c r="A113" s="16" t="s">
        <v>2283</v>
      </c>
      <c r="B113" s="16" t="s">
        <v>2285</v>
      </c>
      <c r="C113" s="16" t="s">
        <v>2287</v>
      </c>
    </row>
    <row r="114">
      <c r="A114" s="16" t="s">
        <v>2290</v>
      </c>
      <c r="B114" s="16" t="s">
        <v>2292</v>
      </c>
      <c r="C114" s="16" t="s">
        <v>2293</v>
      </c>
    </row>
    <row r="115">
      <c r="A115" s="16" t="s">
        <v>2296</v>
      </c>
      <c r="B115" s="16" t="s">
        <v>2298</v>
      </c>
      <c r="C115" s="16" t="s">
        <v>2300</v>
      </c>
    </row>
    <row r="116">
      <c r="A116" s="17" t="s">
        <v>2309</v>
      </c>
      <c r="B116" s="16" t="s">
        <v>2313</v>
      </c>
      <c r="C116" s="16" t="s">
        <v>2315</v>
      </c>
    </row>
    <row r="117">
      <c r="A117" s="16" t="s">
        <v>2318</v>
      </c>
      <c r="B117" s="16" t="s">
        <v>2320</v>
      </c>
      <c r="C117" s="16" t="s">
        <v>2321</v>
      </c>
    </row>
    <row r="118">
      <c r="A118" s="16" t="s">
        <v>2325</v>
      </c>
      <c r="B118" s="16" t="s">
        <v>2327</v>
      </c>
      <c r="C118" s="16" t="s">
        <v>2329</v>
      </c>
    </row>
    <row r="119">
      <c r="A119" s="16" t="s">
        <v>2331</v>
      </c>
      <c r="B119" s="16" t="s">
        <v>2332</v>
      </c>
      <c r="C119" s="16" t="s">
        <v>2334</v>
      </c>
    </row>
    <row r="120">
      <c r="A120" s="16" t="s">
        <v>2336</v>
      </c>
      <c r="B120" s="16" t="s">
        <v>2338</v>
      </c>
      <c r="C120" s="16" t="s">
        <v>2340</v>
      </c>
    </row>
    <row r="121">
      <c r="A121" s="16" t="s">
        <v>2342</v>
      </c>
      <c r="B121" s="16" t="s">
        <v>2344</v>
      </c>
      <c r="C121" s="16" t="s">
        <v>2346</v>
      </c>
    </row>
    <row r="122">
      <c r="A122" s="16" t="s">
        <v>2348</v>
      </c>
      <c r="B122" s="16" t="s">
        <v>2352</v>
      </c>
      <c r="C122" s="16" t="s">
        <v>2354</v>
      </c>
    </row>
    <row r="123">
      <c r="A123" s="16" t="s">
        <v>2357</v>
      </c>
      <c r="B123" s="16" t="s">
        <v>2359</v>
      </c>
      <c r="C123" s="16" t="s">
        <v>2360</v>
      </c>
    </row>
    <row r="124">
      <c r="A124" s="16" t="s">
        <v>2361</v>
      </c>
      <c r="B124" s="16" t="s">
        <v>2362</v>
      </c>
      <c r="C124" s="16" t="s">
        <v>2363</v>
      </c>
    </row>
    <row r="125">
      <c r="A125" s="16" t="s">
        <v>2364</v>
      </c>
      <c r="B125" s="16" t="s">
        <v>2365</v>
      </c>
      <c r="C125" s="16" t="s">
        <v>2366</v>
      </c>
    </row>
    <row r="126">
      <c r="A126" s="16" t="s">
        <v>2367</v>
      </c>
      <c r="B126" s="16" t="s">
        <v>2368</v>
      </c>
      <c r="C126" s="16" t="s">
        <v>2369</v>
      </c>
    </row>
    <row r="127">
      <c r="A127" s="16" t="s">
        <v>2370</v>
      </c>
      <c r="B127" s="16" t="s">
        <v>2371</v>
      </c>
      <c r="C127" s="16" t="s">
        <v>2372</v>
      </c>
    </row>
  </sheetData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5"/>
    <col customWidth="1" min="2" max="2" width="28.63"/>
    <col customWidth="1" min="3" max="3" width="24.0"/>
  </cols>
  <sheetData>
    <row r="1" ht="82.5" customHeight="1">
      <c r="A1" s="1" t="s">
        <v>0</v>
      </c>
      <c r="B1" s="1" t="s">
        <v>1</v>
      </c>
      <c r="C1" s="1" t="s">
        <v>2</v>
      </c>
    </row>
    <row r="2">
      <c r="A2" s="7" t="s">
        <v>1523</v>
      </c>
      <c r="B2" s="7" t="s">
        <v>1524</v>
      </c>
      <c r="C2" s="7" t="s">
        <v>1525</v>
      </c>
    </row>
    <row r="3">
      <c r="A3" s="7" t="s">
        <v>1527</v>
      </c>
      <c r="B3" s="7" t="s">
        <v>1529</v>
      </c>
      <c r="C3" s="6" t="s">
        <v>1531</v>
      </c>
    </row>
    <row r="4">
      <c r="A4" s="7" t="s">
        <v>1533</v>
      </c>
      <c r="B4" s="7" t="s">
        <v>1535</v>
      </c>
      <c r="C4" s="6" t="s">
        <v>1539</v>
      </c>
    </row>
    <row r="5">
      <c r="A5" s="7" t="s">
        <v>1549</v>
      </c>
      <c r="B5" s="7" t="s">
        <v>1552</v>
      </c>
      <c r="C5" s="6" t="s">
        <v>1554</v>
      </c>
    </row>
    <row r="6">
      <c r="A6" s="7" t="s">
        <v>1556</v>
      </c>
      <c r="B6" s="7" t="s">
        <v>1558</v>
      </c>
      <c r="C6" s="6" t="s">
        <v>1560</v>
      </c>
    </row>
    <row r="7">
      <c r="A7" s="7" t="s">
        <v>1561</v>
      </c>
      <c r="B7" s="7" t="s">
        <v>1563</v>
      </c>
      <c r="C7" s="6" t="s">
        <v>1566</v>
      </c>
    </row>
    <row r="8">
      <c r="A8" s="7" t="s">
        <v>1568</v>
      </c>
      <c r="B8" s="7" t="s">
        <v>1570</v>
      </c>
      <c r="C8" s="6" t="s">
        <v>1572</v>
      </c>
    </row>
    <row r="9">
      <c r="A9" s="7" t="s">
        <v>1573</v>
      </c>
      <c r="B9" s="7" t="s">
        <v>1575</v>
      </c>
      <c r="C9" s="6" t="s">
        <v>1577</v>
      </c>
    </row>
    <row r="10">
      <c r="A10" s="7" t="s">
        <v>1580</v>
      </c>
      <c r="B10" s="7" t="s">
        <v>1581</v>
      </c>
      <c r="C10" s="6" t="s">
        <v>1583</v>
      </c>
    </row>
    <row r="11">
      <c r="A11" s="7" t="s">
        <v>1585</v>
      </c>
      <c r="B11" s="7" t="s">
        <v>1586</v>
      </c>
      <c r="C11" s="6" t="s">
        <v>1588</v>
      </c>
    </row>
    <row r="12">
      <c r="A12" s="7" t="s">
        <v>1590</v>
      </c>
      <c r="B12" s="7" t="s">
        <v>1592</v>
      </c>
      <c r="C12" s="6" t="s">
        <v>1594</v>
      </c>
    </row>
    <row r="13">
      <c r="A13" s="7" t="s">
        <v>1596</v>
      </c>
      <c r="B13" s="7" t="s">
        <v>1597</v>
      </c>
      <c r="C13" s="6" t="s">
        <v>1599</v>
      </c>
    </row>
    <row r="14">
      <c r="A14" s="7" t="s">
        <v>1601</v>
      </c>
      <c r="B14" s="7" t="s">
        <v>1604</v>
      </c>
      <c r="C14" s="6" t="s">
        <v>1607</v>
      </c>
    </row>
    <row r="15">
      <c r="A15" s="7" t="s">
        <v>1610</v>
      </c>
      <c r="B15" s="7" t="s">
        <v>1612</v>
      </c>
      <c r="C15" s="6" t="s">
        <v>1614</v>
      </c>
    </row>
    <row r="16">
      <c r="A16" s="7" t="s">
        <v>1616</v>
      </c>
      <c r="B16" s="7" t="s">
        <v>1617</v>
      </c>
      <c r="C16" s="6" t="s">
        <v>1620</v>
      </c>
    </row>
    <row r="17">
      <c r="A17" s="7" t="s">
        <v>1622</v>
      </c>
      <c r="B17" s="7" t="s">
        <v>1624</v>
      </c>
      <c r="C17" s="6" t="s">
        <v>1625</v>
      </c>
    </row>
    <row r="18">
      <c r="A18" s="7" t="s">
        <v>1627</v>
      </c>
      <c r="B18" s="7" t="s">
        <v>1629</v>
      </c>
      <c r="C18" s="6" t="s">
        <v>1631</v>
      </c>
    </row>
    <row r="19">
      <c r="A19" s="7" t="s">
        <v>1633</v>
      </c>
      <c r="B19" s="7" t="s">
        <v>1635</v>
      </c>
      <c r="C19" s="6" t="s">
        <v>1641</v>
      </c>
    </row>
    <row r="20">
      <c r="A20" s="7" t="s">
        <v>1643</v>
      </c>
      <c r="B20" s="7" t="s">
        <v>1645</v>
      </c>
      <c r="C20" s="6" t="s">
        <v>1647</v>
      </c>
    </row>
    <row r="21">
      <c r="A21" s="7" t="s">
        <v>1649</v>
      </c>
      <c r="B21" s="7" t="s">
        <v>1651</v>
      </c>
      <c r="C21" s="6" t="s">
        <v>1653</v>
      </c>
    </row>
    <row r="22">
      <c r="A22" s="7" t="s">
        <v>1655</v>
      </c>
      <c r="B22" s="7" t="s">
        <v>1656</v>
      </c>
      <c r="C22" s="6" t="s">
        <v>1658</v>
      </c>
    </row>
    <row r="23">
      <c r="A23" s="7" t="s">
        <v>1659</v>
      </c>
      <c r="B23" s="7" t="s">
        <v>1661</v>
      </c>
      <c r="C23" s="6" t="s">
        <v>1663</v>
      </c>
    </row>
    <row r="24">
      <c r="A24" s="7" t="s">
        <v>1667</v>
      </c>
      <c r="B24" s="7" t="s">
        <v>1669</v>
      </c>
      <c r="C24" s="6" t="s">
        <v>1676</v>
      </c>
    </row>
    <row r="25">
      <c r="A25" s="7" t="s">
        <v>1679</v>
      </c>
      <c r="B25" s="7" t="s">
        <v>1681</v>
      </c>
      <c r="C25" s="6" t="s">
        <v>1683</v>
      </c>
    </row>
    <row r="26">
      <c r="A26" s="7" t="s">
        <v>1686</v>
      </c>
      <c r="B26" s="7" t="s">
        <v>1688</v>
      </c>
      <c r="C26" s="6" t="s">
        <v>1691</v>
      </c>
    </row>
    <row r="27">
      <c r="A27" s="7" t="s">
        <v>1694</v>
      </c>
      <c r="B27" s="7" t="s">
        <v>1696</v>
      </c>
      <c r="C27" s="6" t="s">
        <v>1699</v>
      </c>
    </row>
    <row r="28">
      <c r="A28" s="7" t="s">
        <v>1704</v>
      </c>
      <c r="B28" s="7" t="s">
        <v>1707</v>
      </c>
      <c r="C28" s="6" t="s">
        <v>1710</v>
      </c>
    </row>
    <row r="29">
      <c r="A29" s="7" t="s">
        <v>1715</v>
      </c>
      <c r="B29" s="7" t="s">
        <v>1718</v>
      </c>
      <c r="C29" s="6" t="s">
        <v>1723</v>
      </c>
    </row>
    <row r="30">
      <c r="A30" s="7" t="s">
        <v>1727</v>
      </c>
      <c r="B30" s="7" t="s">
        <v>1730</v>
      </c>
      <c r="C30" s="6" t="s">
        <v>1734</v>
      </c>
    </row>
    <row r="31">
      <c r="A31" s="7" t="s">
        <v>1739</v>
      </c>
      <c r="B31" s="7" t="s">
        <v>1743</v>
      </c>
      <c r="C31" s="6" t="s">
        <v>1746</v>
      </c>
    </row>
    <row r="32">
      <c r="A32" s="7" t="s">
        <v>1750</v>
      </c>
      <c r="B32" s="7" t="s">
        <v>1753</v>
      </c>
      <c r="C32" s="6" t="s">
        <v>1757</v>
      </c>
    </row>
    <row r="33">
      <c r="A33" s="7" t="s">
        <v>1761</v>
      </c>
      <c r="B33" s="7" t="s">
        <v>1764</v>
      </c>
      <c r="C33" s="6" t="s">
        <v>1768</v>
      </c>
    </row>
    <row r="34">
      <c r="A34" s="7" t="s">
        <v>1772</v>
      </c>
      <c r="B34" s="7" t="s">
        <v>1775</v>
      </c>
      <c r="C34" s="6" t="s">
        <v>1778</v>
      </c>
    </row>
    <row r="35">
      <c r="A35" s="7" t="s">
        <v>1782</v>
      </c>
      <c r="B35" s="7" t="s">
        <v>1785</v>
      </c>
      <c r="C35" s="6" t="s">
        <v>1788</v>
      </c>
    </row>
    <row r="36">
      <c r="A36" s="7" t="s">
        <v>1794</v>
      </c>
      <c r="B36" s="7" t="s">
        <v>1796</v>
      </c>
      <c r="C36" s="6" t="s">
        <v>1799</v>
      </c>
    </row>
    <row r="37">
      <c r="A37" s="7" t="s">
        <v>1803</v>
      </c>
      <c r="B37" s="7" t="s">
        <v>1806</v>
      </c>
      <c r="C37" s="6" t="s">
        <v>1810</v>
      </c>
    </row>
    <row r="38">
      <c r="A38" s="7" t="s">
        <v>1813</v>
      </c>
      <c r="B38" s="7" t="s">
        <v>1815</v>
      </c>
      <c r="C38" s="6" t="s">
        <v>1818</v>
      </c>
    </row>
    <row r="39">
      <c r="A39" s="7" t="s">
        <v>1822</v>
      </c>
      <c r="B39" s="7" t="s">
        <v>1825</v>
      </c>
      <c r="C39" s="6" t="s">
        <v>1827</v>
      </c>
    </row>
    <row r="40">
      <c r="A40" s="7" t="s">
        <v>1832</v>
      </c>
      <c r="B40" s="7" t="s">
        <v>1836</v>
      </c>
      <c r="C40" s="6" t="s">
        <v>1838</v>
      </c>
    </row>
    <row r="41">
      <c r="A41" s="7" t="s">
        <v>1843</v>
      </c>
      <c r="B41" s="7" t="s">
        <v>1846</v>
      </c>
      <c r="C41" s="6" t="s">
        <v>1850</v>
      </c>
    </row>
    <row r="42">
      <c r="A42" s="9" t="s">
        <v>1853</v>
      </c>
      <c r="B42" s="7" t="s">
        <v>1857</v>
      </c>
      <c r="C42" s="10" t="s">
        <v>1859</v>
      </c>
    </row>
    <row r="43">
      <c r="A43" s="9" t="s">
        <v>1865</v>
      </c>
      <c r="B43" s="7" t="s">
        <v>1867</v>
      </c>
      <c r="C43" s="10" t="s">
        <v>1870</v>
      </c>
    </row>
    <row r="44">
      <c r="A44" s="9" t="s">
        <v>1875</v>
      </c>
      <c r="B44" s="7" t="s">
        <v>1877</v>
      </c>
      <c r="C44" s="10" t="s">
        <v>1879</v>
      </c>
    </row>
    <row r="45">
      <c r="A45" s="9" t="s">
        <v>1885</v>
      </c>
      <c r="B45" s="7" t="s">
        <v>1888</v>
      </c>
      <c r="C45" s="10" t="s">
        <v>1892</v>
      </c>
    </row>
    <row r="46">
      <c r="A46" s="9" t="s">
        <v>1897</v>
      </c>
      <c r="B46" s="7" t="s">
        <v>1899</v>
      </c>
      <c r="C46" s="10" t="s">
        <v>1902</v>
      </c>
    </row>
    <row r="47">
      <c r="A47" s="9" t="s">
        <v>1907</v>
      </c>
      <c r="B47" s="7" t="s">
        <v>1908</v>
      </c>
      <c r="C47" s="10" t="s">
        <v>1911</v>
      </c>
    </row>
    <row r="48">
      <c r="A48" s="9" t="s">
        <v>1915</v>
      </c>
      <c r="B48" s="7" t="s">
        <v>1918</v>
      </c>
      <c r="C48" s="10" t="s">
        <v>1921</v>
      </c>
    </row>
    <row r="49">
      <c r="A49" s="9" t="s">
        <v>1926</v>
      </c>
      <c r="B49" s="7" t="s">
        <v>1929</v>
      </c>
      <c r="C49" s="10" t="s">
        <v>1933</v>
      </c>
    </row>
    <row r="50">
      <c r="A50" s="9" t="s">
        <v>1937</v>
      </c>
      <c r="B50" s="7" t="s">
        <v>1940</v>
      </c>
      <c r="C50" s="10" t="s">
        <v>1943</v>
      </c>
    </row>
    <row r="51">
      <c r="A51" s="7" t="s">
        <v>1947</v>
      </c>
      <c r="B51" s="7" t="s">
        <v>1949</v>
      </c>
      <c r="C51" s="6" t="s">
        <v>1952</v>
      </c>
    </row>
    <row r="52">
      <c r="A52" s="7" t="s">
        <v>1955</v>
      </c>
      <c r="B52" s="7" t="s">
        <v>1958</v>
      </c>
      <c r="C52" s="6" t="s">
        <v>1961</v>
      </c>
    </row>
    <row r="53">
      <c r="A53" s="7" t="s">
        <v>1963</v>
      </c>
      <c r="B53" s="7" t="s">
        <v>1964</v>
      </c>
      <c r="C53" s="6" t="s">
        <v>1966</v>
      </c>
    </row>
    <row r="54">
      <c r="A54" s="7" t="s">
        <v>1970</v>
      </c>
      <c r="B54" s="7" t="s">
        <v>1972</v>
      </c>
      <c r="C54" s="10" t="s">
        <v>1974</v>
      </c>
    </row>
    <row r="55">
      <c r="A55" s="7" t="s">
        <v>1977</v>
      </c>
      <c r="B55" s="7" t="s">
        <v>1979</v>
      </c>
      <c r="C55" s="10" t="s">
        <v>1981</v>
      </c>
    </row>
    <row r="56">
      <c r="A56" s="7" t="s">
        <v>1984</v>
      </c>
      <c r="B56" s="7" t="s">
        <v>1986</v>
      </c>
      <c r="C56" s="10" t="s">
        <v>1988</v>
      </c>
    </row>
    <row r="57">
      <c r="A57" s="7" t="s">
        <v>1990</v>
      </c>
      <c r="B57" s="7" t="s">
        <v>1992</v>
      </c>
      <c r="C57" s="6" t="s">
        <v>1994</v>
      </c>
    </row>
    <row r="58">
      <c r="A58" s="7" t="s">
        <v>1996</v>
      </c>
      <c r="B58" s="7" t="s">
        <v>1998</v>
      </c>
      <c r="C58" s="6" t="s">
        <v>2000</v>
      </c>
    </row>
    <row r="59">
      <c r="A59" s="7" t="s">
        <v>2002</v>
      </c>
      <c r="B59" s="7" t="s">
        <v>2004</v>
      </c>
      <c r="C59" s="6" t="s">
        <v>2006</v>
      </c>
    </row>
    <row r="60">
      <c r="A60" s="7" t="s">
        <v>2011</v>
      </c>
      <c r="B60" s="7" t="s">
        <v>2013</v>
      </c>
      <c r="C60" s="6" t="s">
        <v>2014</v>
      </c>
    </row>
    <row r="61">
      <c r="A61" s="7" t="s">
        <v>2017</v>
      </c>
      <c r="B61" s="7" t="s">
        <v>2019</v>
      </c>
      <c r="C61" s="6" t="s">
        <v>2021</v>
      </c>
    </row>
    <row r="62">
      <c r="A62" s="7" t="s">
        <v>2023</v>
      </c>
      <c r="B62" s="7" t="s">
        <v>2025</v>
      </c>
      <c r="C62" s="6" t="s">
        <v>2026</v>
      </c>
    </row>
    <row r="63">
      <c r="A63" s="7" t="s">
        <v>2027</v>
      </c>
      <c r="B63" s="7" t="s">
        <v>2028</v>
      </c>
      <c r="C63" s="6" t="s">
        <v>2030</v>
      </c>
    </row>
    <row r="64">
      <c r="A64" s="7" t="s">
        <v>2033</v>
      </c>
      <c r="B64" s="7" t="s">
        <v>2034</v>
      </c>
      <c r="C64" s="6" t="s">
        <v>2037</v>
      </c>
    </row>
    <row r="65">
      <c r="A65" s="7" t="s">
        <v>2041</v>
      </c>
      <c r="B65" s="7" t="s">
        <v>2042</v>
      </c>
      <c r="C65" s="6" t="s">
        <v>2044</v>
      </c>
    </row>
    <row r="66">
      <c r="A66" s="7" t="s">
        <v>2051</v>
      </c>
      <c r="B66" s="7" t="s">
        <v>2053</v>
      </c>
      <c r="C66" s="6" t="s">
        <v>2055</v>
      </c>
    </row>
    <row r="67">
      <c r="A67" s="7" t="s">
        <v>2057</v>
      </c>
      <c r="B67" s="7" t="s">
        <v>2059</v>
      </c>
      <c r="C67" s="6" t="s">
        <v>2061</v>
      </c>
    </row>
    <row r="68">
      <c r="A68" s="7" t="s">
        <v>2063</v>
      </c>
      <c r="B68" s="7" t="s">
        <v>2066</v>
      </c>
      <c r="C68" s="6" t="s">
        <v>2068</v>
      </c>
    </row>
    <row r="69">
      <c r="A69" s="6" t="s">
        <v>2071</v>
      </c>
      <c r="B69" s="7" t="s">
        <v>2072</v>
      </c>
      <c r="C69" s="7" t="s">
        <v>2074</v>
      </c>
    </row>
    <row r="70">
      <c r="A70" s="6" t="s">
        <v>2077</v>
      </c>
      <c r="B70" s="7" t="s">
        <v>2079</v>
      </c>
      <c r="C70" s="7" t="s">
        <v>2081</v>
      </c>
    </row>
    <row r="71">
      <c r="A71" s="6" t="s">
        <v>2083</v>
      </c>
      <c r="B71" s="7" t="s">
        <v>2085</v>
      </c>
      <c r="C71" s="7" t="s">
        <v>2087</v>
      </c>
    </row>
    <row r="72">
      <c r="A72" s="6" t="s">
        <v>2089</v>
      </c>
      <c r="B72" s="7" t="s">
        <v>2091</v>
      </c>
      <c r="C72" s="7" t="s">
        <v>2093</v>
      </c>
    </row>
    <row r="73">
      <c r="A73" s="6" t="s">
        <v>2095</v>
      </c>
      <c r="B73" s="7" t="s">
        <v>2096</v>
      </c>
      <c r="C73" s="7" t="s">
        <v>2099</v>
      </c>
    </row>
    <row r="74">
      <c r="A74" s="6" t="s">
        <v>2103</v>
      </c>
      <c r="B74" s="7" t="s">
        <v>2105</v>
      </c>
      <c r="C74" s="7" t="s">
        <v>2106</v>
      </c>
    </row>
    <row r="75">
      <c r="A75" s="6" t="s">
        <v>2111</v>
      </c>
      <c r="B75" s="7" t="s">
        <v>2114</v>
      </c>
      <c r="C75" s="6" t="s">
        <v>2118</v>
      </c>
    </row>
    <row r="76">
      <c r="A76" s="6" t="s">
        <v>2123</v>
      </c>
      <c r="B76" s="7" t="s">
        <v>2126</v>
      </c>
      <c r="C76" s="6" t="s">
        <v>2129</v>
      </c>
    </row>
    <row r="77">
      <c r="A77" s="6" t="s">
        <v>2134</v>
      </c>
      <c r="B77" s="7" t="s">
        <v>2137</v>
      </c>
      <c r="C77" s="6" t="s">
        <v>2139</v>
      </c>
    </row>
    <row r="78">
      <c r="A78" s="6" t="s">
        <v>2144</v>
      </c>
      <c r="B78" s="7" t="s">
        <v>2148</v>
      </c>
      <c r="C78" s="6" t="s">
        <v>2149</v>
      </c>
    </row>
    <row r="79">
      <c r="A79" s="6" t="s">
        <v>2152</v>
      </c>
      <c r="B79" s="10" t="s">
        <v>2154</v>
      </c>
      <c r="C79" s="6" t="s">
        <v>2156</v>
      </c>
    </row>
    <row r="80">
      <c r="A80" s="6" t="s">
        <v>2159</v>
      </c>
      <c r="B80" s="10" t="s">
        <v>2161</v>
      </c>
      <c r="C80" s="6" t="s">
        <v>2163</v>
      </c>
    </row>
    <row r="81">
      <c r="A81" s="6" t="s">
        <v>2165</v>
      </c>
      <c r="B81" s="10" t="s">
        <v>2168</v>
      </c>
      <c r="C81" s="6" t="s">
        <v>2170</v>
      </c>
    </row>
    <row r="82">
      <c r="A82" s="6" t="s">
        <v>2172</v>
      </c>
      <c r="B82" s="10" t="s">
        <v>2174</v>
      </c>
      <c r="C82" s="6" t="s">
        <v>2177</v>
      </c>
    </row>
    <row r="83">
      <c r="A83" s="6" t="s">
        <v>2181</v>
      </c>
      <c r="B83" s="10" t="s">
        <v>2183</v>
      </c>
      <c r="C83" s="6" t="s">
        <v>2184</v>
      </c>
    </row>
    <row r="84">
      <c r="A84" s="6" t="s">
        <v>2187</v>
      </c>
      <c r="B84" s="10" t="s">
        <v>2189</v>
      </c>
      <c r="C84" s="6" t="s">
        <v>2190</v>
      </c>
    </row>
    <row r="85">
      <c r="A85" s="6" t="s">
        <v>2192</v>
      </c>
      <c r="B85" s="7" t="s">
        <v>2194</v>
      </c>
      <c r="C85" s="7" t="s">
        <v>2196</v>
      </c>
    </row>
    <row r="86">
      <c r="A86" s="6" t="s">
        <v>2198</v>
      </c>
      <c r="B86" s="7" t="s">
        <v>2199</v>
      </c>
      <c r="C86" s="7" t="s">
        <v>2201</v>
      </c>
    </row>
    <row r="87">
      <c r="A87" s="6" t="s">
        <v>2203</v>
      </c>
      <c r="B87" s="10" t="s">
        <v>2206</v>
      </c>
      <c r="C87" s="6" t="s">
        <v>2209</v>
      </c>
    </row>
    <row r="88">
      <c r="A88" s="6" t="s">
        <v>2211</v>
      </c>
      <c r="B88" s="10" t="s">
        <v>2213</v>
      </c>
      <c r="C88" s="6" t="s">
        <v>2215</v>
      </c>
    </row>
    <row r="89">
      <c r="A89" s="6" t="s">
        <v>2217</v>
      </c>
      <c r="B89" s="10" t="s">
        <v>2218</v>
      </c>
      <c r="C89" s="6" t="s">
        <v>2220</v>
      </c>
    </row>
    <row r="90">
      <c r="A90" s="6" t="s">
        <v>2223</v>
      </c>
      <c r="B90" s="10" t="s">
        <v>2225</v>
      </c>
      <c r="C90" s="6" t="s">
        <v>2227</v>
      </c>
    </row>
    <row r="91">
      <c r="A91" s="6" t="s">
        <v>2229</v>
      </c>
      <c r="B91" s="10" t="s">
        <v>2231</v>
      </c>
      <c r="C91" s="6" t="s">
        <v>2233</v>
      </c>
    </row>
    <row r="92">
      <c r="A92" s="6" t="s">
        <v>2235</v>
      </c>
      <c r="B92" s="10" t="s">
        <v>2238</v>
      </c>
      <c r="C92" s="6" t="s">
        <v>2241</v>
      </c>
    </row>
    <row r="93">
      <c r="A93" s="6" t="s">
        <v>2243</v>
      </c>
      <c r="B93" s="10" t="s">
        <v>2246</v>
      </c>
      <c r="C93" s="6" t="s">
        <v>2248</v>
      </c>
    </row>
    <row r="94">
      <c r="A94" s="6" t="s">
        <v>2250</v>
      </c>
      <c r="B94" s="10" t="s">
        <v>2252</v>
      </c>
      <c r="C94" s="6" t="s">
        <v>2254</v>
      </c>
    </row>
    <row r="95">
      <c r="A95" s="6" t="s">
        <v>2256</v>
      </c>
      <c r="B95" s="10" t="s">
        <v>2258</v>
      </c>
      <c r="C95" s="6" t="s">
        <v>2260</v>
      </c>
    </row>
    <row r="96">
      <c r="A96" s="6" t="s">
        <v>2263</v>
      </c>
      <c r="B96" s="10" t="s">
        <v>2264</v>
      </c>
      <c r="C96" s="6" t="s">
        <v>2266</v>
      </c>
    </row>
    <row r="97">
      <c r="A97" s="6" t="s">
        <v>2269</v>
      </c>
      <c r="B97" s="10" t="s">
        <v>2272</v>
      </c>
      <c r="C97" s="6" t="s">
        <v>2275</v>
      </c>
    </row>
    <row r="98">
      <c r="A98" s="6" t="s">
        <v>2277</v>
      </c>
      <c r="B98" s="10" t="s">
        <v>2278</v>
      </c>
      <c r="C98" s="6" t="s">
        <v>2280</v>
      </c>
    </row>
    <row r="99">
      <c r="A99" s="6" t="s">
        <v>2282</v>
      </c>
      <c r="B99" s="10" t="s">
        <v>2284</v>
      </c>
      <c r="C99" s="6" t="s">
        <v>2286</v>
      </c>
    </row>
    <row r="100">
      <c r="A100" s="6" t="s">
        <v>2288</v>
      </c>
      <c r="B100" s="10" t="s">
        <v>2289</v>
      </c>
      <c r="C100" s="6" t="s">
        <v>2291</v>
      </c>
    </row>
    <row r="101">
      <c r="A101" s="6" t="s">
        <v>2294</v>
      </c>
      <c r="B101" s="10" t="s">
        <v>2295</v>
      </c>
      <c r="C101" s="6" t="s">
        <v>2297</v>
      </c>
    </row>
    <row r="102">
      <c r="A102" s="6" t="s">
        <v>2302</v>
      </c>
      <c r="B102" s="10" t="s">
        <v>2304</v>
      </c>
      <c r="C102" s="6" t="s">
        <v>2305</v>
      </c>
    </row>
    <row r="103">
      <c r="A103" s="6" t="s">
        <v>2306</v>
      </c>
      <c r="B103" s="10" t="s">
        <v>2307</v>
      </c>
      <c r="C103" s="6" t="s">
        <v>2308</v>
      </c>
    </row>
    <row r="104">
      <c r="A104" s="6" t="s">
        <v>2310</v>
      </c>
      <c r="B104" s="10" t="s">
        <v>2311</v>
      </c>
      <c r="C104" s="6" t="s">
        <v>2312</v>
      </c>
    </row>
    <row r="105">
      <c r="A105" s="6" t="s">
        <v>2314</v>
      </c>
      <c r="B105" s="10" t="s">
        <v>2316</v>
      </c>
      <c r="C105" s="6" t="s">
        <v>2317</v>
      </c>
    </row>
    <row r="106">
      <c r="A106" s="6" t="s">
        <v>2319</v>
      </c>
      <c r="B106" s="10" t="s">
        <v>2307</v>
      </c>
      <c r="C106" s="6" t="s">
        <v>2323</v>
      </c>
    </row>
    <row r="107">
      <c r="A107" s="6" t="s">
        <v>2326</v>
      </c>
      <c r="B107" s="10" t="s">
        <v>2311</v>
      </c>
      <c r="C107" s="6" t="s">
        <v>2328</v>
      </c>
    </row>
    <row r="108">
      <c r="A108" s="6" t="s">
        <v>2330</v>
      </c>
      <c r="B108" s="10" t="s">
        <v>2316</v>
      </c>
      <c r="C108" s="6" t="s">
        <v>2333</v>
      </c>
    </row>
    <row r="109">
      <c r="A109" s="6" t="s">
        <v>2335</v>
      </c>
      <c r="B109" s="7" t="s">
        <v>2337</v>
      </c>
      <c r="C109" s="6" t="s">
        <v>2339</v>
      </c>
    </row>
    <row r="110">
      <c r="A110" s="6" t="s">
        <v>2341</v>
      </c>
      <c r="B110" s="7" t="s">
        <v>2343</v>
      </c>
      <c r="C110" s="6" t="s">
        <v>2345</v>
      </c>
    </row>
    <row r="111">
      <c r="A111" s="6" t="s">
        <v>2347</v>
      </c>
      <c r="B111" s="10" t="s">
        <v>2349</v>
      </c>
      <c r="C111" s="6" t="s">
        <v>2351</v>
      </c>
    </row>
    <row r="112">
      <c r="A112" s="6" t="s">
        <v>2355</v>
      </c>
      <c r="B112" s="10" t="s">
        <v>2356</v>
      </c>
      <c r="C112" s="6" t="s">
        <v>2358</v>
      </c>
    </row>
  </sheetData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  <col customWidth="1" min="2" max="2" width="32.88"/>
    <col customWidth="1" min="3" max="3" width="35.63"/>
  </cols>
  <sheetData>
    <row r="1" ht="72.0" customHeight="1">
      <c r="A1" s="1" t="s">
        <v>0</v>
      </c>
      <c r="B1" s="1" t="s">
        <v>1</v>
      </c>
      <c r="C1" s="1" t="s">
        <v>2</v>
      </c>
    </row>
    <row r="2">
      <c r="A2" s="7" t="s">
        <v>1547</v>
      </c>
      <c r="B2" s="7" t="s">
        <v>1547</v>
      </c>
      <c r="C2" s="7" t="s">
        <v>805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  <col customWidth="1" min="2" max="2" width="36.13"/>
    <col customWidth="1" min="3" max="3" width="39.13"/>
  </cols>
  <sheetData>
    <row r="1" ht="90.0" customHeight="1">
      <c r="A1" s="1" t="s">
        <v>0</v>
      </c>
      <c r="B1" s="1" t="s">
        <v>1</v>
      </c>
      <c r="C1" s="1" t="s">
        <v>2</v>
      </c>
    </row>
    <row r="2">
      <c r="A2" s="7" t="s">
        <v>1695</v>
      </c>
      <c r="B2" s="7" t="s">
        <v>1698</v>
      </c>
      <c r="C2" s="10" t="s">
        <v>1701</v>
      </c>
    </row>
    <row r="3">
      <c r="A3" s="7" t="s">
        <v>1703</v>
      </c>
      <c r="B3" s="7" t="s">
        <v>1705</v>
      </c>
      <c r="C3" s="10" t="s">
        <v>1708</v>
      </c>
    </row>
    <row r="4">
      <c r="A4" s="7" t="s">
        <v>1711</v>
      </c>
      <c r="B4" s="7" t="s">
        <v>1713</v>
      </c>
      <c r="C4" s="10" t="s">
        <v>1714</v>
      </c>
    </row>
    <row r="5">
      <c r="A5" s="7" t="s">
        <v>1717</v>
      </c>
      <c r="B5" s="7" t="s">
        <v>1720</v>
      </c>
      <c r="C5" s="10" t="s">
        <v>1722</v>
      </c>
    </row>
    <row r="6">
      <c r="A6" s="7" t="s">
        <v>1724</v>
      </c>
      <c r="B6" s="7" t="s">
        <v>1726</v>
      </c>
      <c r="C6" s="10" t="s">
        <v>1728</v>
      </c>
    </row>
    <row r="7">
      <c r="A7" s="7" t="s">
        <v>1731</v>
      </c>
      <c r="B7" s="7" t="s">
        <v>1733</v>
      </c>
      <c r="C7" s="10" t="s">
        <v>1735</v>
      </c>
    </row>
    <row r="8">
      <c r="A8" s="7" t="s">
        <v>1738</v>
      </c>
      <c r="B8" s="7" t="s">
        <v>1741</v>
      </c>
      <c r="C8" s="10" t="s">
        <v>1744</v>
      </c>
    </row>
    <row r="9">
      <c r="A9" s="7" t="s">
        <v>1747</v>
      </c>
      <c r="B9" s="7" t="s">
        <v>1748</v>
      </c>
      <c r="C9" s="10" t="s">
        <v>1749</v>
      </c>
    </row>
    <row r="10">
      <c r="A10" s="7" t="s">
        <v>1752</v>
      </c>
      <c r="B10" s="7" t="s">
        <v>1754</v>
      </c>
      <c r="C10" s="10" t="s">
        <v>1756</v>
      </c>
    </row>
    <row r="11">
      <c r="A11" s="7" t="s">
        <v>1759</v>
      </c>
      <c r="B11" s="7" t="s">
        <v>1760</v>
      </c>
      <c r="C11" s="10" t="s">
        <v>1763</v>
      </c>
    </row>
    <row r="12">
      <c r="A12" s="7" t="s">
        <v>1766</v>
      </c>
      <c r="B12" s="7" t="s">
        <v>1767</v>
      </c>
      <c r="C12" s="10" t="s">
        <v>1770</v>
      </c>
    </row>
    <row r="13">
      <c r="A13" s="7" t="s">
        <v>1771</v>
      </c>
      <c r="B13" s="7" t="s">
        <v>1773</v>
      </c>
      <c r="C13" s="10" t="s">
        <v>1776</v>
      </c>
    </row>
    <row r="14">
      <c r="A14" s="7" t="s">
        <v>1779</v>
      </c>
      <c r="B14" s="7" t="s">
        <v>1781</v>
      </c>
      <c r="C14" s="10" t="s">
        <v>1783</v>
      </c>
    </row>
    <row r="15">
      <c r="A15" s="7" t="s">
        <v>1786</v>
      </c>
      <c r="B15" s="7" t="s">
        <v>1790</v>
      </c>
      <c r="C15" s="10" t="s">
        <v>1792</v>
      </c>
    </row>
    <row r="16">
      <c r="A16" s="7" t="s">
        <v>1797</v>
      </c>
      <c r="B16" s="7" t="s">
        <v>1800</v>
      </c>
      <c r="C16" s="10" t="s">
        <v>1802</v>
      </c>
    </row>
    <row r="17">
      <c r="A17" s="7" t="s">
        <v>1804</v>
      </c>
      <c r="B17" s="7" t="s">
        <v>1807</v>
      </c>
      <c r="C17" s="10" t="s">
        <v>1809</v>
      </c>
    </row>
    <row r="18">
      <c r="A18" s="7" t="s">
        <v>1812</v>
      </c>
      <c r="B18" s="7" t="s">
        <v>1814</v>
      </c>
      <c r="C18" s="10" t="s">
        <v>1816</v>
      </c>
    </row>
    <row r="19">
      <c r="A19" s="7" t="s">
        <v>1819</v>
      </c>
      <c r="B19" s="7" t="s">
        <v>1820</v>
      </c>
      <c r="C19" s="10" t="s">
        <v>1823</v>
      </c>
    </row>
    <row r="20">
      <c r="A20" s="7" t="s">
        <v>1826</v>
      </c>
      <c r="B20" s="7" t="s">
        <v>1828</v>
      </c>
      <c r="C20" s="10" t="s">
        <v>1830</v>
      </c>
    </row>
    <row r="21">
      <c r="A21" s="7" t="s">
        <v>1833</v>
      </c>
      <c r="B21" s="7" t="s">
        <v>1837</v>
      </c>
      <c r="C21" s="10" t="s">
        <v>1840</v>
      </c>
    </row>
    <row r="22">
      <c r="A22" s="7" t="s">
        <v>1845</v>
      </c>
      <c r="B22" s="7" t="s">
        <v>1847</v>
      </c>
      <c r="C22" s="10" t="s">
        <v>1849</v>
      </c>
    </row>
    <row r="23">
      <c r="A23" s="7" t="s">
        <v>1852</v>
      </c>
      <c r="B23" s="7" t="s">
        <v>1854</v>
      </c>
      <c r="C23" s="10" t="s">
        <v>1856</v>
      </c>
    </row>
    <row r="24">
      <c r="A24" s="7" t="s">
        <v>1861</v>
      </c>
      <c r="B24" s="7" t="s">
        <v>1863</v>
      </c>
      <c r="C24" s="10" t="s">
        <v>1866</v>
      </c>
    </row>
    <row r="25">
      <c r="A25" s="7" t="s">
        <v>1869</v>
      </c>
      <c r="B25" s="7" t="s">
        <v>1872</v>
      </c>
      <c r="C25" s="10" t="s">
        <v>1874</v>
      </c>
    </row>
    <row r="26">
      <c r="A26" s="7" t="s">
        <v>1876</v>
      </c>
      <c r="B26" s="7" t="s">
        <v>1880</v>
      </c>
      <c r="C26" s="10" t="s">
        <v>1883</v>
      </c>
    </row>
    <row r="27">
      <c r="A27" s="7" t="s">
        <v>1887</v>
      </c>
      <c r="B27" s="7" t="s">
        <v>1889</v>
      </c>
      <c r="C27" s="10" t="s">
        <v>1891</v>
      </c>
    </row>
    <row r="28">
      <c r="A28" s="7" t="s">
        <v>1894</v>
      </c>
      <c r="B28" s="7" t="s">
        <v>1896</v>
      </c>
      <c r="C28" s="10" t="s">
        <v>1898</v>
      </c>
    </row>
    <row r="29">
      <c r="A29" s="7" t="s">
        <v>1901</v>
      </c>
      <c r="B29" s="7" t="s">
        <v>1904</v>
      </c>
      <c r="C29" s="10" t="s">
        <v>1906</v>
      </c>
    </row>
    <row r="30">
      <c r="A30" s="7" t="s">
        <v>1909</v>
      </c>
      <c r="B30" s="7" t="s">
        <v>1910</v>
      </c>
      <c r="C30" s="10" t="s">
        <v>1913</v>
      </c>
    </row>
    <row r="31">
      <c r="A31" s="7" t="s">
        <v>1916</v>
      </c>
      <c r="B31" s="7" t="s">
        <v>1919</v>
      </c>
      <c r="C31" s="10" t="s">
        <v>1920</v>
      </c>
    </row>
    <row r="32">
      <c r="A32" s="7" t="s">
        <v>1923</v>
      </c>
      <c r="B32" s="7" t="s">
        <v>1924</v>
      </c>
      <c r="C32" s="10" t="s">
        <v>1927</v>
      </c>
    </row>
    <row r="33">
      <c r="A33" s="7" t="s">
        <v>1930</v>
      </c>
      <c r="B33" s="7" t="s">
        <v>1934</v>
      </c>
      <c r="C33" s="10" t="s">
        <v>1935</v>
      </c>
    </row>
    <row r="34">
      <c r="A34" s="7" t="s">
        <v>1939</v>
      </c>
      <c r="B34" s="7" t="s">
        <v>1941</v>
      </c>
      <c r="C34" s="10" t="s">
        <v>1944</v>
      </c>
    </row>
    <row r="35">
      <c r="A35" s="7" t="s">
        <v>1946</v>
      </c>
      <c r="B35" s="7" t="s">
        <v>1948</v>
      </c>
      <c r="C35" s="10" t="s">
        <v>1950</v>
      </c>
    </row>
    <row r="36">
      <c r="A36" s="7" t="s">
        <v>1953</v>
      </c>
      <c r="B36" s="7" t="s">
        <v>1956</v>
      </c>
      <c r="C36" s="10" t="s">
        <v>1959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36.13"/>
    <col customWidth="1" min="3" max="3" width="37.75"/>
  </cols>
  <sheetData>
    <row r="1" ht="109.5" customHeight="1">
      <c r="A1" s="1" t="s">
        <v>0</v>
      </c>
      <c r="B1" s="1" t="s">
        <v>1</v>
      </c>
      <c r="C1" s="1" t="s">
        <v>2</v>
      </c>
    </row>
    <row r="2">
      <c r="A2" s="7" t="s">
        <v>2107</v>
      </c>
      <c r="B2" s="10" t="s">
        <v>2109</v>
      </c>
      <c r="C2" s="7" t="s">
        <v>2112</v>
      </c>
    </row>
    <row r="3">
      <c r="A3" s="7" t="s">
        <v>2115</v>
      </c>
      <c r="B3" s="7" t="s">
        <v>2117</v>
      </c>
      <c r="C3" s="7" t="s">
        <v>2120</v>
      </c>
    </row>
    <row r="4">
      <c r="A4" s="7" t="s">
        <v>2122</v>
      </c>
      <c r="B4" s="7" t="s">
        <v>2125</v>
      </c>
      <c r="C4" s="7" t="s">
        <v>2127</v>
      </c>
    </row>
    <row r="5">
      <c r="A5" s="7" t="s">
        <v>2130</v>
      </c>
      <c r="B5" s="7" t="s">
        <v>2132</v>
      </c>
      <c r="C5" s="7" t="s">
        <v>2135</v>
      </c>
    </row>
    <row r="6">
      <c r="A6" s="7" t="s">
        <v>2138</v>
      </c>
      <c r="B6" s="7" t="s">
        <v>2140</v>
      </c>
      <c r="C6" s="7" t="s">
        <v>2143</v>
      </c>
    </row>
  </sheetData>
  <drawing r:id="rId1"/>
</worksheet>
</file>