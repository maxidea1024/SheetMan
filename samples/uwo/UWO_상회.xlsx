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updateLinks="always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work\uwo\game\cms\xls\"/>
    </mc:Choice>
  </mc:AlternateContent>
  <xr:revisionPtr revIDLastSave="0" documentId="13_ncr:1_{34082716-F115-4D3D-A486-379C73BE559C}" xr6:coauthVersionLast="47" xr6:coauthVersionMax="47" xr10:uidLastSave="{00000000-0000-0000-0000-000000000000}"/>
  <bookViews>
    <workbookView xWindow="135" yWindow="690" windowWidth="28245" windowHeight="14460" firstSheet="1" activeTab="6" xr2:uid="{00000000-000D-0000-FFFF-FFFF00000000}"/>
  </bookViews>
  <sheets>
    <sheet name="Guild" sheetId="41" r:id="rId1"/>
    <sheet name="GuildEmblemBorder" sheetId="42" r:id="rId2"/>
    <sheet name="GuildEmblemColor" sheetId="37" r:id="rId3"/>
    <sheet name="GuildEmblemImage" sheetId="35" r:id="rId4"/>
    <sheet name="GuildShop" sheetId="43" r:id="rId5"/>
    <sheet name="GuildReward" sheetId="45" r:id="rId6"/>
    <sheet name="GuildCraft" sheetId="47" r:id="rId7"/>
  </sheets>
  <externalReferences>
    <externalReference r:id="rId8"/>
  </externalReferences>
  <definedNames>
    <definedName name="_xlnm._FilterDatabase" localSheetId="6" hidden="1">GuildCraft!$A$8:$AK$129</definedName>
    <definedName name="Guild">Guild!$A$1:$G$18</definedName>
    <definedName name="GuildCraft">GuildCraft!$A$1:$AK$130</definedName>
    <definedName name="GuildEmblemBorder">GuildEmblemBorder!$A$1:$E$32</definedName>
    <definedName name="GuildEmblemColor">GuildEmblemColor!$A$1:$D$65</definedName>
    <definedName name="GuildEmblemImage">GuildEmblemImage!$A$1:$F$28</definedName>
    <definedName name="GuildReward">GuildReward!$A$1:$G$27</definedName>
    <definedName name="GuildShop">GuildShop!$A$1:$Q$70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4" i="47" l="1"/>
  <c r="AJ64" i="47" s="1"/>
  <c r="AH63" i="47"/>
  <c r="AJ63" i="47" s="1"/>
  <c r="AH62" i="47"/>
  <c r="AJ62" i="47" s="1"/>
  <c r="AH61" i="47"/>
  <c r="AJ61" i="47" s="1"/>
  <c r="AH60" i="47"/>
  <c r="AJ60" i="47" s="1"/>
  <c r="AH59" i="47"/>
  <c r="AJ59" i="47" s="1"/>
  <c r="AH58" i="47"/>
  <c r="AJ58" i="47" s="1"/>
  <c r="AH57" i="47"/>
  <c r="AJ57" i="47" s="1"/>
  <c r="AH56" i="47"/>
  <c r="AJ56" i="47" s="1"/>
  <c r="AH55" i="47"/>
  <c r="AJ55" i="47" s="1"/>
  <c r="AH54" i="47"/>
  <c r="AJ54" i="47" s="1"/>
  <c r="AH53" i="47"/>
  <c r="AJ53" i="47" s="1"/>
  <c r="AH52" i="47"/>
  <c r="AJ52" i="47" s="1"/>
  <c r="AH51" i="47"/>
  <c r="AJ51" i="47" s="1"/>
  <c r="AH50" i="47"/>
  <c r="AJ50" i="47" s="1"/>
  <c r="AH49" i="47"/>
  <c r="AJ49" i="47" s="1"/>
  <c r="AH48" i="47"/>
  <c r="AJ48" i="47" s="1"/>
  <c r="AH47" i="47"/>
  <c r="AJ47" i="47" s="1"/>
  <c r="AH46" i="47"/>
  <c r="AJ46" i="47" s="1"/>
  <c r="AH45" i="47"/>
  <c r="AJ45" i="47" s="1"/>
  <c r="AH44" i="47"/>
  <c r="AJ44" i="47" s="1"/>
  <c r="AH43" i="47"/>
  <c r="AJ43" i="47" s="1"/>
  <c r="AH42" i="47"/>
  <c r="AJ42" i="47" s="1"/>
  <c r="AH41" i="47"/>
  <c r="AJ41" i="47" s="1"/>
  <c r="AH40" i="47"/>
  <c r="AJ40" i="47" s="1"/>
  <c r="AH39" i="47"/>
  <c r="AJ39" i="47" s="1"/>
  <c r="AH38" i="47"/>
  <c r="AJ38" i="47" s="1"/>
  <c r="AC64" i="47"/>
  <c r="AE64" i="47" s="1"/>
  <c r="AC63" i="47"/>
  <c r="AE63" i="47" s="1"/>
  <c r="AC62" i="47"/>
  <c r="AE62" i="47" s="1"/>
  <c r="AC61" i="47"/>
  <c r="AE61" i="47" s="1"/>
  <c r="AC60" i="47"/>
  <c r="AE60" i="47" s="1"/>
  <c r="AC59" i="47"/>
  <c r="AE59" i="47" s="1"/>
  <c r="AC58" i="47"/>
  <c r="AE58" i="47" s="1"/>
  <c r="AC57" i="47"/>
  <c r="AE57" i="47" s="1"/>
  <c r="AC56" i="47"/>
  <c r="AE56" i="47" s="1"/>
  <c r="AC55" i="47"/>
  <c r="AE55" i="47" s="1"/>
  <c r="AC54" i="47"/>
  <c r="AE54" i="47" s="1"/>
  <c r="AC53" i="47"/>
  <c r="AE53" i="47" s="1"/>
  <c r="AC52" i="47"/>
  <c r="AE52" i="47" s="1"/>
  <c r="AC51" i="47"/>
  <c r="AE51" i="47" s="1"/>
  <c r="AC50" i="47"/>
  <c r="AE50" i="47" s="1"/>
  <c r="AC49" i="47"/>
  <c r="AE49" i="47" s="1"/>
  <c r="AC48" i="47"/>
  <c r="AE48" i="47" s="1"/>
  <c r="AC47" i="47"/>
  <c r="AE47" i="47" s="1"/>
  <c r="AC46" i="47"/>
  <c r="AE46" i="47" s="1"/>
  <c r="AC45" i="47"/>
  <c r="AE45" i="47" s="1"/>
  <c r="AC44" i="47"/>
  <c r="AE44" i="47" s="1"/>
  <c r="AC43" i="47"/>
  <c r="AE43" i="47" s="1"/>
  <c r="AC42" i="47"/>
  <c r="AE42" i="47" s="1"/>
  <c r="AC41" i="47"/>
  <c r="AE41" i="47" s="1"/>
  <c r="AC40" i="47"/>
  <c r="AE40" i="47" s="1"/>
  <c r="AC39" i="47"/>
  <c r="AE39" i="47" s="1"/>
  <c r="AC38" i="47"/>
  <c r="AE38" i="47" s="1"/>
  <c r="X64" i="47"/>
  <c r="Z64" i="47" s="1"/>
  <c r="S64" i="47"/>
  <c r="U64" i="47" s="1"/>
  <c r="P64" i="47"/>
  <c r="K64" i="47"/>
  <c r="C64" i="47"/>
  <c r="E64" i="47" s="1"/>
  <c r="X63" i="47"/>
  <c r="Z63" i="47" s="1"/>
  <c r="U63" i="47"/>
  <c r="S63" i="47"/>
  <c r="P63" i="47"/>
  <c r="K63" i="47"/>
  <c r="C63" i="47"/>
  <c r="E63" i="47" s="1"/>
  <c r="X62" i="47"/>
  <c r="Z62" i="47" s="1"/>
  <c r="U62" i="47"/>
  <c r="S62" i="47"/>
  <c r="P62" i="47"/>
  <c r="K62" i="47"/>
  <c r="C62" i="47"/>
  <c r="E62" i="47" s="1"/>
  <c r="X61" i="47"/>
  <c r="Z61" i="47" s="1"/>
  <c r="U61" i="47"/>
  <c r="S61" i="47"/>
  <c r="P61" i="47"/>
  <c r="K61" i="47"/>
  <c r="C61" i="47"/>
  <c r="E61" i="47" s="1"/>
  <c r="X60" i="47"/>
  <c r="Z60" i="47" s="1"/>
  <c r="U60" i="47"/>
  <c r="S60" i="47"/>
  <c r="P60" i="47"/>
  <c r="K60" i="47"/>
  <c r="C60" i="47"/>
  <c r="E60" i="47" s="1"/>
  <c r="X59" i="47"/>
  <c r="Z59" i="47" s="1"/>
  <c r="U59" i="47"/>
  <c r="S59" i="47"/>
  <c r="P59" i="47"/>
  <c r="K59" i="47"/>
  <c r="C59" i="47"/>
  <c r="E59" i="47" s="1"/>
  <c r="X58" i="47"/>
  <c r="Z58" i="47" s="1"/>
  <c r="U58" i="47"/>
  <c r="S58" i="47"/>
  <c r="P58" i="47"/>
  <c r="K58" i="47"/>
  <c r="C58" i="47"/>
  <c r="E58" i="47" s="1"/>
  <c r="X57" i="47"/>
  <c r="Z57" i="47" s="1"/>
  <c r="U57" i="47"/>
  <c r="S57" i="47"/>
  <c r="P57" i="47"/>
  <c r="K57" i="47"/>
  <c r="C57" i="47"/>
  <c r="E57" i="47" s="1"/>
  <c r="X56" i="47"/>
  <c r="Z56" i="47" s="1"/>
  <c r="U56" i="47"/>
  <c r="S56" i="47"/>
  <c r="P56" i="47"/>
  <c r="K56" i="47"/>
  <c r="C56" i="47"/>
  <c r="E56" i="47" s="1"/>
  <c r="X55" i="47"/>
  <c r="Z55" i="47" s="1"/>
  <c r="U55" i="47"/>
  <c r="S55" i="47"/>
  <c r="P55" i="47"/>
  <c r="K55" i="47"/>
  <c r="C55" i="47"/>
  <c r="E55" i="47" s="1"/>
  <c r="X54" i="47"/>
  <c r="Z54" i="47" s="1"/>
  <c r="U54" i="47"/>
  <c r="S54" i="47"/>
  <c r="P54" i="47"/>
  <c r="K54" i="47"/>
  <c r="C54" i="47"/>
  <c r="E54" i="47" s="1"/>
  <c r="X53" i="47"/>
  <c r="Z53" i="47" s="1"/>
  <c r="U53" i="47"/>
  <c r="S53" i="47"/>
  <c r="P53" i="47"/>
  <c r="K53" i="47"/>
  <c r="C53" i="47"/>
  <c r="E53" i="47" s="1"/>
  <c r="X52" i="47"/>
  <c r="Z52" i="47" s="1"/>
  <c r="U52" i="47"/>
  <c r="S52" i="47"/>
  <c r="P52" i="47"/>
  <c r="K52" i="47"/>
  <c r="C52" i="47"/>
  <c r="E52" i="47" s="1"/>
  <c r="X51" i="47"/>
  <c r="Z51" i="47" s="1"/>
  <c r="U51" i="47"/>
  <c r="S51" i="47"/>
  <c r="P51" i="47"/>
  <c r="K51" i="47"/>
  <c r="C51" i="47"/>
  <c r="E51" i="47" s="1"/>
  <c r="X50" i="47"/>
  <c r="Z50" i="47" s="1"/>
  <c r="U50" i="47"/>
  <c r="S50" i="47"/>
  <c r="P50" i="47"/>
  <c r="K50" i="47"/>
  <c r="C50" i="47"/>
  <c r="E50" i="47" s="1"/>
  <c r="X49" i="47"/>
  <c r="Z49" i="47" s="1"/>
  <c r="S49" i="47"/>
  <c r="U49" i="47" s="1"/>
  <c r="P49" i="47"/>
  <c r="K49" i="47"/>
  <c r="C49" i="47"/>
  <c r="E49" i="47" s="1"/>
  <c r="X48" i="47"/>
  <c r="Z48" i="47" s="1"/>
  <c r="S48" i="47"/>
  <c r="U48" i="47" s="1"/>
  <c r="P48" i="47"/>
  <c r="K48" i="47"/>
  <c r="C48" i="47"/>
  <c r="E48" i="47" s="1"/>
  <c r="X47" i="47"/>
  <c r="Z47" i="47" s="1"/>
  <c r="S47" i="47"/>
  <c r="U47" i="47" s="1"/>
  <c r="P47" i="47"/>
  <c r="K47" i="47"/>
  <c r="C47" i="47"/>
  <c r="E47" i="47" s="1"/>
  <c r="X46" i="47"/>
  <c r="Z46" i="47" s="1"/>
  <c r="S46" i="47"/>
  <c r="U46" i="47" s="1"/>
  <c r="P46" i="47"/>
  <c r="K46" i="47"/>
  <c r="C46" i="47"/>
  <c r="E46" i="47" s="1"/>
  <c r="X45" i="47"/>
  <c r="Z45" i="47" s="1"/>
  <c r="S45" i="47"/>
  <c r="U45" i="47" s="1"/>
  <c r="P45" i="47"/>
  <c r="K45" i="47"/>
  <c r="C45" i="47"/>
  <c r="E45" i="47" s="1"/>
  <c r="X44" i="47"/>
  <c r="Z44" i="47" s="1"/>
  <c r="S44" i="47"/>
  <c r="U44" i="47" s="1"/>
  <c r="P44" i="47"/>
  <c r="K44" i="47"/>
  <c r="C44" i="47"/>
  <c r="E44" i="47" s="1"/>
  <c r="X43" i="47"/>
  <c r="Z43" i="47" s="1"/>
  <c r="S43" i="47"/>
  <c r="U43" i="47" s="1"/>
  <c r="P43" i="47"/>
  <c r="K43" i="47"/>
  <c r="C43" i="47"/>
  <c r="E43" i="47" s="1"/>
  <c r="X42" i="47"/>
  <c r="Z42" i="47" s="1"/>
  <c r="S42" i="47"/>
  <c r="U42" i="47" s="1"/>
  <c r="P42" i="47"/>
  <c r="K42" i="47"/>
  <c r="C42" i="47"/>
  <c r="E42" i="47" s="1"/>
  <c r="X41" i="47"/>
  <c r="Z41" i="47" s="1"/>
  <c r="S41" i="47"/>
  <c r="U41" i="47" s="1"/>
  <c r="P41" i="47"/>
  <c r="K41" i="47"/>
  <c r="C41" i="47"/>
  <c r="E41" i="47" s="1"/>
  <c r="X40" i="47"/>
  <c r="Z40" i="47" s="1"/>
  <c r="S40" i="47"/>
  <c r="U40" i="47" s="1"/>
  <c r="P40" i="47"/>
  <c r="K40" i="47"/>
  <c r="C40" i="47"/>
  <c r="E40" i="47" s="1"/>
  <c r="X39" i="47"/>
  <c r="Z39" i="47" s="1"/>
  <c r="S39" i="47"/>
  <c r="U39" i="47" s="1"/>
  <c r="P39" i="47"/>
  <c r="K39" i="47"/>
  <c r="C39" i="47"/>
  <c r="E39" i="47" s="1"/>
  <c r="X38" i="47"/>
  <c r="Z38" i="47" s="1"/>
  <c r="S38" i="47"/>
  <c r="U38" i="47" s="1"/>
  <c r="P38" i="47"/>
  <c r="K38" i="47"/>
  <c r="C38" i="47"/>
  <c r="E38" i="47" s="1"/>
  <c r="P69" i="43"/>
  <c r="L69" i="43"/>
  <c r="H69" i="43"/>
  <c r="P68" i="43"/>
  <c r="L68" i="43"/>
  <c r="H68" i="43"/>
  <c r="P67" i="43"/>
  <c r="L67" i="43"/>
  <c r="H67" i="43"/>
  <c r="P66" i="43"/>
  <c r="L66" i="43"/>
  <c r="H66" i="43"/>
  <c r="P65" i="43"/>
  <c r="L65" i="43"/>
  <c r="H65" i="43"/>
  <c r="P64" i="43"/>
  <c r="L64" i="43"/>
  <c r="H64" i="43"/>
  <c r="P63" i="43"/>
  <c r="L63" i="43"/>
  <c r="H63" i="43"/>
  <c r="P62" i="43"/>
  <c r="L62" i="43"/>
  <c r="H62" i="43"/>
  <c r="P61" i="43"/>
  <c r="L61" i="43"/>
  <c r="H61" i="43"/>
  <c r="P60" i="43"/>
  <c r="L60" i="43"/>
  <c r="H60" i="43"/>
  <c r="P59" i="43"/>
  <c r="L59" i="43"/>
  <c r="H59" i="43"/>
  <c r="P58" i="43"/>
  <c r="L58" i="43"/>
  <c r="H58" i="43"/>
  <c r="P57" i="43"/>
  <c r="L57" i="43"/>
  <c r="H57" i="43"/>
  <c r="P56" i="43"/>
  <c r="L56" i="43"/>
  <c r="H56" i="43"/>
  <c r="P55" i="43"/>
  <c r="L55" i="43"/>
  <c r="H55" i="43"/>
  <c r="P54" i="43"/>
  <c r="L54" i="43"/>
  <c r="H54" i="43"/>
  <c r="K10" i="47"/>
  <c r="K11" i="47"/>
  <c r="K12" i="47"/>
  <c r="K13" i="47"/>
  <c r="K14" i="47"/>
  <c r="K15" i="47"/>
  <c r="K16" i="47"/>
  <c r="K17" i="47"/>
  <c r="K18" i="47"/>
  <c r="K19" i="47"/>
  <c r="K20" i="47"/>
  <c r="K21" i="47"/>
  <c r="K22" i="47"/>
  <c r="K23" i="47"/>
  <c r="K24" i="47"/>
  <c r="K25" i="47"/>
  <c r="K26" i="47"/>
  <c r="K27" i="47"/>
  <c r="K28" i="47"/>
  <c r="K29" i="47"/>
  <c r="K30" i="47"/>
  <c r="K31" i="47"/>
  <c r="K32" i="47"/>
  <c r="K33" i="47"/>
  <c r="K34" i="47"/>
  <c r="K35" i="47"/>
  <c r="K36" i="47"/>
  <c r="K37" i="47"/>
  <c r="K65" i="47"/>
  <c r="K66" i="47"/>
  <c r="K67" i="47"/>
  <c r="K68" i="47"/>
  <c r="K69" i="47"/>
  <c r="K70" i="47"/>
  <c r="K71" i="47"/>
  <c r="K72" i="47"/>
  <c r="K73" i="47"/>
  <c r="K74" i="47"/>
  <c r="K75" i="47"/>
  <c r="K76" i="47"/>
  <c r="K77" i="47"/>
  <c r="K78" i="47"/>
  <c r="K79" i="47"/>
  <c r="K80" i="47"/>
  <c r="K81" i="47"/>
  <c r="K82" i="47"/>
  <c r="K83" i="47"/>
  <c r="K84" i="47"/>
  <c r="K85" i="47"/>
  <c r="K86" i="47"/>
  <c r="K87" i="47"/>
  <c r="K88" i="47"/>
  <c r="K89" i="47"/>
  <c r="K90" i="47"/>
  <c r="K91" i="47"/>
  <c r="K92" i="47"/>
  <c r="K93" i="47"/>
  <c r="K94" i="47"/>
  <c r="K95" i="47"/>
  <c r="K96" i="47"/>
  <c r="K97" i="47"/>
  <c r="K98" i="47"/>
  <c r="K99" i="47"/>
  <c r="K100" i="47"/>
  <c r="K101" i="47"/>
  <c r="K102" i="47"/>
  <c r="K103" i="47"/>
  <c r="K104" i="47"/>
  <c r="K105" i="47"/>
  <c r="K106" i="47"/>
  <c r="K107" i="47"/>
  <c r="K108" i="47"/>
  <c r="K109" i="47"/>
  <c r="K110" i="47"/>
  <c r="K111" i="47"/>
  <c r="K112" i="47"/>
  <c r="K113" i="47"/>
  <c r="K114" i="47"/>
  <c r="K115" i="47"/>
  <c r="K116" i="47"/>
  <c r="K117" i="47"/>
  <c r="K118" i="47"/>
  <c r="K119" i="47"/>
  <c r="K120" i="47"/>
  <c r="K121" i="47"/>
  <c r="K122" i="47"/>
  <c r="K123" i="47"/>
  <c r="K124" i="47"/>
  <c r="K125" i="47"/>
  <c r="K126" i="47"/>
  <c r="K127" i="47"/>
  <c r="K128" i="47"/>
  <c r="K129" i="47"/>
  <c r="K9" i="47"/>
  <c r="AH117" i="47" l="1"/>
  <c r="AJ117" i="47" s="1"/>
  <c r="AC117" i="47"/>
  <c r="AE117" i="47" s="1"/>
  <c r="X117" i="47"/>
  <c r="Z117" i="47" s="1"/>
  <c r="S117" i="47"/>
  <c r="U117" i="47" s="1"/>
  <c r="P117" i="47"/>
  <c r="C117" i="47"/>
  <c r="E117" i="47" s="1"/>
  <c r="AH116" i="47"/>
  <c r="AJ116" i="47" s="1"/>
  <c r="AC116" i="47"/>
  <c r="AE116" i="47" s="1"/>
  <c r="X116" i="47"/>
  <c r="Z116" i="47" s="1"/>
  <c r="S116" i="47"/>
  <c r="U116" i="47" s="1"/>
  <c r="P116" i="47"/>
  <c r="C116" i="47"/>
  <c r="E116" i="47" s="1"/>
  <c r="AH115" i="47"/>
  <c r="AJ115" i="47" s="1"/>
  <c r="AC115" i="47"/>
  <c r="AE115" i="47" s="1"/>
  <c r="X115" i="47"/>
  <c r="Z115" i="47" s="1"/>
  <c r="S115" i="47"/>
  <c r="U115" i="47" s="1"/>
  <c r="P115" i="47"/>
  <c r="C115" i="47"/>
  <c r="E115" i="47" s="1"/>
  <c r="AH114" i="47"/>
  <c r="AJ114" i="47" s="1"/>
  <c r="AC114" i="47"/>
  <c r="AE114" i="47" s="1"/>
  <c r="X114" i="47"/>
  <c r="Z114" i="47" s="1"/>
  <c r="S114" i="47"/>
  <c r="U114" i="47" s="1"/>
  <c r="P114" i="47"/>
  <c r="C114" i="47"/>
  <c r="E114" i="47" s="1"/>
  <c r="AH113" i="47"/>
  <c r="AJ113" i="47" s="1"/>
  <c r="AC113" i="47"/>
  <c r="AE113" i="47" s="1"/>
  <c r="X113" i="47"/>
  <c r="Z113" i="47" s="1"/>
  <c r="S113" i="47"/>
  <c r="U113" i="47" s="1"/>
  <c r="P113" i="47"/>
  <c r="C113" i="47"/>
  <c r="E113" i="47" s="1"/>
  <c r="AH112" i="47"/>
  <c r="AJ112" i="47" s="1"/>
  <c r="AC112" i="47"/>
  <c r="AE112" i="47" s="1"/>
  <c r="X112" i="47"/>
  <c r="Z112" i="47" s="1"/>
  <c r="S112" i="47"/>
  <c r="U112" i="47" s="1"/>
  <c r="P112" i="47"/>
  <c r="C112" i="47"/>
  <c r="E112" i="47" s="1"/>
  <c r="AH111" i="47"/>
  <c r="AJ111" i="47" s="1"/>
  <c r="AC111" i="47"/>
  <c r="AE111" i="47" s="1"/>
  <c r="X111" i="47"/>
  <c r="Z111" i="47" s="1"/>
  <c r="S111" i="47"/>
  <c r="U111" i="47" s="1"/>
  <c r="P111" i="47"/>
  <c r="C111" i="47"/>
  <c r="E111" i="47" s="1"/>
  <c r="AH110" i="47"/>
  <c r="AJ110" i="47" s="1"/>
  <c r="AC110" i="47"/>
  <c r="AE110" i="47" s="1"/>
  <c r="X110" i="47"/>
  <c r="Z110" i="47" s="1"/>
  <c r="S110" i="47"/>
  <c r="U110" i="47" s="1"/>
  <c r="P110" i="47"/>
  <c r="C110" i="47"/>
  <c r="E110" i="47" s="1"/>
  <c r="AH109" i="47"/>
  <c r="AJ109" i="47" s="1"/>
  <c r="AC109" i="47"/>
  <c r="AE109" i="47" s="1"/>
  <c r="X109" i="47"/>
  <c r="Z109" i="47" s="1"/>
  <c r="S109" i="47"/>
  <c r="U109" i="47" s="1"/>
  <c r="P109" i="47"/>
  <c r="C109" i="47"/>
  <c r="E109" i="47" s="1"/>
  <c r="AH108" i="47"/>
  <c r="AJ108" i="47" s="1"/>
  <c r="AC108" i="47"/>
  <c r="AE108" i="47" s="1"/>
  <c r="X108" i="47"/>
  <c r="Z108" i="47" s="1"/>
  <c r="S108" i="47"/>
  <c r="U108" i="47" s="1"/>
  <c r="P108" i="47"/>
  <c r="C108" i="47"/>
  <c r="E108" i="47" s="1"/>
  <c r="AH107" i="47"/>
  <c r="AJ107" i="47" s="1"/>
  <c r="AC107" i="47"/>
  <c r="AE107" i="47" s="1"/>
  <c r="X107" i="47"/>
  <c r="Z107" i="47" s="1"/>
  <c r="S107" i="47"/>
  <c r="U107" i="47" s="1"/>
  <c r="P107" i="47"/>
  <c r="C107" i="47"/>
  <c r="E107" i="47" s="1"/>
  <c r="AH106" i="47"/>
  <c r="AJ106" i="47" s="1"/>
  <c r="AC106" i="47"/>
  <c r="AE106" i="47" s="1"/>
  <c r="X106" i="47"/>
  <c r="Z106" i="47" s="1"/>
  <c r="S106" i="47"/>
  <c r="U106" i="47" s="1"/>
  <c r="P106" i="47"/>
  <c r="C106" i="47"/>
  <c r="E106" i="47" s="1"/>
  <c r="AH105" i="47"/>
  <c r="AJ105" i="47" s="1"/>
  <c r="AC105" i="47"/>
  <c r="AE105" i="47" s="1"/>
  <c r="X105" i="47"/>
  <c r="Z105" i="47" s="1"/>
  <c r="S105" i="47"/>
  <c r="U105" i="47" s="1"/>
  <c r="P105" i="47"/>
  <c r="C105" i="47"/>
  <c r="E105" i="47" s="1"/>
  <c r="AH104" i="47"/>
  <c r="AJ104" i="47" s="1"/>
  <c r="AC104" i="47"/>
  <c r="AE104" i="47" s="1"/>
  <c r="X104" i="47"/>
  <c r="Z104" i="47" s="1"/>
  <c r="S104" i="47"/>
  <c r="U104" i="47" s="1"/>
  <c r="P104" i="47"/>
  <c r="C104" i="47"/>
  <c r="E104" i="47" s="1"/>
  <c r="AH103" i="47"/>
  <c r="AJ103" i="47" s="1"/>
  <c r="AC103" i="47"/>
  <c r="AE103" i="47" s="1"/>
  <c r="X103" i="47"/>
  <c r="Z103" i="47" s="1"/>
  <c r="S103" i="47"/>
  <c r="U103" i="47" s="1"/>
  <c r="P103" i="47"/>
  <c r="C103" i="47"/>
  <c r="E103" i="47" s="1"/>
  <c r="AH102" i="47"/>
  <c r="AJ102" i="47" s="1"/>
  <c r="AC102" i="47"/>
  <c r="AE102" i="47" s="1"/>
  <c r="X102" i="47"/>
  <c r="Z102" i="47" s="1"/>
  <c r="S102" i="47"/>
  <c r="U102" i="47" s="1"/>
  <c r="P102" i="47"/>
  <c r="C102" i="47"/>
  <c r="E102" i="47" s="1"/>
  <c r="AH101" i="47"/>
  <c r="AJ101" i="47" s="1"/>
  <c r="AC101" i="47"/>
  <c r="AE101" i="47" s="1"/>
  <c r="X101" i="47"/>
  <c r="Z101" i="47" s="1"/>
  <c r="S101" i="47"/>
  <c r="U101" i="47" s="1"/>
  <c r="P101" i="47"/>
  <c r="C101" i="47"/>
  <c r="E101" i="47" s="1"/>
  <c r="AH100" i="47"/>
  <c r="AJ100" i="47" s="1"/>
  <c r="AC100" i="47"/>
  <c r="AE100" i="47" s="1"/>
  <c r="X100" i="47"/>
  <c r="Z100" i="47" s="1"/>
  <c r="S100" i="47"/>
  <c r="U100" i="47" s="1"/>
  <c r="P100" i="47"/>
  <c r="C100" i="47"/>
  <c r="E100" i="47" s="1"/>
  <c r="AH99" i="47"/>
  <c r="AJ99" i="47" s="1"/>
  <c r="AC99" i="47"/>
  <c r="AE99" i="47" s="1"/>
  <c r="X99" i="47"/>
  <c r="Z99" i="47" s="1"/>
  <c r="S99" i="47"/>
  <c r="U99" i="47" s="1"/>
  <c r="P99" i="47"/>
  <c r="C99" i="47"/>
  <c r="E99" i="47" s="1"/>
  <c r="AH98" i="47"/>
  <c r="AJ98" i="47" s="1"/>
  <c r="AC98" i="47"/>
  <c r="AE98" i="47" s="1"/>
  <c r="X98" i="47"/>
  <c r="Z98" i="47" s="1"/>
  <c r="S98" i="47"/>
  <c r="U98" i="47" s="1"/>
  <c r="P98" i="47"/>
  <c r="C98" i="47"/>
  <c r="E98" i="47" s="1"/>
  <c r="AH97" i="47"/>
  <c r="AJ97" i="47" s="1"/>
  <c r="AC97" i="47"/>
  <c r="AE97" i="47" s="1"/>
  <c r="X97" i="47"/>
  <c r="Z97" i="47" s="1"/>
  <c r="S97" i="47"/>
  <c r="U97" i="47" s="1"/>
  <c r="P97" i="47"/>
  <c r="C97" i="47"/>
  <c r="E97" i="47" s="1"/>
  <c r="AH96" i="47"/>
  <c r="AJ96" i="47" s="1"/>
  <c r="AC96" i="47"/>
  <c r="AE96" i="47" s="1"/>
  <c r="X96" i="47"/>
  <c r="Z96" i="47" s="1"/>
  <c r="S96" i="47"/>
  <c r="U96" i="47" s="1"/>
  <c r="P96" i="47"/>
  <c r="C96" i="47"/>
  <c r="E96" i="47" s="1"/>
  <c r="AH95" i="47"/>
  <c r="AJ95" i="47" s="1"/>
  <c r="AC95" i="47"/>
  <c r="AE95" i="47" s="1"/>
  <c r="X95" i="47"/>
  <c r="Z95" i="47" s="1"/>
  <c r="S95" i="47"/>
  <c r="U95" i="47" s="1"/>
  <c r="P95" i="47"/>
  <c r="C95" i="47"/>
  <c r="E95" i="47" s="1"/>
  <c r="AH94" i="47"/>
  <c r="AJ94" i="47" s="1"/>
  <c r="AC94" i="47"/>
  <c r="AE94" i="47" s="1"/>
  <c r="X94" i="47"/>
  <c r="Z94" i="47" s="1"/>
  <c r="S94" i="47"/>
  <c r="U94" i="47" s="1"/>
  <c r="P94" i="47"/>
  <c r="C94" i="47"/>
  <c r="E94" i="47" s="1"/>
  <c r="AH93" i="47"/>
  <c r="AJ93" i="47" s="1"/>
  <c r="AC93" i="47"/>
  <c r="AE93" i="47" s="1"/>
  <c r="X93" i="47"/>
  <c r="Z93" i="47" s="1"/>
  <c r="S93" i="47"/>
  <c r="U93" i="47" s="1"/>
  <c r="P93" i="47"/>
  <c r="C93" i="47"/>
  <c r="E93" i="47" s="1"/>
  <c r="AH92" i="47"/>
  <c r="AJ92" i="47" s="1"/>
  <c r="AC92" i="47"/>
  <c r="AE92" i="47" s="1"/>
  <c r="X92" i="47"/>
  <c r="Z92" i="47" s="1"/>
  <c r="S92" i="47"/>
  <c r="U92" i="47" s="1"/>
  <c r="P92" i="47"/>
  <c r="C92" i="47"/>
  <c r="E92" i="47" s="1"/>
  <c r="AH91" i="47"/>
  <c r="AJ91" i="47" s="1"/>
  <c r="AC91" i="47"/>
  <c r="AE91" i="47" s="1"/>
  <c r="X91" i="47"/>
  <c r="Z91" i="47" s="1"/>
  <c r="S91" i="47"/>
  <c r="U91" i="47" s="1"/>
  <c r="P91" i="47"/>
  <c r="C91" i="47"/>
  <c r="E91" i="47" s="1"/>
  <c r="AH90" i="47"/>
  <c r="AJ90" i="47" s="1"/>
  <c r="AC90" i="47"/>
  <c r="AE90" i="47" s="1"/>
  <c r="X90" i="47"/>
  <c r="Z90" i="47" s="1"/>
  <c r="S90" i="47"/>
  <c r="U90" i="47" s="1"/>
  <c r="P90" i="47"/>
  <c r="C90" i="47"/>
  <c r="E90" i="47" s="1"/>
  <c r="AH89" i="47"/>
  <c r="AJ89" i="47" s="1"/>
  <c r="AC89" i="47"/>
  <c r="AE89" i="47" s="1"/>
  <c r="X89" i="47"/>
  <c r="Z89" i="47" s="1"/>
  <c r="S89" i="47"/>
  <c r="U89" i="47" s="1"/>
  <c r="P89" i="47"/>
  <c r="C89" i="47"/>
  <c r="E89" i="47" s="1"/>
  <c r="AH88" i="47"/>
  <c r="AJ88" i="47" s="1"/>
  <c r="AC88" i="47"/>
  <c r="AE88" i="47" s="1"/>
  <c r="X88" i="47"/>
  <c r="Z88" i="47" s="1"/>
  <c r="S88" i="47"/>
  <c r="U88" i="47" s="1"/>
  <c r="P88" i="47"/>
  <c r="C88" i="47"/>
  <c r="E88" i="47" s="1"/>
  <c r="AH87" i="47"/>
  <c r="AJ87" i="47" s="1"/>
  <c r="AC87" i="47"/>
  <c r="AE87" i="47" s="1"/>
  <c r="X87" i="47"/>
  <c r="Z87" i="47" s="1"/>
  <c r="S87" i="47"/>
  <c r="U87" i="47" s="1"/>
  <c r="P87" i="47"/>
  <c r="C87" i="47"/>
  <c r="E87" i="47" s="1"/>
  <c r="AH86" i="47"/>
  <c r="AJ86" i="47" s="1"/>
  <c r="AC86" i="47"/>
  <c r="AE86" i="47" s="1"/>
  <c r="X86" i="47"/>
  <c r="Z86" i="47" s="1"/>
  <c r="S86" i="47"/>
  <c r="U86" i="47" s="1"/>
  <c r="P86" i="47"/>
  <c r="C86" i="47"/>
  <c r="E86" i="47" s="1"/>
  <c r="AH85" i="47"/>
  <c r="AJ85" i="47" s="1"/>
  <c r="AC85" i="47"/>
  <c r="AE85" i="47" s="1"/>
  <c r="X85" i="47"/>
  <c r="Z85" i="47" s="1"/>
  <c r="S85" i="47"/>
  <c r="U85" i="47" s="1"/>
  <c r="P85" i="47"/>
  <c r="C85" i="47"/>
  <c r="E85" i="47" s="1"/>
  <c r="AH84" i="47"/>
  <c r="AJ84" i="47" s="1"/>
  <c r="AC84" i="47"/>
  <c r="AE84" i="47" s="1"/>
  <c r="X84" i="47"/>
  <c r="Z84" i="47" s="1"/>
  <c r="S84" i="47"/>
  <c r="U84" i="47" s="1"/>
  <c r="P84" i="47"/>
  <c r="C84" i="47"/>
  <c r="E84" i="47" s="1"/>
  <c r="AH83" i="47"/>
  <c r="AJ83" i="47" s="1"/>
  <c r="AC83" i="47"/>
  <c r="AE83" i="47" s="1"/>
  <c r="X83" i="47"/>
  <c r="Z83" i="47" s="1"/>
  <c r="S83" i="47"/>
  <c r="U83" i="47" s="1"/>
  <c r="P83" i="47"/>
  <c r="C83" i="47"/>
  <c r="E83" i="47" s="1"/>
  <c r="AH82" i="47"/>
  <c r="AJ82" i="47" s="1"/>
  <c r="AC82" i="47"/>
  <c r="AE82" i="47" s="1"/>
  <c r="X82" i="47"/>
  <c r="Z82" i="47" s="1"/>
  <c r="S82" i="47"/>
  <c r="U82" i="47" s="1"/>
  <c r="P82" i="47"/>
  <c r="C82" i="47"/>
  <c r="E82" i="47" s="1"/>
  <c r="AH81" i="47"/>
  <c r="AJ81" i="47" s="1"/>
  <c r="AC81" i="47"/>
  <c r="AE81" i="47" s="1"/>
  <c r="X81" i="47"/>
  <c r="Z81" i="47" s="1"/>
  <c r="S81" i="47"/>
  <c r="U81" i="47" s="1"/>
  <c r="P81" i="47"/>
  <c r="C81" i="47"/>
  <c r="E81" i="47" s="1"/>
  <c r="AH80" i="47"/>
  <c r="AJ80" i="47" s="1"/>
  <c r="AC80" i="47"/>
  <c r="AE80" i="47" s="1"/>
  <c r="X80" i="47"/>
  <c r="Z80" i="47" s="1"/>
  <c r="S80" i="47"/>
  <c r="U80" i="47" s="1"/>
  <c r="P80" i="47"/>
  <c r="C80" i="47"/>
  <c r="E80" i="47" s="1"/>
  <c r="AH79" i="47"/>
  <c r="AJ79" i="47" s="1"/>
  <c r="AC79" i="47"/>
  <c r="AE79" i="47" s="1"/>
  <c r="X79" i="47"/>
  <c r="Z79" i="47" s="1"/>
  <c r="S79" i="47"/>
  <c r="U79" i="47" s="1"/>
  <c r="P79" i="47"/>
  <c r="C79" i="47"/>
  <c r="E79" i="47" s="1"/>
  <c r="AH78" i="47"/>
  <c r="AJ78" i="47" s="1"/>
  <c r="AC78" i="47"/>
  <c r="AE78" i="47" s="1"/>
  <c r="X78" i="47"/>
  <c r="Z78" i="47" s="1"/>
  <c r="S78" i="47"/>
  <c r="U78" i="47" s="1"/>
  <c r="P78" i="47"/>
  <c r="C78" i="47"/>
  <c r="E78" i="47" s="1"/>
  <c r="AH77" i="47"/>
  <c r="AJ77" i="47" s="1"/>
  <c r="AC77" i="47"/>
  <c r="AE77" i="47" s="1"/>
  <c r="X77" i="47"/>
  <c r="Z77" i="47" s="1"/>
  <c r="S77" i="47"/>
  <c r="U77" i="47" s="1"/>
  <c r="P77" i="47"/>
  <c r="C77" i="47"/>
  <c r="E77" i="47" s="1"/>
  <c r="AH76" i="47"/>
  <c r="AJ76" i="47" s="1"/>
  <c r="AC76" i="47"/>
  <c r="AE76" i="47" s="1"/>
  <c r="X76" i="47"/>
  <c r="Z76" i="47" s="1"/>
  <c r="S76" i="47"/>
  <c r="U76" i="47" s="1"/>
  <c r="P76" i="47"/>
  <c r="C76" i="47"/>
  <c r="E76" i="47" s="1"/>
  <c r="AH75" i="47"/>
  <c r="AJ75" i="47" s="1"/>
  <c r="AC75" i="47"/>
  <c r="AE75" i="47" s="1"/>
  <c r="X75" i="47"/>
  <c r="Z75" i="47" s="1"/>
  <c r="S75" i="47"/>
  <c r="U75" i="47" s="1"/>
  <c r="P75" i="47"/>
  <c r="C75" i="47"/>
  <c r="E75" i="47" s="1"/>
  <c r="AH74" i="47"/>
  <c r="AJ74" i="47" s="1"/>
  <c r="AC74" i="47"/>
  <c r="AE74" i="47" s="1"/>
  <c r="X74" i="47"/>
  <c r="Z74" i="47" s="1"/>
  <c r="S74" i="47"/>
  <c r="U74" i="47" s="1"/>
  <c r="P74" i="47"/>
  <c r="C74" i="47"/>
  <c r="E74" i="47" s="1"/>
  <c r="AH73" i="47"/>
  <c r="AJ73" i="47" s="1"/>
  <c r="AC73" i="47"/>
  <c r="AE73" i="47" s="1"/>
  <c r="X73" i="47"/>
  <c r="Z73" i="47" s="1"/>
  <c r="S73" i="47"/>
  <c r="U73" i="47" s="1"/>
  <c r="P73" i="47"/>
  <c r="C73" i="47"/>
  <c r="E73" i="47" s="1"/>
  <c r="AH72" i="47"/>
  <c r="AJ72" i="47" s="1"/>
  <c r="AC72" i="47"/>
  <c r="AE72" i="47" s="1"/>
  <c r="X72" i="47"/>
  <c r="Z72" i="47" s="1"/>
  <c r="S72" i="47"/>
  <c r="U72" i="47" s="1"/>
  <c r="P72" i="47"/>
  <c r="C72" i="47"/>
  <c r="E72" i="47" s="1"/>
  <c r="AH37" i="47"/>
  <c r="AJ37" i="47" s="1"/>
  <c r="AC37" i="47"/>
  <c r="AE37" i="47" s="1"/>
  <c r="X37" i="47"/>
  <c r="Z37" i="47" s="1"/>
  <c r="S37" i="47"/>
  <c r="U37" i="47" s="1"/>
  <c r="P37" i="47"/>
  <c r="C37" i="47"/>
  <c r="E37" i="47" s="1"/>
  <c r="AH36" i="47"/>
  <c r="AJ36" i="47" s="1"/>
  <c r="AC36" i="47"/>
  <c r="AE36" i="47" s="1"/>
  <c r="X36" i="47"/>
  <c r="Z36" i="47" s="1"/>
  <c r="S36" i="47"/>
  <c r="U36" i="47" s="1"/>
  <c r="P36" i="47"/>
  <c r="C36" i="47"/>
  <c r="E36" i="47" s="1"/>
  <c r="AH35" i="47"/>
  <c r="AJ35" i="47" s="1"/>
  <c r="AC35" i="47"/>
  <c r="AE35" i="47" s="1"/>
  <c r="X35" i="47"/>
  <c r="Z35" i="47" s="1"/>
  <c r="S35" i="47"/>
  <c r="U35" i="47" s="1"/>
  <c r="P35" i="47"/>
  <c r="C35" i="47"/>
  <c r="E35" i="47" s="1"/>
  <c r="AH34" i="47"/>
  <c r="AJ34" i="47" s="1"/>
  <c r="AC34" i="47"/>
  <c r="AE34" i="47" s="1"/>
  <c r="X34" i="47"/>
  <c r="Z34" i="47" s="1"/>
  <c r="S34" i="47"/>
  <c r="U34" i="47" s="1"/>
  <c r="P34" i="47"/>
  <c r="C34" i="47"/>
  <c r="E34" i="47" s="1"/>
  <c r="AH33" i="47"/>
  <c r="AJ33" i="47" s="1"/>
  <c r="AC33" i="47"/>
  <c r="AE33" i="47" s="1"/>
  <c r="X33" i="47"/>
  <c r="Z33" i="47" s="1"/>
  <c r="S33" i="47"/>
  <c r="U33" i="47" s="1"/>
  <c r="P33" i="47"/>
  <c r="C33" i="47"/>
  <c r="E33" i="47" s="1"/>
  <c r="AH32" i="47"/>
  <c r="AJ32" i="47" s="1"/>
  <c r="AC32" i="47"/>
  <c r="AE32" i="47" s="1"/>
  <c r="X32" i="47"/>
  <c r="Z32" i="47" s="1"/>
  <c r="S32" i="47"/>
  <c r="U32" i="47" s="1"/>
  <c r="P32" i="47"/>
  <c r="C32" i="47"/>
  <c r="E32" i="47" s="1"/>
  <c r="AH31" i="47"/>
  <c r="AJ31" i="47" s="1"/>
  <c r="AC31" i="47"/>
  <c r="AE31" i="47" s="1"/>
  <c r="X31" i="47"/>
  <c r="Z31" i="47" s="1"/>
  <c r="S31" i="47"/>
  <c r="U31" i="47" s="1"/>
  <c r="P31" i="47"/>
  <c r="C31" i="47"/>
  <c r="E31" i="47" s="1"/>
  <c r="AH30" i="47"/>
  <c r="AJ30" i="47" s="1"/>
  <c r="AC30" i="47"/>
  <c r="AE30" i="47" s="1"/>
  <c r="X30" i="47"/>
  <c r="Z30" i="47" s="1"/>
  <c r="S30" i="47"/>
  <c r="U30" i="47" s="1"/>
  <c r="P30" i="47"/>
  <c r="C30" i="47"/>
  <c r="E30" i="47" s="1"/>
  <c r="AH29" i="47"/>
  <c r="AJ29" i="47" s="1"/>
  <c r="AC29" i="47"/>
  <c r="AE29" i="47" s="1"/>
  <c r="X29" i="47"/>
  <c r="Z29" i="47" s="1"/>
  <c r="S29" i="47"/>
  <c r="U29" i="47" s="1"/>
  <c r="P29" i="47"/>
  <c r="C29" i="47"/>
  <c r="E29" i="47" s="1"/>
  <c r="AH28" i="47"/>
  <c r="AJ28" i="47" s="1"/>
  <c r="AC28" i="47"/>
  <c r="AE28" i="47" s="1"/>
  <c r="X28" i="47"/>
  <c r="Z28" i="47" s="1"/>
  <c r="S28" i="47"/>
  <c r="U28" i="47" s="1"/>
  <c r="P28" i="47"/>
  <c r="C28" i="47"/>
  <c r="E28" i="47" s="1"/>
  <c r="AH27" i="47"/>
  <c r="AJ27" i="47" s="1"/>
  <c r="AC27" i="47"/>
  <c r="AE27" i="47" s="1"/>
  <c r="X27" i="47"/>
  <c r="Z27" i="47" s="1"/>
  <c r="S27" i="47"/>
  <c r="U27" i="47" s="1"/>
  <c r="P27" i="47"/>
  <c r="C27" i="47"/>
  <c r="E27" i="47" s="1"/>
  <c r="AH26" i="47"/>
  <c r="AJ26" i="47" s="1"/>
  <c r="AC26" i="47"/>
  <c r="AE26" i="47" s="1"/>
  <c r="X26" i="47"/>
  <c r="Z26" i="47" s="1"/>
  <c r="S26" i="47"/>
  <c r="U26" i="47" s="1"/>
  <c r="P26" i="47"/>
  <c r="C26" i="47"/>
  <c r="E26" i="47" s="1"/>
  <c r="AH25" i="47"/>
  <c r="AJ25" i="47" s="1"/>
  <c r="AC25" i="47"/>
  <c r="AE25" i="47" s="1"/>
  <c r="X25" i="47"/>
  <c r="Z25" i="47" s="1"/>
  <c r="S25" i="47"/>
  <c r="U25" i="47" s="1"/>
  <c r="P25" i="47"/>
  <c r="C25" i="47"/>
  <c r="E25" i="47" s="1"/>
  <c r="AH24" i="47"/>
  <c r="AJ24" i="47" s="1"/>
  <c r="AC24" i="47"/>
  <c r="AE24" i="47" s="1"/>
  <c r="X24" i="47"/>
  <c r="Z24" i="47" s="1"/>
  <c r="S24" i="47"/>
  <c r="U24" i="47" s="1"/>
  <c r="P24" i="47"/>
  <c r="C24" i="47"/>
  <c r="E24" i="47" s="1"/>
  <c r="AH23" i="47"/>
  <c r="AJ23" i="47" s="1"/>
  <c r="AC23" i="47"/>
  <c r="AE23" i="47" s="1"/>
  <c r="X23" i="47"/>
  <c r="Z23" i="47" s="1"/>
  <c r="S23" i="47"/>
  <c r="U23" i="47" s="1"/>
  <c r="P23" i="47"/>
  <c r="C23" i="47"/>
  <c r="E23" i="47" s="1"/>
  <c r="AH22" i="47"/>
  <c r="AJ22" i="47" s="1"/>
  <c r="AC22" i="47"/>
  <c r="AE22" i="47" s="1"/>
  <c r="X22" i="47"/>
  <c r="Z22" i="47" s="1"/>
  <c r="S22" i="47"/>
  <c r="U22" i="47" s="1"/>
  <c r="P22" i="47"/>
  <c r="C22" i="47"/>
  <c r="E22" i="47" s="1"/>
  <c r="AH21" i="47"/>
  <c r="AJ21" i="47" s="1"/>
  <c r="AC21" i="47"/>
  <c r="AE21" i="47" s="1"/>
  <c r="X21" i="47"/>
  <c r="Z21" i="47" s="1"/>
  <c r="S21" i="47"/>
  <c r="U21" i="47" s="1"/>
  <c r="P21" i="47"/>
  <c r="C21" i="47"/>
  <c r="E21" i="47" s="1"/>
  <c r="AH20" i="47"/>
  <c r="AJ20" i="47" s="1"/>
  <c r="AC20" i="47"/>
  <c r="AE20" i="47" s="1"/>
  <c r="X20" i="47"/>
  <c r="Z20" i="47" s="1"/>
  <c r="S20" i="47"/>
  <c r="U20" i="47" s="1"/>
  <c r="P20" i="47"/>
  <c r="C20" i="47"/>
  <c r="E20" i="47" s="1"/>
  <c r="AH19" i="47"/>
  <c r="AJ19" i="47" s="1"/>
  <c r="AC19" i="47"/>
  <c r="AE19" i="47" s="1"/>
  <c r="X19" i="47"/>
  <c r="Z19" i="47" s="1"/>
  <c r="S19" i="47"/>
  <c r="U19" i="47" s="1"/>
  <c r="P19" i="47"/>
  <c r="C19" i="47"/>
  <c r="E19" i="47" s="1"/>
  <c r="AH18" i="47"/>
  <c r="AJ18" i="47" s="1"/>
  <c r="AC18" i="47"/>
  <c r="AE18" i="47" s="1"/>
  <c r="X18" i="47"/>
  <c r="Z18" i="47" s="1"/>
  <c r="S18" i="47"/>
  <c r="U18" i="47" s="1"/>
  <c r="P18" i="47"/>
  <c r="C18" i="47"/>
  <c r="E18" i="47" s="1"/>
  <c r="AH17" i="47"/>
  <c r="AJ17" i="47" s="1"/>
  <c r="AC17" i="47"/>
  <c r="AE17" i="47" s="1"/>
  <c r="X17" i="47"/>
  <c r="Z17" i="47" s="1"/>
  <c r="S17" i="47"/>
  <c r="U17" i="47" s="1"/>
  <c r="P17" i="47"/>
  <c r="C17" i="47"/>
  <c r="E17" i="47" s="1"/>
  <c r="AH16" i="47"/>
  <c r="AJ16" i="47" s="1"/>
  <c r="AC16" i="47"/>
  <c r="AE16" i="47" s="1"/>
  <c r="X16" i="47"/>
  <c r="Z16" i="47" s="1"/>
  <c r="S16" i="47"/>
  <c r="U16" i="47" s="1"/>
  <c r="P16" i="47"/>
  <c r="C16" i="47"/>
  <c r="E16" i="47" s="1"/>
  <c r="AH15" i="47"/>
  <c r="AJ15" i="47" s="1"/>
  <c r="AC15" i="47"/>
  <c r="AE15" i="47" s="1"/>
  <c r="X15" i="47"/>
  <c r="Z15" i="47" s="1"/>
  <c r="S15" i="47"/>
  <c r="U15" i="47" s="1"/>
  <c r="P15" i="47"/>
  <c r="C15" i="47"/>
  <c r="E15" i="47" s="1"/>
  <c r="AC71" i="47"/>
  <c r="AE71" i="47" s="1"/>
  <c r="AC70" i="47"/>
  <c r="AE70" i="47" s="1"/>
  <c r="AC69" i="47"/>
  <c r="AE69" i="47" s="1"/>
  <c r="AC68" i="47"/>
  <c r="AE68" i="47" s="1"/>
  <c r="AC67" i="47"/>
  <c r="AE67" i="47" s="1"/>
  <c r="AC66" i="47"/>
  <c r="AE66" i="47" s="1"/>
  <c r="AC65" i="47"/>
  <c r="AE65" i="47" s="1"/>
  <c r="AC14" i="47"/>
  <c r="AE14" i="47" s="1"/>
  <c r="AH129" i="47"/>
  <c r="AJ129" i="47" s="1"/>
  <c r="AC129" i="47"/>
  <c r="AE129" i="47" s="1"/>
  <c r="X129" i="47"/>
  <c r="Z129" i="47" s="1"/>
  <c r="S129" i="47"/>
  <c r="U129" i="47" s="1"/>
  <c r="P129" i="47"/>
  <c r="C129" i="47"/>
  <c r="E129" i="47" s="1"/>
  <c r="AH128" i="47"/>
  <c r="AJ128" i="47" s="1"/>
  <c r="AC128" i="47"/>
  <c r="AE128" i="47" s="1"/>
  <c r="X128" i="47"/>
  <c r="Z128" i="47" s="1"/>
  <c r="S128" i="47"/>
  <c r="U128" i="47" s="1"/>
  <c r="P128" i="47"/>
  <c r="C128" i="47"/>
  <c r="E128" i="47" s="1"/>
  <c r="AH127" i="47"/>
  <c r="AJ127" i="47" s="1"/>
  <c r="AC127" i="47"/>
  <c r="AE127" i="47" s="1"/>
  <c r="X127" i="47"/>
  <c r="Z127" i="47" s="1"/>
  <c r="S127" i="47"/>
  <c r="U127" i="47" s="1"/>
  <c r="P127" i="47"/>
  <c r="C127" i="47"/>
  <c r="E127" i="47" s="1"/>
  <c r="AH126" i="47"/>
  <c r="AJ126" i="47" s="1"/>
  <c r="AC126" i="47"/>
  <c r="AE126" i="47" s="1"/>
  <c r="X126" i="47"/>
  <c r="Z126" i="47" s="1"/>
  <c r="S126" i="47"/>
  <c r="U126" i="47" s="1"/>
  <c r="P126" i="47"/>
  <c r="C126" i="47"/>
  <c r="E126" i="47" s="1"/>
  <c r="AH125" i="47"/>
  <c r="AJ125" i="47" s="1"/>
  <c r="AC125" i="47"/>
  <c r="AE125" i="47" s="1"/>
  <c r="X125" i="47"/>
  <c r="Z125" i="47" s="1"/>
  <c r="S125" i="47"/>
  <c r="U125" i="47" s="1"/>
  <c r="P125" i="47"/>
  <c r="C125" i="47"/>
  <c r="E125" i="47" s="1"/>
  <c r="AH124" i="47"/>
  <c r="AJ124" i="47" s="1"/>
  <c r="AC124" i="47"/>
  <c r="AE124" i="47" s="1"/>
  <c r="X124" i="47"/>
  <c r="Z124" i="47" s="1"/>
  <c r="S124" i="47"/>
  <c r="U124" i="47" s="1"/>
  <c r="P124" i="47"/>
  <c r="C124" i="47"/>
  <c r="E124" i="47" s="1"/>
  <c r="S71" i="47"/>
  <c r="U71" i="47" s="1"/>
  <c r="S70" i="47"/>
  <c r="U70" i="47" s="1"/>
  <c r="S69" i="47"/>
  <c r="U69" i="47" s="1"/>
  <c r="S68" i="47"/>
  <c r="U68" i="47" s="1"/>
  <c r="S67" i="47"/>
  <c r="U67" i="47" s="1"/>
  <c r="X71" i="47"/>
  <c r="Z71" i="47" s="1"/>
  <c r="X70" i="47"/>
  <c r="Z70" i="47" s="1"/>
  <c r="AC13" i="47"/>
  <c r="AE13" i="47" s="1"/>
  <c r="X69" i="47"/>
  <c r="Z69" i="47" s="1"/>
  <c r="X68" i="47"/>
  <c r="Z68" i="47" s="1"/>
  <c r="X67" i="47"/>
  <c r="Z67" i="47" s="1"/>
  <c r="X66" i="47"/>
  <c r="Z66" i="47" s="1"/>
  <c r="X14" i="47"/>
  <c r="Z14" i="47" s="1"/>
  <c r="X13" i="47"/>
  <c r="Z13" i="47" s="1"/>
  <c r="X12" i="47"/>
  <c r="Z12" i="47" s="1"/>
  <c r="X11" i="47"/>
  <c r="Z11" i="47" s="1"/>
  <c r="X10" i="47"/>
  <c r="Z10" i="47" s="1"/>
  <c r="X9" i="47"/>
  <c r="Z9" i="47" s="1"/>
  <c r="C10" i="47"/>
  <c r="C11" i="47"/>
  <c r="C12" i="47"/>
  <c r="C13" i="47"/>
  <c r="C14" i="47"/>
  <c r="C65" i="47"/>
  <c r="C66" i="47"/>
  <c r="C67" i="47"/>
  <c r="C68" i="47"/>
  <c r="C69" i="47"/>
  <c r="C70" i="47"/>
  <c r="C71" i="47"/>
  <c r="C118" i="47"/>
  <c r="C119" i="47"/>
  <c r="C120" i="47"/>
  <c r="C121" i="47"/>
  <c r="C122" i="47"/>
  <c r="C123" i="47"/>
  <c r="C9" i="47"/>
  <c r="AH123" i="47" l="1"/>
  <c r="AJ123" i="47" s="1"/>
  <c r="AH122" i="47"/>
  <c r="AJ122" i="47" s="1"/>
  <c r="AH121" i="47"/>
  <c r="AJ121" i="47" s="1"/>
  <c r="AH120" i="47"/>
  <c r="AJ120" i="47" s="1"/>
  <c r="AH119" i="47"/>
  <c r="AJ119" i="47" s="1"/>
  <c r="AH118" i="47"/>
  <c r="AJ118" i="47" s="1"/>
  <c r="AH71" i="47"/>
  <c r="AJ71" i="47" s="1"/>
  <c r="AH70" i="47"/>
  <c r="AJ70" i="47" s="1"/>
  <c r="AH69" i="47"/>
  <c r="AJ69" i="47" s="1"/>
  <c r="AH68" i="47"/>
  <c r="AJ68" i="47" s="1"/>
  <c r="AH67" i="47"/>
  <c r="AJ67" i="47" s="1"/>
  <c r="AH66" i="47"/>
  <c r="AJ66" i="47" s="1"/>
  <c r="AH65" i="47"/>
  <c r="AJ65" i="47" s="1"/>
  <c r="AH14" i="47"/>
  <c r="AJ14" i="47" s="1"/>
  <c r="AH13" i="47"/>
  <c r="AJ13" i="47" s="1"/>
  <c r="AH12" i="47"/>
  <c r="AJ12" i="47" s="1"/>
  <c r="AH11" i="47"/>
  <c r="AJ11" i="47" s="1"/>
  <c r="AH10" i="47"/>
  <c r="AJ10" i="47" s="1"/>
  <c r="AH9" i="47"/>
  <c r="AJ9" i="47" s="1"/>
  <c r="AH6" i="47" a="1"/>
  <c r="AH6" i="47" s="1"/>
  <c r="AH5" i="47" a="1"/>
  <c r="AH5" i="47" s="1"/>
  <c r="AC123" i="47"/>
  <c r="AE123" i="47" s="1"/>
  <c r="AC122" i="47"/>
  <c r="AE122" i="47" s="1"/>
  <c r="AC121" i="47"/>
  <c r="AE121" i="47" s="1"/>
  <c r="AC120" i="47"/>
  <c r="AE120" i="47" s="1"/>
  <c r="AC119" i="47"/>
  <c r="AE119" i="47" s="1"/>
  <c r="AC118" i="47"/>
  <c r="AE118" i="47" s="1"/>
  <c r="AC12" i="47"/>
  <c r="AE12" i="47" s="1"/>
  <c r="AC11" i="47"/>
  <c r="AE11" i="47" s="1"/>
  <c r="AC10" i="47"/>
  <c r="AE10" i="47" s="1"/>
  <c r="AC9" i="47"/>
  <c r="AE9" i="47" s="1"/>
  <c r="AC6" i="47" a="1"/>
  <c r="AC6" i="47" s="1"/>
  <c r="AC5" i="47" a="1"/>
  <c r="AC5" i="47" s="1"/>
  <c r="X123" i="47"/>
  <c r="Z123" i="47" s="1"/>
  <c r="X122" i="47"/>
  <c r="Z122" i="47" s="1"/>
  <c r="X121" i="47"/>
  <c r="Z121" i="47" s="1"/>
  <c r="X120" i="47"/>
  <c r="Z120" i="47" s="1"/>
  <c r="X119" i="47"/>
  <c r="Z119" i="47" s="1"/>
  <c r="X118" i="47"/>
  <c r="Z118" i="47" s="1"/>
  <c r="X65" i="47"/>
  <c r="Z65" i="47" s="1"/>
  <c r="X6" i="47" a="1"/>
  <c r="X6" i="47" s="1"/>
  <c r="X5" i="47" a="1"/>
  <c r="X5" i="47" s="1"/>
  <c r="S123" i="47"/>
  <c r="U123" i="47" s="1"/>
  <c r="S122" i="47"/>
  <c r="U122" i="47" s="1"/>
  <c r="S121" i="47"/>
  <c r="U121" i="47" s="1"/>
  <c r="S120" i="47"/>
  <c r="U120" i="47" s="1"/>
  <c r="S119" i="47"/>
  <c r="U119" i="47" s="1"/>
  <c r="S118" i="47"/>
  <c r="U118" i="47" s="1"/>
  <c r="S66" i="47"/>
  <c r="U66" i="47" s="1"/>
  <c r="S65" i="47"/>
  <c r="U65" i="47" s="1"/>
  <c r="S14" i="47"/>
  <c r="U14" i="47" s="1"/>
  <c r="S13" i="47"/>
  <c r="U13" i="47" s="1"/>
  <c r="S12" i="47"/>
  <c r="U12" i="47" s="1"/>
  <c r="S11" i="47"/>
  <c r="U11" i="47" s="1"/>
  <c r="S10" i="47"/>
  <c r="U10" i="47" s="1"/>
  <c r="S9" i="47"/>
  <c r="U9" i="47" s="1"/>
  <c r="S6" i="47" a="1"/>
  <c r="S6" i="47" s="1"/>
  <c r="S5" i="47" a="1"/>
  <c r="S5" i="47" s="1"/>
  <c r="AJ6" i="47" l="1"/>
  <c r="AE6" i="47"/>
  <c r="Z6" i="47"/>
  <c r="U6" i="47"/>
  <c r="AJ5" i="47"/>
  <c r="AE5" i="47"/>
  <c r="Z5" i="47"/>
  <c r="U5" i="47"/>
  <c r="E118" i="47" l="1"/>
  <c r="E10" i="47"/>
  <c r="E71" i="47"/>
  <c r="E12" i="47"/>
  <c r="E70" i="47"/>
  <c r="E69" i="47"/>
  <c r="E68" i="47"/>
  <c r="E67" i="47"/>
  <c r="E66" i="47"/>
  <c r="E65" i="47"/>
  <c r="E14" i="47"/>
  <c r="E13" i="47"/>
  <c r="E11" i="47"/>
  <c r="P123" i="47" l="1"/>
  <c r="E123" i="47"/>
  <c r="P122" i="47"/>
  <c r="E122" i="47"/>
  <c r="P121" i="47"/>
  <c r="E121" i="47"/>
  <c r="P120" i="47"/>
  <c r="E120" i="47"/>
  <c r="P119" i="47"/>
  <c r="E119" i="47"/>
  <c r="P118" i="47"/>
  <c r="P71" i="47"/>
  <c r="P70" i="47"/>
  <c r="P69" i="47"/>
  <c r="P68" i="47"/>
  <c r="P67" i="47"/>
  <c r="P66" i="47"/>
  <c r="P65" i="47"/>
  <c r="P14" i="47"/>
  <c r="P13" i="47"/>
  <c r="P12" i="47"/>
  <c r="P11" i="47"/>
  <c r="P10" i="47"/>
  <c r="P9" i="47"/>
  <c r="E9" i="47"/>
  <c r="P6" i="47"/>
  <c r="C6" i="47" a="1"/>
  <c r="C6" i="47" s="1"/>
  <c r="P5" i="47"/>
  <c r="C5" i="47" a="1"/>
  <c r="C5" i="47" s="1"/>
  <c r="G27" i="45" l="1"/>
  <c r="G26" i="45"/>
  <c r="G25" i="45"/>
  <c r="G24" i="45"/>
  <c r="G23" i="45"/>
  <c r="G22" i="45"/>
  <c r="G21" i="45"/>
  <c r="G20" i="45"/>
  <c r="G19" i="45"/>
  <c r="G18" i="45"/>
  <c r="G17" i="45"/>
  <c r="G16" i="45"/>
  <c r="G15" i="45"/>
  <c r="G14" i="45"/>
  <c r="G13" i="45"/>
  <c r="G12" i="45"/>
  <c r="G11" i="45"/>
  <c r="G10" i="45"/>
  <c r="G9" i="45"/>
  <c r="D25" i="45"/>
  <c r="D24" i="45"/>
  <c r="D23" i="45"/>
  <c r="D22" i="45"/>
  <c r="D21" i="45"/>
  <c r="D20" i="45"/>
  <c r="D19" i="45"/>
  <c r="D18" i="45"/>
  <c r="D17" i="45"/>
  <c r="D16" i="45"/>
  <c r="D15" i="45"/>
  <c r="D14" i="45"/>
  <c r="D13" i="45"/>
  <c r="D12" i="45"/>
  <c r="D11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7" i="45"/>
  <c r="G8" i="45"/>
  <c r="H53" i="43"/>
  <c r="H52" i="43"/>
  <c r="H51" i="43"/>
  <c r="H50" i="43"/>
  <c r="H49" i="43"/>
  <c r="H48" i="43"/>
  <c r="H47" i="43"/>
  <c r="H46" i="43"/>
  <c r="H45" i="43"/>
  <c r="H44" i="43"/>
  <c r="H43" i="43"/>
  <c r="H42" i="43"/>
  <c r="H41" i="43"/>
  <c r="H40" i="43"/>
  <c r="H39" i="43"/>
  <c r="H38" i="43"/>
  <c r="H37" i="43"/>
  <c r="H36" i="43"/>
  <c r="H35" i="43"/>
  <c r="H34" i="43"/>
  <c r="H33" i="43"/>
  <c r="H32" i="43"/>
  <c r="H31" i="43"/>
  <c r="H30" i="43"/>
  <c r="H29" i="43"/>
  <c r="H28" i="43"/>
  <c r="H27" i="43"/>
  <c r="H26" i="43"/>
  <c r="H25" i="43"/>
  <c r="H24" i="43"/>
  <c r="H23" i="43"/>
  <c r="H22" i="43"/>
  <c r="H21" i="43"/>
  <c r="H20" i="43"/>
  <c r="H19" i="43"/>
  <c r="H18" i="43"/>
  <c r="H17" i="43"/>
  <c r="H16" i="43"/>
  <c r="H15" i="43"/>
  <c r="H14" i="43"/>
  <c r="H13" i="43"/>
  <c r="H12" i="43"/>
  <c r="H11" i="43"/>
  <c r="H10" i="43"/>
  <c r="P53" i="43"/>
  <c r="L53" i="43"/>
  <c r="P52" i="43"/>
  <c r="L52" i="43"/>
  <c r="P51" i="43"/>
  <c r="L51" i="43"/>
  <c r="P50" i="43"/>
  <c r="L50" i="43"/>
  <c r="P49" i="43"/>
  <c r="L49" i="43"/>
  <c r="P48" i="43"/>
  <c r="L48" i="43"/>
  <c r="P47" i="43"/>
  <c r="L47" i="43"/>
  <c r="P46" i="43"/>
  <c r="L46" i="43"/>
  <c r="P45" i="43"/>
  <c r="L45" i="43"/>
  <c r="P44" i="43"/>
  <c r="L44" i="43"/>
  <c r="P43" i="43"/>
  <c r="L43" i="43"/>
  <c r="P42" i="43"/>
  <c r="L42" i="43"/>
  <c r="P41" i="43"/>
  <c r="L41" i="43"/>
  <c r="P40" i="43"/>
  <c r="L40" i="43"/>
  <c r="P39" i="43"/>
  <c r="L39" i="43"/>
  <c r="P38" i="43"/>
  <c r="L38" i="43"/>
  <c r="P37" i="43"/>
  <c r="L37" i="43"/>
  <c r="P36" i="43"/>
  <c r="L36" i="43"/>
  <c r="P35" i="43"/>
  <c r="L35" i="43"/>
  <c r="P34" i="43"/>
  <c r="L34" i="43"/>
  <c r="P33" i="43"/>
  <c r="L33" i="43"/>
  <c r="P32" i="43"/>
  <c r="L32" i="43"/>
  <c r="P31" i="43"/>
  <c r="L31" i="43"/>
  <c r="P30" i="43"/>
  <c r="L30" i="43"/>
  <c r="P29" i="43"/>
  <c r="L29" i="43"/>
  <c r="P28" i="43"/>
  <c r="L28" i="43"/>
  <c r="P27" i="43"/>
  <c r="L27" i="43"/>
  <c r="P26" i="43"/>
  <c r="L26" i="43"/>
  <c r="P25" i="43"/>
  <c r="L25" i="43"/>
  <c r="P24" i="43"/>
  <c r="L24" i="43"/>
  <c r="P23" i="43"/>
  <c r="L23" i="43"/>
  <c r="P22" i="43"/>
  <c r="L22" i="43"/>
  <c r="P21" i="43"/>
  <c r="L21" i="43"/>
  <c r="P20" i="43"/>
  <c r="L20" i="43"/>
  <c r="P19" i="43"/>
  <c r="L19" i="43"/>
  <c r="P18" i="43"/>
  <c r="L18" i="43"/>
  <c r="P17" i="43"/>
  <c r="L17" i="43"/>
  <c r="C9" i="41"/>
  <c r="C10" i="41" s="1"/>
  <c r="C11" i="41" s="1"/>
  <c r="C12" i="41" s="1"/>
  <c r="C13" i="41" s="1"/>
  <c r="C14" i="41" s="1"/>
  <c r="C15" i="41" s="1"/>
  <c r="C16" i="41" s="1"/>
  <c r="C17" i="41" s="1"/>
  <c r="D27" i="45"/>
  <c r="D26" i="45"/>
  <c r="D10" i="45"/>
  <c r="D9" i="45"/>
  <c r="D8" i="45"/>
  <c r="A9" i="45"/>
  <c r="A8" i="45"/>
  <c r="P16" i="43"/>
  <c r="P15" i="43"/>
  <c r="P14" i="43"/>
  <c r="P13" i="43"/>
  <c r="L16" i="43"/>
  <c r="L15" i="43"/>
  <c r="L14" i="43"/>
  <c r="L13" i="43"/>
  <c r="P12" i="43" l="1"/>
  <c r="L12" i="43"/>
  <c r="P11" i="43"/>
  <c r="L11" i="43"/>
  <c r="P10" i="43"/>
  <c r="L10" i="43"/>
  <c r="P9" i="43"/>
  <c r="L9" i="43"/>
  <c r="H9" i="43"/>
  <c r="P6" i="43"/>
  <c r="L6" i="43"/>
  <c r="H6" i="43" a="1"/>
  <c r="H6" i="43" s="1"/>
  <c r="P5" i="43"/>
  <c r="L5" i="43"/>
  <c r="H5" i="43" a="1"/>
  <c r="H5" i="43" s="1"/>
  <c r="E27" i="35"/>
  <c r="E26" i="35"/>
  <c r="E25" i="35"/>
  <c r="E24" i="35"/>
  <c r="E23" i="35"/>
  <c r="E22" i="35"/>
  <c r="E21" i="35"/>
  <c r="E20" i="35"/>
  <c r="E19" i="35"/>
  <c r="E18" i="35"/>
  <c r="E17" i="35"/>
  <c r="E16" i="35"/>
  <c r="E14" i="35"/>
  <c r="E13" i="35"/>
  <c r="E12" i="35"/>
  <c r="E15" i="35"/>
  <c r="D8" i="41"/>
  <c r="D9" i="41" s="1"/>
  <c r="D10" i="41" s="1"/>
  <c r="D11" i="41" s="1"/>
  <c r="D12" i="41" s="1"/>
  <c r="D13" i="41" s="1"/>
  <c r="D14" i="41" s="1"/>
  <c r="D15" i="41" s="1"/>
  <c r="D16" i="41" s="1"/>
  <c r="D17" i="41" s="1"/>
</calcChain>
</file>

<file path=xl/sharedStrings.xml><?xml version="1.0" encoding="utf-8"?>
<sst xmlns="http://schemas.openxmlformats.org/spreadsheetml/2006/main" count="2725" uniqueCount="665">
  <si>
    <t>-</t>
    <phoneticPr fontId="6" type="noConversion"/>
  </si>
  <si>
    <t>:required</t>
    <phoneticPr fontId="6" type="noConversion"/>
  </si>
  <si>
    <t>:min</t>
    <phoneticPr fontId="6" type="noConversion"/>
  </si>
  <si>
    <t>:max</t>
    <phoneticPr fontId="6" type="noConversion"/>
  </si>
  <si>
    <t>:enum</t>
    <phoneticPr fontId="6" type="noConversion"/>
  </si>
  <si>
    <t>id</t>
    <phoneticPr fontId="6" type="noConversion"/>
  </si>
  <si>
    <t>number</t>
    <phoneticPr fontId="6" type="noConversion"/>
  </si>
  <si>
    <t>마지막 라인</t>
  </si>
  <si>
    <t>:links</t>
    <phoneticPr fontId="6" type="noConversion"/>
  </si>
  <si>
    <t>컬러 2</t>
    <phoneticPr fontId="6" type="noConversion"/>
  </si>
  <si>
    <t>컬러 3</t>
  </si>
  <si>
    <t>컬러 4</t>
  </si>
  <si>
    <t>컬러 5</t>
  </si>
  <si>
    <t>컬러 6</t>
  </si>
  <si>
    <t>컬러 7</t>
  </si>
  <si>
    <t>컬러 8</t>
  </si>
  <si>
    <t>컬러 9</t>
  </si>
  <si>
    <t>컬러 10</t>
  </si>
  <si>
    <t>-</t>
  </si>
  <si>
    <t>color</t>
    <phoneticPr fontId="6" type="noConversion"/>
  </si>
  <si>
    <t>0xFFFFFF</t>
    <phoneticPr fontId="11" type="noConversion"/>
  </si>
  <si>
    <t>컬러 11</t>
  </si>
  <si>
    <t>컬러 12</t>
  </si>
  <si>
    <t>컬러 13</t>
  </si>
  <si>
    <t>컬러 14</t>
  </si>
  <si>
    <t>컬러 15</t>
  </si>
  <si>
    <t>컬러 16</t>
  </si>
  <si>
    <t>컬러 17</t>
  </si>
  <si>
    <t>컬러 18</t>
  </si>
  <si>
    <t>컬러 19</t>
  </si>
  <si>
    <t>컬러 20</t>
  </si>
  <si>
    <t>컬러 21</t>
  </si>
  <si>
    <t>컬러 22</t>
  </si>
  <si>
    <t>컬러 23</t>
  </si>
  <si>
    <t>컬러 24</t>
  </si>
  <si>
    <t>컬러 25</t>
  </si>
  <si>
    <t>컬러 26</t>
  </si>
  <si>
    <t>컬러 27</t>
  </si>
  <si>
    <t>컬러 28</t>
  </si>
  <si>
    <t>컬러 29</t>
  </si>
  <si>
    <t>컬러 30</t>
  </si>
  <si>
    <t>컬러 31</t>
  </si>
  <si>
    <t>컬러 32</t>
  </si>
  <si>
    <t>컬러 33</t>
  </si>
  <si>
    <t>컬러 34</t>
  </si>
  <si>
    <t>컬러 35</t>
  </si>
  <si>
    <t>컬러 36</t>
  </si>
  <si>
    <t>컬러 37</t>
  </si>
  <si>
    <t>컬러 38</t>
  </si>
  <si>
    <t>컬러 39</t>
  </si>
  <si>
    <t>컬러 40</t>
  </si>
  <si>
    <t>컬러 41</t>
  </si>
  <si>
    <t>컬러 42</t>
  </si>
  <si>
    <t>컬러 43</t>
  </si>
  <si>
    <t>컬러 44</t>
  </si>
  <si>
    <t>컬러 45</t>
  </si>
  <si>
    <t>isExposure</t>
  </si>
  <si>
    <t>bool</t>
  </si>
  <si>
    <t>0x5f0300</t>
  </si>
  <si>
    <t>0xbb0c00</t>
  </si>
  <si>
    <t>0xf56664</t>
  </si>
  <si>
    <t>0xfb8e8d</t>
  </si>
  <si>
    <t>0x5f4000</t>
  </si>
  <si>
    <t>0xb17b00</t>
  </si>
  <si>
    <t>0xf2b048</t>
  </si>
  <si>
    <t>0xf8c07a</t>
  </si>
  <si>
    <t>0x5f5a00</t>
  </si>
  <si>
    <t>0xc2ba00</t>
  </si>
  <si>
    <t>0xe1d826</t>
  </si>
  <si>
    <t>0xfbf47a</t>
  </si>
  <si>
    <t>0x525f00</t>
  </si>
  <si>
    <t>0xa7c000</t>
  </si>
  <si>
    <t>0xc6e400</t>
  </si>
  <si>
    <t>0xe1fa86</t>
  </si>
  <si>
    <t>0x345400</t>
  </si>
  <si>
    <t>0x7bbd00</t>
  </si>
  <si>
    <t>0x8ed900</t>
  </si>
  <si>
    <t>0xbffa86</t>
  </si>
  <si>
    <t>0x114f37</t>
  </si>
  <si>
    <t>0x008a58</t>
  </si>
  <si>
    <t>0x00cf86</t>
  </si>
  <si>
    <t>0x7bfaba</t>
  </si>
  <si>
    <t>0x0f534f</t>
  </si>
  <si>
    <t>0x218b85</t>
  </si>
  <si>
    <t>0x38e1d9</t>
  </si>
  <si>
    <t>0x8ffaf2</t>
  </si>
  <si>
    <t>0x10414f</t>
  </si>
  <si>
    <t>0x7899</t>
  </si>
  <si>
    <t>0x38beed</t>
  </si>
  <si>
    <t>0xa4defd</t>
  </si>
  <si>
    <t>0x121852</t>
  </si>
  <si>
    <t>0x192598</t>
  </si>
  <si>
    <t>0x5059ea</t>
  </si>
  <si>
    <t>0xa1a4ff</t>
  </si>
  <si>
    <t>0x290753</t>
  </si>
  <si>
    <t>0x4e1495</t>
  </si>
  <si>
    <t>0x8126f0</t>
  </si>
  <si>
    <t>0xbda3fe</t>
  </si>
  <si>
    <t>0x431a53</t>
  </si>
  <si>
    <t>0x7a3595</t>
  </si>
  <si>
    <t>0xbb54e4</t>
  </si>
  <si>
    <t>0xd88bfc</t>
  </si>
  <si>
    <t>0x511253</t>
  </si>
  <si>
    <t>0x942898</t>
  </si>
  <si>
    <t>0xe341e8</t>
  </si>
  <si>
    <t>0xf69bfa</t>
  </si>
  <si>
    <t>0x54152c</t>
  </si>
  <si>
    <t>0x972c53</t>
  </si>
  <si>
    <t>0xe85789</t>
  </si>
  <si>
    <t>0xfea0ba</t>
  </si>
  <si>
    <t>0x2c2c2c</t>
  </si>
  <si>
    <t>0x585858</t>
  </si>
  <si>
    <t>0xa3a3a3</t>
  </si>
  <si>
    <t>0xe4e4e4</t>
  </si>
  <si>
    <t>컬러 46</t>
  </si>
  <si>
    <t>컬러 47</t>
  </si>
  <si>
    <t>컬러 48</t>
  </si>
  <si>
    <t>컬러 49</t>
  </si>
  <si>
    <t>컬러 50</t>
  </si>
  <si>
    <t>컬러 51</t>
  </si>
  <si>
    <t>컬러 52</t>
  </si>
  <si>
    <t>컬러 53</t>
  </si>
  <si>
    <t>컬러 54</t>
  </si>
  <si>
    <t>컬러 55</t>
  </si>
  <si>
    <t>컬러 56</t>
  </si>
  <si>
    <t>컬러 57</t>
  </si>
  <si>
    <t>level</t>
    <phoneticPr fontId="6" type="noConversion"/>
  </si>
  <si>
    <t>exp</t>
    <phoneticPr fontId="6" type="noConversion"/>
  </si>
  <si>
    <t>expStack</t>
    <phoneticPr fontId="6" type="noConversion"/>
  </si>
  <si>
    <t>maxUser</t>
    <phoneticPr fontId="6" type="noConversion"/>
  </si>
  <si>
    <t>makeShipPartsLevel</t>
    <phoneticPr fontId="6" type="noConversion"/>
  </si>
  <si>
    <t>makeEquipLevel</t>
    <phoneticPr fontId="6" type="noConversion"/>
  </si>
  <si>
    <t>guildLevel</t>
    <phoneticPr fontId="6" type="noConversion"/>
  </si>
  <si>
    <t>"Guild"</t>
    <phoneticPr fontId="6" type="noConversion"/>
  </si>
  <si>
    <t>key:201~300</t>
    <phoneticPr fontId="6" type="noConversion"/>
  </si>
  <si>
    <t>isExposure</t>
    <phoneticPr fontId="6" type="noConversion"/>
  </si>
  <si>
    <t>컬러 1</t>
    <phoneticPr fontId="11" type="noConversion"/>
  </si>
  <si>
    <t>key:0~200</t>
    <phoneticPr fontId="6" type="noConversion"/>
  </si>
  <si>
    <t>key:301~400</t>
    <phoneticPr fontId="6" type="noConversion"/>
  </si>
  <si>
    <t>key:401~500</t>
    <phoneticPr fontId="6" type="noConversion"/>
  </si>
  <si>
    <t>string:c</t>
    <phoneticPr fontId="6" type="noConversion"/>
  </si>
  <si>
    <t>WT_Guild_Emblem_01_Sprite</t>
    <phoneticPr fontId="6" type="noConversion"/>
  </si>
  <si>
    <t>WT_Guild_Emblem_02_Sprite</t>
  </si>
  <si>
    <t>WT_Guild_Emblem_03_Sprite</t>
  </si>
  <si>
    <t>WT_Guild_Emblem_04_Sprite</t>
  </si>
  <si>
    <t>WT_Guild_Emblem_05_Sprite</t>
  </si>
  <si>
    <t>WT_Guild_Emblem_06_Sprite</t>
  </si>
  <si>
    <t>WT_Guild_Emblem_07_Sprite</t>
  </si>
  <si>
    <t>WT_Guild_Emblem_08_Sprite</t>
  </si>
  <si>
    <t>WT_Guild_Emblem_09_Sprite</t>
  </si>
  <si>
    <t>WT_Guild_Emblem_10_Sprite</t>
  </si>
  <si>
    <t>WT_Guild_Emblem_11_Sprite</t>
  </si>
  <si>
    <t>WT_Guild_Emblem_12_Sprite</t>
  </si>
  <si>
    <t>WT_Guild_Emblem_13_Sprite</t>
  </si>
  <si>
    <t>WT_Guild_Emblem_14_Sprite</t>
  </si>
  <si>
    <t>WT_Guild_Emblem_15_Sprite</t>
  </si>
  <si>
    <t>WT_Guild_Emblem_16_Sprite</t>
  </si>
  <si>
    <t>WT_Guild_Emblem_17_Sprite</t>
  </si>
  <si>
    <t>WT_Guild_Emblem_18_Sprite</t>
  </si>
  <si>
    <t>WT_Guild_Emblem_19_Sprite</t>
  </si>
  <si>
    <t>WT_Guild_Emblem_20_Sprite</t>
  </si>
  <si>
    <t>꽃</t>
    <phoneticPr fontId="6" type="noConversion"/>
  </si>
  <si>
    <t>물고기</t>
    <phoneticPr fontId="6" type="noConversion"/>
  </si>
  <si>
    <t>긴꼬리새</t>
    <phoneticPr fontId="6" type="noConversion"/>
  </si>
  <si>
    <t>비둘기</t>
    <phoneticPr fontId="6" type="noConversion"/>
  </si>
  <si>
    <t>용</t>
    <phoneticPr fontId="6" type="noConversion"/>
  </si>
  <si>
    <t>독수리문양</t>
    <phoneticPr fontId="6" type="noConversion"/>
  </si>
  <si>
    <t>태양</t>
    <phoneticPr fontId="6" type="noConversion"/>
  </si>
  <si>
    <t>나비</t>
    <phoneticPr fontId="6" type="noConversion"/>
  </si>
  <si>
    <t>칼</t>
    <phoneticPr fontId="6" type="noConversion"/>
  </si>
  <si>
    <t>봉황</t>
    <phoneticPr fontId="6" type="noConversion"/>
  </si>
  <si>
    <t>이글이글</t>
    <phoneticPr fontId="6" type="noConversion"/>
  </si>
  <si>
    <t>페가수스</t>
    <phoneticPr fontId="6" type="noConversion"/>
  </si>
  <si>
    <t>염소</t>
    <phoneticPr fontId="6" type="noConversion"/>
  </si>
  <si>
    <t>연꽃</t>
    <phoneticPr fontId="6" type="noConversion"/>
  </si>
  <si>
    <t>닭</t>
    <phoneticPr fontId="6" type="noConversion"/>
  </si>
  <si>
    <t>기</t>
    <phoneticPr fontId="6" type="noConversion"/>
  </si>
  <si>
    <t>장미</t>
    <phoneticPr fontId="6" type="noConversion"/>
  </si>
  <si>
    <t>사자</t>
    <phoneticPr fontId="6" type="noConversion"/>
  </si>
  <si>
    <t>도끼</t>
    <phoneticPr fontId="6" type="noConversion"/>
  </si>
  <si>
    <t>날개</t>
    <phoneticPr fontId="6" type="noConversion"/>
  </si>
  <si>
    <t>배경1</t>
    <phoneticPr fontId="6" type="noConversion"/>
  </si>
  <si>
    <t>배경2</t>
  </si>
  <si>
    <t>배경3</t>
  </si>
  <si>
    <t>배경4</t>
  </si>
  <si>
    <t>배경5</t>
  </si>
  <si>
    <t>배경6</t>
  </si>
  <si>
    <t>배경7</t>
  </si>
  <si>
    <t>배경8</t>
  </si>
  <si>
    <t>배경9</t>
  </si>
  <si>
    <t>배경10</t>
  </si>
  <si>
    <t>배경11</t>
  </si>
  <si>
    <t>배경12</t>
  </si>
  <si>
    <t>배경13</t>
  </si>
  <si>
    <t>배경14</t>
  </si>
  <si>
    <t>배경15</t>
  </si>
  <si>
    <t>배경16</t>
  </si>
  <si>
    <t>배경17</t>
  </si>
  <si>
    <t>배경18</t>
  </si>
  <si>
    <t>배경19</t>
  </si>
  <si>
    <t>배경20</t>
  </si>
  <si>
    <t>배경21</t>
  </si>
  <si>
    <t>배경22</t>
  </si>
  <si>
    <t>배경23</t>
  </si>
  <si>
    <t>배경24</t>
  </si>
  <si>
    <t>guildEmblem</t>
    <phoneticPr fontId="6" type="noConversion"/>
  </si>
  <si>
    <t>WT_GuildEmblemBg01_Sprite</t>
    <phoneticPr fontId="6" type="noConversion"/>
  </si>
  <si>
    <t>WT_GuildEmblemBg02_Sprite</t>
  </si>
  <si>
    <t>WT_GuildEmblemBg03_Sprite</t>
  </si>
  <si>
    <t>WT_GuildEmblemBg04_Sprite</t>
  </si>
  <si>
    <t>WT_GuildEmblemBg05_Sprite</t>
  </si>
  <si>
    <t>WT_GuildEmblemBg06_Sprite</t>
  </si>
  <si>
    <t>WT_GuildEmblemBg07_Sprite</t>
  </si>
  <si>
    <t>WT_GuildEmblemBg08_Sprite</t>
  </si>
  <si>
    <t>WT_GuildEmblemBg09_Sprite</t>
  </si>
  <si>
    <t>WT_GuildEmblemBg10_Sprite</t>
  </si>
  <si>
    <t>WT_GuildEmblemBg11_Sprite</t>
  </si>
  <si>
    <t>WT_GuildEmblemBg12_Sprite</t>
  </si>
  <si>
    <t>WT_GuildEmblemBg13_Sprite</t>
  </si>
  <si>
    <t>WT_GuildEmblemBg14_Sprite</t>
  </si>
  <si>
    <t>WT_GuildEmblemBg15_Sprite</t>
  </si>
  <si>
    <t>WT_GuildEmblemBg16_Sprite</t>
  </si>
  <si>
    <t>WT_GuildEmblemBg17_Sprite</t>
  </si>
  <si>
    <t>WT_GuildEmblemBg18_Sprite</t>
  </si>
  <si>
    <t>WT_GuildEmblemBg19_Sprite</t>
  </si>
  <si>
    <t>WT_GuildEmblemBg20_Sprite</t>
  </si>
  <si>
    <t>WT_GuildEmblemBg21_Sprite</t>
  </si>
  <si>
    <t>WT_GuildEmblemBg22_Sprite</t>
  </si>
  <si>
    <t>WT_GuildEmblemBg23_Sprite</t>
  </si>
  <si>
    <t>WT_GuildEmblemBg24_Sprite</t>
  </si>
  <si>
    <t>guildEmblemIcon</t>
    <phoneticPr fontId="6" type="noConversion"/>
  </si>
  <si>
    <t>productName</t>
  </si>
  <si>
    <t>productNameFormatText</t>
    <phoneticPr fontId="6" type="noConversion"/>
  </si>
  <si>
    <t>productGroup</t>
    <phoneticPr fontId="6" type="noConversion"/>
  </si>
  <si>
    <t>productOrder</t>
  </si>
  <si>
    <t>saleType</t>
  </si>
  <si>
    <t>saleTypeVal</t>
  </si>
  <si>
    <t>productLocalBitflag</t>
  </si>
  <si>
    <t>salePointId</t>
  </si>
  <si>
    <t>salePointVal</t>
  </si>
  <si>
    <t>productRewardFixedId</t>
    <phoneticPr fontId="6" type="noConversion"/>
  </si>
  <si>
    <t>desc</t>
    <phoneticPr fontId="6" type="noConversion"/>
  </si>
  <si>
    <t>text</t>
    <phoneticPr fontId="6" type="noConversion"/>
  </si>
  <si>
    <t>number</t>
  </si>
  <si>
    <t>bit</t>
  </si>
  <si>
    <t>-</t>
    <phoneticPr fontId="6" type="noConversion"/>
  </si>
  <si>
    <t>:requiredInObject</t>
  </si>
  <si>
    <t>-</t>
    <phoneticPr fontId="6" type="noConversion"/>
  </si>
  <si>
    <t>"Point"</t>
  </si>
  <si>
    <t>"RewardFixed"</t>
  </si>
  <si>
    <t>주N회</t>
  </si>
  <si>
    <t>상회 화폐</t>
    <phoneticPr fontId="6" type="noConversion"/>
  </si>
  <si>
    <t>text:c</t>
    <phoneticPr fontId="6" type="noConversion"/>
  </si>
  <si>
    <t>key:700~999</t>
    <phoneticPr fontId="6" type="noConversion"/>
  </si>
  <si>
    <t>id</t>
  </si>
  <si>
    <t>:required</t>
  </si>
  <si>
    <t>:min</t>
  </si>
  <si>
    <t>:max</t>
  </si>
  <si>
    <t>:enum</t>
  </si>
  <si>
    <t>:links</t>
  </si>
  <si>
    <t>-</t>
    <phoneticPr fontId="11" type="noConversion"/>
  </si>
  <si>
    <t>key:1000~1199</t>
    <phoneticPr fontId="11" type="noConversion"/>
  </si>
  <si>
    <t>주간 기여도 보상 1위</t>
    <phoneticPr fontId="6" type="noConversion"/>
  </si>
  <si>
    <t>주간 기여도 보상 2위</t>
  </si>
  <si>
    <t>주간 기여도 보상 3위</t>
  </si>
  <si>
    <t>desc</t>
    <phoneticPr fontId="11" type="noConversion"/>
  </si>
  <si>
    <t>rankingType</t>
    <phoneticPr fontId="6" type="noConversion"/>
  </si>
  <si>
    <t>rankingRange</t>
    <phoneticPr fontId="6" type="noConversion"/>
  </si>
  <si>
    <t>순위</t>
  </si>
  <si>
    <t>string:c</t>
    <phoneticPr fontId="11" type="noConversion"/>
  </si>
  <si>
    <t>guildLevelRequired</t>
    <phoneticPr fontId="6" type="noConversion"/>
  </si>
  <si>
    <t>커터 도면</t>
  </si>
  <si>
    <t>핀네스 도면</t>
  </si>
  <si>
    <t>프류트 도면</t>
  </si>
  <si>
    <t>프로아 도면</t>
  </si>
  <si>
    <t>주가 도면</t>
  </si>
  <si>
    <t>나오 도면</t>
  </si>
  <si>
    <t>갤리 도면</t>
  </si>
  <si>
    <t>삼부크 도면</t>
  </si>
  <si>
    <t>다우 도면</t>
  </si>
  <si>
    <t>맹선 도면</t>
  </si>
  <si>
    <t>중 갤리 도면</t>
  </si>
  <si>
    <t>중 캐러벨 도면</t>
  </si>
  <si>
    <t>스쿠너 도면</t>
  </si>
  <si>
    <t>탄작 도면</t>
  </si>
  <si>
    <t>경량형 사선 도면</t>
  </si>
  <si>
    <t>카락 도면</t>
  </si>
  <si>
    <t>지벡 도면</t>
  </si>
  <si>
    <t>프리깃 도면</t>
  </si>
  <si>
    <t>카라코아 도면</t>
  </si>
  <si>
    <t>몽충 도면</t>
  </si>
  <si>
    <t>갤리온 도면</t>
  </si>
  <si>
    <t>빅토리아 도면</t>
  </si>
  <si>
    <t>바스 도면</t>
  </si>
  <si>
    <t>복선 도면</t>
  </si>
  <si>
    <t>조운선 도면</t>
  </si>
  <si>
    <t>오스만 갤리 도면</t>
  </si>
  <si>
    <t>스페르베르 도면</t>
  </si>
  <si>
    <t>메이플라워 도면</t>
  </si>
  <si>
    <t>사선 도면</t>
  </si>
  <si>
    <t>관선 도면</t>
  </si>
  <si>
    <t>고용 가속권 10분</t>
  </si>
  <si>
    <t>고용 가속권 30분</t>
  </si>
  <si>
    <t>고용 가속권 1시간</t>
  </si>
  <si>
    <t>격려 가속권 10분</t>
  </si>
  <si>
    <t>격려 가속권 30분</t>
  </si>
  <si>
    <t>격려 가속권 1시간</t>
  </si>
  <si>
    <t>건조 가속권 10분</t>
  </si>
  <si>
    <t>건조 가속권 30분</t>
  </si>
  <si>
    <t>건조 가속권 1시간</t>
  </si>
  <si>
    <t>승급 가속권 10분</t>
  </si>
  <si>
    <t>승급 가속권 30분</t>
  </si>
  <si>
    <t>승급 가속권 1시간</t>
  </si>
  <si>
    <t>학습 가속권 10분</t>
  </si>
  <si>
    <t>학습 가속권 30분</t>
  </si>
  <si>
    <t>학습 가속권 1시간</t>
  </si>
  <si>
    <t>상회상점_커터 도면</t>
  </si>
  <si>
    <t>상회상점_핀네스 도면</t>
  </si>
  <si>
    <t>상회상점_프류트 도면</t>
  </si>
  <si>
    <t>상회상점_프로아 도면</t>
  </si>
  <si>
    <t>상회상점_주가 도면</t>
  </si>
  <si>
    <t>상회상점_나오 도면</t>
  </si>
  <si>
    <t>상회상점_갤리 도면</t>
  </si>
  <si>
    <t>상회상점_삼부크 도면</t>
  </si>
  <si>
    <t>상회상점_다우 도면</t>
  </si>
  <si>
    <t>상회상점_맹선 도면</t>
  </si>
  <si>
    <t>상회상점_중 갤리 도면</t>
  </si>
  <si>
    <t>상회상점_중 캐러벨 도면</t>
  </si>
  <si>
    <t>상회상점_스쿠너 도면</t>
  </si>
  <si>
    <t>상회상점_탄작 도면</t>
  </si>
  <si>
    <t>상회상점_경량형 사선 도면</t>
  </si>
  <si>
    <t>상회상점_카락 도면</t>
  </si>
  <si>
    <t>상회상점_지벡 도면</t>
  </si>
  <si>
    <t>상회상점_프리깃 도면</t>
  </si>
  <si>
    <t>상회상점_카라코아 도면</t>
  </si>
  <si>
    <t>상회상점_몽충 도면</t>
  </si>
  <si>
    <t>상회상점_갤리온 도면</t>
  </si>
  <si>
    <t>상회상점_빅토리아 도면</t>
  </si>
  <si>
    <t>상회상점_바스 도면</t>
  </si>
  <si>
    <t>상회상점_복선 도면</t>
  </si>
  <si>
    <t>상회상점_조운선 도면</t>
  </si>
  <si>
    <t>상회상점_오스만 갤리 도면</t>
  </si>
  <si>
    <t>상회상점_스페르베르 도면</t>
  </si>
  <si>
    <t>상회상점_메이플라워 도면</t>
  </si>
  <si>
    <t>상회상점_사선 도면</t>
  </si>
  <si>
    <t>상회상점_관선 도면</t>
  </si>
  <si>
    <t>상회상점_고용 가속권 10분</t>
  </si>
  <si>
    <t>상회상점_고용 가속권 30분</t>
  </si>
  <si>
    <t>상회상점_고용 가속권 1시간</t>
  </si>
  <si>
    <t>상회상점_격려 가속권 10분</t>
  </si>
  <si>
    <t>상회상점_격려 가속권 30분</t>
  </si>
  <si>
    <t>상회상점_격려 가속권 1시간</t>
  </si>
  <si>
    <t>상회상점_건조 가속권 10분</t>
  </si>
  <si>
    <t>상회상점_건조 가속권 30분</t>
  </si>
  <si>
    <t>상회상점_건조 가속권 1시간</t>
  </si>
  <si>
    <t>상회상점_승급 가속권 10분</t>
  </si>
  <si>
    <t>상회상점_승급 가속권 30분</t>
  </si>
  <si>
    <t>상회상점_승급 가속권 1시간</t>
  </si>
  <si>
    <t>상회상점_학습 가속권 10분</t>
  </si>
  <si>
    <t>상회상점_학습 가속권 30분</t>
  </si>
  <si>
    <t>상회상점_학습 가속권 1시간</t>
  </si>
  <si>
    <t>커터 도면을 제공합니다.</t>
  </si>
  <si>
    <t>핀네스 도면을 제공합니다.</t>
  </si>
  <si>
    <t>프류트 도면을 제공합니다.</t>
  </si>
  <si>
    <t>프로아 도면을 제공합니다.</t>
  </si>
  <si>
    <t>주가 도면을 제공합니다.</t>
  </si>
  <si>
    <t>나오 도면을 제공합니다.</t>
  </si>
  <si>
    <t>갤리 도면을 제공합니다.</t>
  </si>
  <si>
    <t>삼부크 도면을 제공합니다.</t>
  </si>
  <si>
    <t>다우 도면을 제공합니다.</t>
  </si>
  <si>
    <t>맹선 도면을 제공합니다.</t>
  </si>
  <si>
    <t>중 갤리 도면을 제공합니다.</t>
  </si>
  <si>
    <t>중 캐러벨 도면을 제공합니다.</t>
  </si>
  <si>
    <t>스쿠너 도면을 제공합니다.</t>
  </si>
  <si>
    <t>탄작 도면을 제공합니다.</t>
  </si>
  <si>
    <t>경량형 사선 도면을 제공합니다.</t>
  </si>
  <si>
    <t>카락 도면을 제공합니다.</t>
  </si>
  <si>
    <t>지벡 도면을 제공합니다.</t>
  </si>
  <si>
    <t>프리깃 도면을 제공합니다.</t>
  </si>
  <si>
    <t>카라코아 도면을 제공합니다.</t>
  </si>
  <si>
    <t>몽충 도면을 제공합니다.</t>
  </si>
  <si>
    <t>갤리온 도면을 제공합니다.</t>
  </si>
  <si>
    <t>빅토리아 도면을 제공합니다.</t>
  </si>
  <si>
    <t>바스 도면을 제공합니다.</t>
  </si>
  <si>
    <t>복선 도면을 제공합니다.</t>
  </si>
  <si>
    <t>조운선 도면을 제공합니다.</t>
  </si>
  <si>
    <t>오스만 갤리 도면을 제공합니다.</t>
  </si>
  <si>
    <t>스페르베르 도면을 제공합니다.</t>
  </si>
  <si>
    <t>메이플라워 도면을 제공합니다.</t>
  </si>
  <si>
    <t>사선 도면을 제공합니다.</t>
  </si>
  <si>
    <t>관선 도면을 제공합니다.</t>
  </si>
  <si>
    <t>고용 가속권 10분을 제공합니다.</t>
  </si>
  <si>
    <t>고용 가속권 30분을 제공합니다.</t>
  </si>
  <si>
    <t>고용 가속권 1시간을 제공합니다.</t>
  </si>
  <si>
    <t>격려 가속권 10분을 제공합니다.</t>
  </si>
  <si>
    <t>격려 가속권 30분을 제공합니다.</t>
  </si>
  <si>
    <t>격려 가속권 1시간을 제공합니다.</t>
  </si>
  <si>
    <t>건조 가속권 10분을 제공합니다.</t>
  </si>
  <si>
    <t>건조 가속권 30분을 제공합니다.</t>
  </si>
  <si>
    <t>건조 가속권 1시간을 제공합니다.</t>
  </si>
  <si>
    <t>승급 가속권 10분을 제공합니다.</t>
  </si>
  <si>
    <t>승급 가속권 30분을 제공합니다.</t>
  </si>
  <si>
    <t>승급 가속권 1시간을 제공합니다.</t>
  </si>
  <si>
    <t>학습 가속권 10분을 제공합니다.</t>
  </si>
  <si>
    <t>학습 가속권 30분을 제공합니다.</t>
  </si>
  <si>
    <t>학습 가속권 1시간을 제공합니다.</t>
  </si>
  <si>
    <t>"Mail"</t>
  </si>
  <si>
    <t>mailId</t>
  </si>
  <si>
    <t>주간 기여도 보상 4위</t>
  </si>
  <si>
    <t>주간 기여도 보상 5위</t>
  </si>
  <si>
    <t>주간 기여도 보상 6위</t>
  </si>
  <si>
    <t>주간 기여도 보상 7위</t>
  </si>
  <si>
    <t>주간 기여도 보상 8위</t>
  </si>
  <si>
    <t>주간 기여도 보상 9위</t>
  </si>
  <si>
    <t>주간 기여도 보상 10위</t>
  </si>
  <si>
    <t>주간 기여도 보상 11위</t>
  </si>
  <si>
    <t>주간 기여도 보상 12위</t>
  </si>
  <si>
    <t>주간 기여도 보상 13위</t>
  </si>
  <si>
    <t>주간 기여도 보상 14위</t>
  </si>
  <si>
    <t>주간 기여도 보상 15위</t>
  </si>
  <si>
    <t>주간 기여도 보상 16위</t>
  </si>
  <si>
    <t>주간 기여도 보상 17위</t>
  </si>
  <si>
    <t>주간 기여도 보상 18위</t>
  </si>
  <si>
    <t>주간 기여도 보상 19위</t>
  </si>
  <si>
    <t>주간 기여도 보상 20위</t>
  </si>
  <si>
    <t>임시값입니다.</t>
    <phoneticPr fontId="6" type="noConversion"/>
  </si>
  <si>
    <t>주간 상회 기여도 보상 순위 1위 보상</t>
  </si>
  <si>
    <t>주간 상회 기여도 보상 순위 2위 보상</t>
  </si>
  <si>
    <t>주간 상회 기여도 보상 순위 3위 보상</t>
  </si>
  <si>
    <t>주간 상회 기여도 보상 순위 4위 보상</t>
  </si>
  <si>
    <t>주간 상회 기여도 보상 순위 5위 보상</t>
  </si>
  <si>
    <t>주간 상회 기여도 보상 순위 6위 보상</t>
  </si>
  <si>
    <t>주간 상회 기여도 보상 순위 7위 보상</t>
  </si>
  <si>
    <t>주간 상회 기여도 보상 순위 8위 보상</t>
  </si>
  <si>
    <t>주간 상회 기여도 보상 순위 9위 보상</t>
  </si>
  <si>
    <t>주간 상회 기여도 보상 순위 10위 보상</t>
  </si>
  <si>
    <t>주간 상회 기여도 보상 순위 11위 보상</t>
  </si>
  <si>
    <t>주간 상회 기여도 보상 순위 12위 보상</t>
  </si>
  <si>
    <t>주간 상회 기여도 보상 순위 13위 보상</t>
  </si>
  <si>
    <t>주간 상회 기여도 보상 순위 14위 보상</t>
  </si>
  <si>
    <t>주간 상회 기여도 보상 순위 15위 보상</t>
  </si>
  <si>
    <t>주간 상회 기여도 보상 순위 16위 보상</t>
  </si>
  <si>
    <t>주간 상회 기여도 보상 순위 17위 보상</t>
  </si>
  <si>
    <t>주간 상회 기여도 보상 순위 18위 보상</t>
  </si>
  <si>
    <t>주간 상회 기여도 보상 순위 19위 보상</t>
  </si>
  <si>
    <t>주간 상회 기여도 보상 순위 20위 보상</t>
  </si>
  <si>
    <t>key:2000~3999</t>
    <phoneticPr fontId="6" type="noConversion"/>
  </si>
  <si>
    <t>craftResultId</t>
    <phoneticPr fontId="6" type="noConversion"/>
  </si>
  <si>
    <t>craftTime</t>
    <phoneticPr fontId="6" type="noConversion"/>
  </si>
  <si>
    <t>craftResultType</t>
    <phoneticPr fontId="6" type="noConversion"/>
  </si>
  <si>
    <t>두카트</t>
    <phoneticPr fontId="6" type="noConversion"/>
  </si>
  <si>
    <t>craftPointId</t>
    <phoneticPr fontId="6" type="noConversion"/>
  </si>
  <si>
    <t>craftPointVal</t>
    <phoneticPr fontId="6" type="noConversion"/>
  </si>
  <si>
    <t/>
  </si>
  <si>
    <t>"ShipSlot","CEquip","Item"</t>
    <phoneticPr fontId="6" type="noConversion"/>
  </si>
  <si>
    <t>material[0]["Id"]</t>
  </si>
  <si>
    <t>material[0]["Val"]</t>
  </si>
  <si>
    <t>material[1]["Id"]</t>
  </si>
  <si>
    <t>material[1]["Val"]</t>
  </si>
  <si>
    <t>material[2]["Id"]</t>
  </si>
  <si>
    <t>material[2]["Val"]</t>
  </si>
  <si>
    <t>material[3]["Id"]</t>
  </si>
  <si>
    <t>material[3]["Val"]</t>
  </si>
  <si>
    <t>craftCategory</t>
    <phoneticPr fontId="6" type="noConversion"/>
  </si>
  <si>
    <t>부품</t>
    <phoneticPr fontId="6" type="noConversion"/>
  </si>
  <si>
    <t>장비</t>
    <phoneticPr fontId="6" type="noConversion"/>
  </si>
  <si>
    <t>도구</t>
    <phoneticPr fontId="6" type="noConversion"/>
  </si>
  <si>
    <t>material[0]["Type"]</t>
    <phoneticPr fontId="6" type="noConversion"/>
  </si>
  <si>
    <t>material[1]["Type"]</t>
    <phoneticPr fontId="6" type="noConversion"/>
  </si>
  <si>
    <t>material[3]["Type"]</t>
    <phoneticPr fontId="6" type="noConversion"/>
  </si>
  <si>
    <t>material[2]["Type"]</t>
    <phoneticPr fontId="6" type="noConversion"/>
  </si>
  <si>
    <t>craftCritical</t>
    <phoneticPr fontId="6" type="noConversion"/>
  </si>
  <si>
    <t>craftGuildPoint</t>
    <phoneticPr fontId="6" type="noConversion"/>
  </si>
  <si>
    <t>B급 녹색 광석</t>
  </si>
  <si>
    <t>B급 푸른색 광석</t>
  </si>
  <si>
    <t>B급 붉은색 광석</t>
  </si>
  <si>
    <t>B급 가공 금속</t>
  </si>
  <si>
    <t>B급 가공 철재</t>
  </si>
  <si>
    <t>B급 가공 목재</t>
  </si>
  <si>
    <t>A급 녹색 광석</t>
  </si>
  <si>
    <t>A급 푸른색 광석</t>
  </si>
  <si>
    <t>A급 붉은색 광석</t>
  </si>
  <si>
    <t>A급 가공 금속</t>
  </si>
  <si>
    <t>A급 가공 철재</t>
  </si>
  <si>
    <t>A급 가공 목재</t>
  </si>
  <si>
    <t>C급 녹색 광석</t>
  </si>
  <si>
    <t>C급 푸른색 광석</t>
  </si>
  <si>
    <t>C급 붉은색 광석</t>
  </si>
  <si>
    <t>C급 가공 금속</t>
  </si>
  <si>
    <t>C급 가공 철재</t>
  </si>
  <si>
    <t>C급 가공 목재</t>
  </si>
  <si>
    <t>참조 등급</t>
    <phoneticPr fontId="6" type="noConversion"/>
  </si>
  <si>
    <t>상회의 대포</t>
  </si>
  <si>
    <t>상회의 충각</t>
  </si>
  <si>
    <t>상회의 장갑</t>
  </si>
  <si>
    <t>C</t>
    <phoneticPr fontId="6" type="noConversion"/>
  </si>
  <si>
    <t>빙하 선단의 곡사포</t>
  </si>
  <si>
    <t>빙하 선단의 박격포</t>
  </si>
  <si>
    <t>빙하 선단의 평사포</t>
  </si>
  <si>
    <t>빙하 선단의 닻</t>
  </si>
  <si>
    <t>상단 연합의 가로돛</t>
  </si>
  <si>
    <t>상단 연합의 세로돛</t>
  </si>
  <si>
    <t>붉은 산호섬의 장갑</t>
  </si>
  <si>
    <t>상단 연합의 돌진 충각</t>
  </si>
  <si>
    <t>상단 연합의 분쇄 충각</t>
  </si>
  <si>
    <t>붉은 산호섬의 수호상</t>
  </si>
  <si>
    <t>붉은 산호섬의 보호상</t>
  </si>
  <si>
    <t>붉은 산호섬의 자애상</t>
  </si>
  <si>
    <t>붉은 산호섬의 평화상</t>
  </si>
  <si>
    <t>참조 종류</t>
    <phoneticPr fontId="6" type="noConversion"/>
  </si>
  <si>
    <t>포</t>
  </si>
  <si>
    <t>포</t>
    <phoneticPr fontId="6" type="noConversion"/>
  </si>
  <si>
    <t>충각</t>
  </si>
  <si>
    <t>충각</t>
    <phoneticPr fontId="6" type="noConversion"/>
  </si>
  <si>
    <t>장갑</t>
  </si>
  <si>
    <t>장갑</t>
    <phoneticPr fontId="6" type="noConversion"/>
  </si>
  <si>
    <t>닻</t>
  </si>
  <si>
    <t>돛</t>
  </si>
  <si>
    <t>선수상</t>
  </si>
  <si>
    <t>B</t>
    <phoneticPr fontId="6" type="noConversion"/>
  </si>
  <si>
    <t>북해 연합의 곡사포</t>
  </si>
  <si>
    <t>북해 연합의 박격포</t>
  </si>
  <si>
    <t>북해 연합의 평사포</t>
  </si>
  <si>
    <t>북해 연합의 닻</t>
  </si>
  <si>
    <t>폭풍 선단의 가로돛</t>
  </si>
  <si>
    <t>폭풍 선단의 세로돛</t>
  </si>
  <si>
    <t>진주섬의 장갑</t>
  </si>
  <si>
    <t>폭풍 선단의 전투 충각</t>
  </si>
  <si>
    <t>폭풍 선단의 돌진 충각</t>
  </si>
  <si>
    <t>폭풍 선단의 분쇄 충각</t>
  </si>
  <si>
    <t>진주섬의 보호상</t>
  </si>
  <si>
    <t>진주섬의 자애상</t>
  </si>
  <si>
    <t>진주섬의 평화상</t>
  </si>
  <si>
    <t>A</t>
    <phoneticPr fontId="6" type="noConversion"/>
  </si>
  <si>
    <t>수습 대장장이의 대검</t>
  </si>
  <si>
    <t>수습 대장장이의 갑옷</t>
  </si>
  <si>
    <t>수습 대장장이의 투구</t>
  </si>
  <si>
    <t>무기</t>
  </si>
  <si>
    <t>몸</t>
  </si>
  <si>
    <t>머리</t>
  </si>
  <si>
    <t>빙하 선단의 한손검</t>
  </si>
  <si>
    <t>빙하 선단의 쌍검</t>
  </si>
  <si>
    <t>빙하 선단의 도끼</t>
  </si>
  <si>
    <t>붉은 산호섬의 장총</t>
  </si>
  <si>
    <t>붉은 산호섬의 석궁</t>
  </si>
  <si>
    <t>붉은 산호섬의 권총</t>
  </si>
  <si>
    <t>붉은 산호섬의 활</t>
  </si>
  <si>
    <t>상단 연합의 양손검</t>
  </si>
  <si>
    <t>상단 연합의 한손검</t>
  </si>
  <si>
    <t>상단 연합의 창</t>
  </si>
  <si>
    <t>빙하 선단의 갑옷</t>
  </si>
  <si>
    <t>붉은 산호섬의 경장</t>
  </si>
  <si>
    <t>상단 연합의 단복</t>
  </si>
  <si>
    <t>빙하 선단의 투구</t>
  </si>
  <si>
    <t>붉은 산호섬의 보호구</t>
  </si>
  <si>
    <t>상단 연합의 두건</t>
  </si>
  <si>
    <t>붉은 산호섬의 반지</t>
  </si>
  <si>
    <t>상단 연합의 목걸이</t>
  </si>
  <si>
    <t>빙하 선단의 망토</t>
  </si>
  <si>
    <t>붉은 산호섬의 망토</t>
  </si>
  <si>
    <t>상단 연합의 망토</t>
  </si>
  <si>
    <t>빙하 선단의 가면</t>
  </si>
  <si>
    <t>붉은 산호섬의 단안경</t>
  </si>
  <si>
    <t>상단 연합의 머리띠</t>
  </si>
  <si>
    <t>장신구</t>
  </si>
  <si>
    <t>망토</t>
  </si>
  <si>
    <t>얼굴장식</t>
  </si>
  <si>
    <t>빙하 선단의 귀걸이</t>
    <phoneticPr fontId="6" type="noConversion"/>
  </si>
  <si>
    <t>북해 연합의 한손검</t>
  </si>
  <si>
    <t>북해 연합의 쌍검</t>
  </si>
  <si>
    <t>진주섬의 장총</t>
  </si>
  <si>
    <t>진주섬의 석궁</t>
  </si>
  <si>
    <t>진주섬의 권총</t>
  </si>
  <si>
    <t>진주섬의 활</t>
  </si>
  <si>
    <t>폭풍 선단의 양손검</t>
  </si>
  <si>
    <t>폭풍 선단의 한손검</t>
  </si>
  <si>
    <t>폭풍 선단의 창</t>
  </si>
  <si>
    <t>북해 연합의 갑옷</t>
  </si>
  <si>
    <t>진주섬의 경장</t>
  </si>
  <si>
    <t>폭풍 선단의 단복</t>
  </si>
  <si>
    <t>북해 연합의 투구</t>
  </si>
  <si>
    <t>진주섬의 투구</t>
  </si>
  <si>
    <t>북해 연합의 목걸이</t>
  </si>
  <si>
    <t>진주섬의 반지</t>
  </si>
  <si>
    <t>폭풍 선단의 시계</t>
  </si>
  <si>
    <t>북해 연합의 망토</t>
  </si>
  <si>
    <t>진주섬의 망토</t>
  </si>
  <si>
    <t>폭풍 선단의 망토</t>
  </si>
  <si>
    <t>북해 연합의 가면</t>
  </si>
  <si>
    <t>진주섬의 가면</t>
  </si>
  <si>
    <t>폭풍 선단의 가면</t>
  </si>
  <si>
    <t>폭풍 선단의 두건</t>
  </si>
  <si>
    <t>북해 연합의 철퇴</t>
    <phoneticPr fontId="6" type="noConversion"/>
  </si>
  <si>
    <t>확률</t>
    <phoneticPr fontId="6" type="noConversion"/>
  </si>
  <si>
    <t>귀속</t>
    <phoneticPr fontId="6" type="noConversion"/>
  </si>
  <si>
    <t>상회상점_C급 녹색 광석</t>
  </si>
  <si>
    <t>상회상점_C급 푸른색 광석</t>
  </si>
  <si>
    <t>상회상점_C급 붉은색 광석</t>
  </si>
  <si>
    <t>상회상점_B급 녹색 광석</t>
  </si>
  <si>
    <t>상회상점_B급 푸른색 광석</t>
  </si>
  <si>
    <t>상회상점_B급 붉은색 광석</t>
  </si>
  <si>
    <t>상회상점_C급 가공 금속</t>
  </si>
  <si>
    <t>상회상점_C급 가공 철재</t>
  </si>
  <si>
    <t>상회상점_C급 가공 목재</t>
  </si>
  <si>
    <t>상회상점_B급 가공 금속</t>
  </si>
  <si>
    <t>상회상점_B급 가공 철재</t>
  </si>
  <si>
    <t>상회상점_B급 가공 목재</t>
  </si>
  <si>
    <t>C급 녹색 광석을 제공합니다.</t>
  </si>
  <si>
    <t>C급 푸른색 광석을 제공합니다.</t>
  </si>
  <si>
    <t>C급 붉은색 광석을 제공합니다.</t>
  </si>
  <si>
    <t>B급 녹색 광석을 제공합니다.</t>
  </si>
  <si>
    <t>B급 푸른색 광석을 제공합니다.</t>
  </si>
  <si>
    <t>B급 붉은색 광석을 제공합니다.</t>
  </si>
  <si>
    <t>C급 가공 금속을 제공합니다.</t>
  </si>
  <si>
    <t>C급 가공 철재를 제공합니다.</t>
  </si>
  <si>
    <t>C급 가공 목재를 제공합니다.</t>
  </si>
  <si>
    <t>B급 가공 금속을 제공합니다.</t>
  </si>
  <si>
    <t>B급 가공 철재를 제공합니다.</t>
  </si>
  <si>
    <t>B급 가공 목재를 제공합니다.</t>
  </si>
  <si>
    <t>C급 부품 의뢰서</t>
  </si>
  <si>
    <t>상회상점_C급 부품 의뢰서</t>
  </si>
  <si>
    <t>C급 부품 의뢰서를 제공합니다.</t>
  </si>
  <si>
    <t>B급 부품 의뢰서</t>
  </si>
  <si>
    <t>상회상점_B급 부품 의뢰서</t>
  </si>
  <si>
    <t>B급 부품 의뢰서를 제공합니다.</t>
  </si>
  <si>
    <t>A급 부품 의뢰서</t>
  </si>
  <si>
    <t>C급 장비 의뢰서</t>
  </si>
  <si>
    <t>상회상점_C급 장비 의뢰서</t>
  </si>
  <si>
    <t>C급 장비 의뢰서를 제공합니다.</t>
  </si>
  <si>
    <t>B급 장비 의뢰서</t>
  </si>
  <si>
    <t>상회상점_B급 장비 의뢰서</t>
  </si>
  <si>
    <t>B급 장비 의뢰서를 제공합니다.</t>
  </si>
  <si>
    <t>A급 장비 의뢰서</t>
  </si>
  <si>
    <t>파랑용 덧판</t>
  </si>
  <si>
    <t>해류용 덧판</t>
  </si>
  <si>
    <t>해빙용 덧판</t>
  </si>
  <si>
    <t>허름한 노</t>
  </si>
  <si>
    <t>소형 가로 연돛</t>
  </si>
  <si>
    <t>소형 세로 연돛</t>
  </si>
  <si>
    <t>적재용 보따리</t>
  </si>
  <si>
    <t>지휘용 단상</t>
  </si>
  <si>
    <t>간이 침상</t>
  </si>
  <si>
    <t>파랑용 외판</t>
  </si>
  <si>
    <t>해류용 외판</t>
  </si>
  <si>
    <t>해빙용 외판</t>
  </si>
  <si>
    <t>튼튼한 노</t>
  </si>
  <si>
    <t>중형 가로 연돛</t>
  </si>
  <si>
    <t>중형 세로 연돛</t>
  </si>
  <si>
    <t>적재용 상자</t>
  </si>
  <si>
    <t>지휘용 연단</t>
  </si>
  <si>
    <t>이인용 간이 침상</t>
  </si>
  <si>
    <t>파랑용 외골격</t>
  </si>
  <si>
    <t>해류용 외골격</t>
  </si>
  <si>
    <t>해빙용 외골격</t>
  </si>
  <si>
    <t>튼튼한 자단나무 노</t>
  </si>
  <si>
    <t>대형 가로 연돛</t>
  </si>
  <si>
    <t>대형 세로 연돛</t>
  </si>
  <si>
    <t>대량 적재용 상자</t>
  </si>
  <si>
    <t>지휘용 대형 연단</t>
  </si>
  <si>
    <t>삼인용 간이 침상</t>
  </si>
  <si>
    <t>C</t>
  </si>
  <si>
    <t>B</t>
  </si>
  <si>
    <t>A</t>
  </si>
  <si>
    <t>특수</t>
    <phoneticPr fontId="6" type="noConversion"/>
  </si>
  <si>
    <t>B급 가공 목재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</si>
</sst>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rgb="FF0061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</fonts>
  <fills count="7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5F0300"/>
        <bgColor indexed="64"/>
      </patternFill>
    </fill>
    <fill>
      <patternFill patternType="solid">
        <fgColor rgb="FFBB0C00"/>
        <bgColor indexed="64"/>
      </patternFill>
    </fill>
    <fill>
      <patternFill patternType="solid">
        <fgColor rgb="FFF56664"/>
        <bgColor indexed="64"/>
      </patternFill>
    </fill>
    <fill>
      <patternFill patternType="solid">
        <fgColor rgb="FFFB8E8D"/>
        <bgColor indexed="64"/>
      </patternFill>
    </fill>
    <fill>
      <patternFill patternType="solid">
        <fgColor rgb="FF5F4000"/>
        <bgColor indexed="64"/>
      </patternFill>
    </fill>
    <fill>
      <patternFill patternType="solid">
        <fgColor rgb="FFB17B00"/>
        <bgColor indexed="64"/>
      </patternFill>
    </fill>
    <fill>
      <patternFill patternType="solid">
        <fgColor rgb="FFF2B048"/>
        <bgColor indexed="64"/>
      </patternFill>
    </fill>
    <fill>
      <patternFill patternType="solid">
        <fgColor rgb="FFF8C07A"/>
        <bgColor indexed="64"/>
      </patternFill>
    </fill>
    <fill>
      <patternFill patternType="solid">
        <fgColor rgb="FF5F5A00"/>
        <bgColor indexed="64"/>
      </patternFill>
    </fill>
    <fill>
      <patternFill patternType="solid">
        <fgColor rgb="FFC2BA00"/>
        <bgColor indexed="64"/>
      </patternFill>
    </fill>
    <fill>
      <patternFill patternType="solid">
        <fgColor rgb="FFE1D826"/>
        <bgColor indexed="64"/>
      </patternFill>
    </fill>
    <fill>
      <patternFill patternType="solid">
        <fgColor rgb="FFFBF47A"/>
        <bgColor indexed="64"/>
      </patternFill>
    </fill>
    <fill>
      <patternFill patternType="solid">
        <fgColor rgb="FF525F00"/>
        <bgColor indexed="64"/>
      </patternFill>
    </fill>
    <fill>
      <patternFill patternType="solid">
        <fgColor rgb="FFA7C000"/>
        <bgColor indexed="64"/>
      </patternFill>
    </fill>
    <fill>
      <patternFill patternType="solid">
        <fgColor rgb="FFC6E400"/>
        <bgColor indexed="64"/>
      </patternFill>
    </fill>
    <fill>
      <patternFill patternType="solid">
        <fgColor rgb="FFE1FA86"/>
        <bgColor indexed="64"/>
      </patternFill>
    </fill>
    <fill>
      <patternFill patternType="solid">
        <fgColor rgb="FF345400"/>
        <bgColor indexed="64"/>
      </patternFill>
    </fill>
    <fill>
      <patternFill patternType="solid">
        <fgColor rgb="FF7BBD00"/>
        <bgColor indexed="64"/>
      </patternFill>
    </fill>
    <fill>
      <patternFill patternType="solid">
        <fgColor rgb="FF8ED900"/>
        <bgColor indexed="64"/>
      </patternFill>
    </fill>
    <fill>
      <patternFill patternType="solid">
        <fgColor rgb="FFBFFA86"/>
        <bgColor indexed="64"/>
      </patternFill>
    </fill>
    <fill>
      <patternFill patternType="solid">
        <fgColor rgb="FF114F37"/>
        <bgColor indexed="64"/>
      </patternFill>
    </fill>
    <fill>
      <patternFill patternType="solid">
        <fgColor rgb="FF008A58"/>
        <bgColor indexed="64"/>
      </patternFill>
    </fill>
    <fill>
      <patternFill patternType="solid">
        <fgColor rgb="FF00CF86"/>
        <bgColor indexed="64"/>
      </patternFill>
    </fill>
    <fill>
      <patternFill patternType="solid">
        <fgColor rgb="FF7BFABA"/>
        <bgColor indexed="64"/>
      </patternFill>
    </fill>
    <fill>
      <patternFill patternType="solid">
        <fgColor rgb="FF0F534F"/>
        <bgColor indexed="64"/>
      </patternFill>
    </fill>
    <fill>
      <patternFill patternType="solid">
        <fgColor rgb="FF218B85"/>
        <bgColor indexed="64"/>
      </patternFill>
    </fill>
    <fill>
      <patternFill patternType="solid">
        <fgColor rgb="FF38E1D9"/>
        <bgColor indexed="64"/>
      </patternFill>
    </fill>
    <fill>
      <patternFill patternType="solid">
        <fgColor rgb="FF8FFAF2"/>
        <bgColor indexed="64"/>
      </patternFill>
    </fill>
    <fill>
      <patternFill patternType="solid">
        <fgColor rgb="FF10414F"/>
        <bgColor indexed="64"/>
      </patternFill>
    </fill>
    <fill>
      <patternFill patternType="solid">
        <fgColor rgb="FF007899"/>
        <bgColor indexed="64"/>
      </patternFill>
    </fill>
    <fill>
      <patternFill patternType="solid">
        <fgColor rgb="FF38BEED"/>
        <bgColor indexed="64"/>
      </patternFill>
    </fill>
    <fill>
      <patternFill patternType="solid">
        <fgColor rgb="FFA4DEFD"/>
        <bgColor indexed="64"/>
      </patternFill>
    </fill>
    <fill>
      <patternFill patternType="solid">
        <fgColor rgb="FF121852"/>
        <bgColor indexed="64"/>
      </patternFill>
    </fill>
    <fill>
      <patternFill patternType="solid">
        <fgColor rgb="FF192598"/>
        <bgColor indexed="64"/>
      </patternFill>
    </fill>
    <fill>
      <patternFill patternType="solid">
        <fgColor rgb="FF5059EA"/>
        <bgColor indexed="64"/>
      </patternFill>
    </fill>
    <fill>
      <patternFill patternType="solid">
        <fgColor rgb="FFA1A4FF"/>
        <bgColor indexed="64"/>
      </patternFill>
    </fill>
    <fill>
      <patternFill patternType="solid">
        <fgColor rgb="FF290753"/>
        <bgColor indexed="64"/>
      </patternFill>
    </fill>
    <fill>
      <patternFill patternType="solid">
        <fgColor rgb="FF4E1495"/>
        <bgColor indexed="64"/>
      </patternFill>
    </fill>
    <fill>
      <patternFill patternType="solid">
        <fgColor rgb="FF8126F0"/>
        <bgColor indexed="64"/>
      </patternFill>
    </fill>
    <fill>
      <patternFill patternType="solid">
        <fgColor rgb="FFBDA3FE"/>
        <bgColor indexed="64"/>
      </patternFill>
    </fill>
    <fill>
      <patternFill patternType="solid">
        <fgColor rgb="FF431A53"/>
        <bgColor indexed="64"/>
      </patternFill>
    </fill>
    <fill>
      <patternFill patternType="solid">
        <fgColor rgb="FF7A3595"/>
        <bgColor indexed="64"/>
      </patternFill>
    </fill>
    <fill>
      <patternFill patternType="solid">
        <fgColor rgb="FFBB54E4"/>
        <bgColor indexed="64"/>
      </patternFill>
    </fill>
    <fill>
      <patternFill patternType="solid">
        <fgColor rgb="FFD88BFC"/>
        <bgColor indexed="64"/>
      </patternFill>
    </fill>
    <fill>
      <patternFill patternType="solid">
        <fgColor rgb="FF511253"/>
        <bgColor indexed="64"/>
      </patternFill>
    </fill>
    <fill>
      <patternFill patternType="solid">
        <fgColor rgb="FF942898"/>
        <bgColor indexed="64"/>
      </patternFill>
    </fill>
    <fill>
      <patternFill patternType="solid">
        <fgColor rgb="FFE341E8"/>
        <bgColor indexed="64"/>
      </patternFill>
    </fill>
    <fill>
      <patternFill patternType="solid">
        <fgColor rgb="FFF69BFA"/>
        <bgColor indexed="64"/>
      </patternFill>
    </fill>
    <fill>
      <patternFill patternType="solid">
        <fgColor rgb="FF54152C"/>
        <bgColor indexed="64"/>
      </patternFill>
    </fill>
    <fill>
      <patternFill patternType="solid">
        <fgColor rgb="FF972C53"/>
        <bgColor indexed="64"/>
      </patternFill>
    </fill>
    <fill>
      <patternFill patternType="solid">
        <fgColor rgb="FFE85789"/>
        <bgColor indexed="64"/>
      </patternFill>
    </fill>
    <fill>
      <patternFill patternType="solid">
        <fgColor rgb="FFFEA0BA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585858"/>
        <bgColor indexed="64"/>
      </patternFill>
    </fill>
    <fill>
      <patternFill patternType="solid">
        <fgColor rgb="FFA3A3A3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0497A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7" fillId="2" borderId="0" applyNumberFormat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2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20">
    <xf numFmtId="0" fontId="0" fillId="0" borderId="0" xfId="0" applyAlignment="1">
      <alignment wrapText="1"/>
    </xf>
    <xf numFmtId="0" fontId="9" fillId="4" borderId="1" xfId="1" applyFont="1" applyFill="1" applyBorder="1" applyAlignment="1">
      <alignment horizontal="center" wrapText="1"/>
    </xf>
    <xf numFmtId="0" fontId="9" fillId="7" borderId="1" xfId="1" applyFont="1" applyFill="1" applyBorder="1" applyAlignment="1">
      <alignment horizontal="center" wrapText="1"/>
    </xf>
    <xf numFmtId="0" fontId="9" fillId="8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center" vertical="center"/>
    </xf>
    <xf numFmtId="0" fontId="10" fillId="0" borderId="1" xfId="6" applyFont="1" applyBorder="1" applyAlignment="1">
      <alignment wrapText="1"/>
    </xf>
    <xf numFmtId="0" fontId="9" fillId="7" borderId="1" xfId="6" applyFont="1" applyFill="1" applyBorder="1" applyAlignment="1">
      <alignment horizontal="center" vertical="center"/>
    </xf>
    <xf numFmtId="0" fontId="10" fillId="5" borderId="1" xfId="6" applyFont="1" applyFill="1" applyBorder="1" applyAlignment="1">
      <alignment horizontal="center" wrapText="1"/>
    </xf>
    <xf numFmtId="0" fontId="10" fillId="9" borderId="1" xfId="6" applyFont="1" applyFill="1" applyBorder="1" applyAlignment="1">
      <alignment horizontal="center" vertical="center"/>
    </xf>
    <xf numFmtId="0" fontId="9" fillId="3" borderId="1" xfId="6" applyFont="1" applyFill="1" applyBorder="1" applyAlignment="1">
      <alignment horizontal="center" wrapText="1"/>
    </xf>
    <xf numFmtId="0" fontId="9" fillId="3" borderId="1" xfId="6" applyFont="1" applyFill="1" applyBorder="1" applyAlignment="1">
      <alignment horizontal="center" vertical="center"/>
    </xf>
    <xf numFmtId="0" fontId="10" fillId="6" borderId="1" xfId="6" applyFont="1" applyFill="1" applyBorder="1" applyAlignment="1">
      <alignment horizontal="center" vertical="center"/>
    </xf>
    <xf numFmtId="0" fontId="10" fillId="10" borderId="1" xfId="6" applyFont="1" applyFill="1" applyBorder="1" applyAlignment="1">
      <alignment horizontal="center" vertical="center"/>
    </xf>
    <xf numFmtId="0" fontId="13" fillId="0" borderId="1" xfId="1" applyFont="1" applyFill="1" applyBorder="1" applyAlignment="1">
      <alignment horizontal="center" vertical="center"/>
    </xf>
    <xf numFmtId="49" fontId="9" fillId="12" borderId="1" xfId="6" applyNumberFormat="1" applyFont="1" applyFill="1" applyBorder="1" applyAlignment="1">
      <alignment horizontal="center" vertical="center"/>
    </xf>
    <xf numFmtId="49" fontId="9" fillId="13" borderId="1" xfId="6" applyNumberFormat="1" applyFont="1" applyFill="1" applyBorder="1" applyAlignment="1">
      <alignment horizontal="center" vertical="center"/>
    </xf>
    <xf numFmtId="49" fontId="9" fillId="14" borderId="1" xfId="6" applyNumberFormat="1" applyFont="1" applyFill="1" applyBorder="1" applyAlignment="1">
      <alignment horizontal="center" vertical="center"/>
    </xf>
    <xf numFmtId="49" fontId="9" fillId="15" borderId="1" xfId="6" applyNumberFormat="1" applyFont="1" applyFill="1" applyBorder="1" applyAlignment="1">
      <alignment horizontal="center" vertical="center"/>
    </xf>
    <xf numFmtId="49" fontId="9" fillId="16" borderId="1" xfId="6" applyNumberFormat="1" applyFont="1" applyFill="1" applyBorder="1" applyAlignment="1">
      <alignment horizontal="center" vertical="center"/>
    </xf>
    <xf numFmtId="49" fontId="9" fillId="17" borderId="1" xfId="6" applyNumberFormat="1" applyFont="1" applyFill="1" applyBorder="1" applyAlignment="1">
      <alignment horizontal="center" vertical="center"/>
    </xf>
    <xf numFmtId="49" fontId="9" fillId="18" borderId="1" xfId="6" applyNumberFormat="1" applyFont="1" applyFill="1" applyBorder="1" applyAlignment="1">
      <alignment horizontal="center" vertical="center"/>
    </xf>
    <xf numFmtId="49" fontId="9" fillId="19" borderId="1" xfId="6" applyNumberFormat="1" applyFont="1" applyFill="1" applyBorder="1" applyAlignment="1">
      <alignment horizontal="center" vertical="center"/>
    </xf>
    <xf numFmtId="49" fontId="9" fillId="20" borderId="1" xfId="6" applyNumberFormat="1" applyFont="1" applyFill="1" applyBorder="1" applyAlignment="1">
      <alignment horizontal="center" vertical="center"/>
    </xf>
    <xf numFmtId="49" fontId="9" fillId="21" borderId="1" xfId="6" applyNumberFormat="1" applyFont="1" applyFill="1" applyBorder="1" applyAlignment="1">
      <alignment horizontal="center" vertical="center"/>
    </xf>
    <xf numFmtId="49" fontId="9" fillId="22" borderId="1" xfId="6" applyNumberFormat="1" applyFont="1" applyFill="1" applyBorder="1" applyAlignment="1">
      <alignment horizontal="center" vertical="center"/>
    </xf>
    <xf numFmtId="49" fontId="9" fillId="23" borderId="1" xfId="6" applyNumberFormat="1" applyFont="1" applyFill="1" applyBorder="1" applyAlignment="1">
      <alignment horizontal="center" vertical="center"/>
    </xf>
    <xf numFmtId="49" fontId="9" fillId="24" borderId="1" xfId="6" applyNumberFormat="1" applyFont="1" applyFill="1" applyBorder="1" applyAlignment="1">
      <alignment horizontal="center" vertical="center"/>
    </xf>
    <xf numFmtId="49" fontId="9" fillId="25" borderId="1" xfId="6" applyNumberFormat="1" applyFont="1" applyFill="1" applyBorder="1" applyAlignment="1">
      <alignment horizontal="center" vertical="center"/>
    </xf>
    <xf numFmtId="49" fontId="9" fillId="26" borderId="1" xfId="6" applyNumberFormat="1" applyFont="1" applyFill="1" applyBorder="1" applyAlignment="1">
      <alignment horizontal="center" vertical="center"/>
    </xf>
    <xf numFmtId="49" fontId="9" fillId="27" borderId="1" xfId="6" applyNumberFormat="1" applyFont="1" applyFill="1" applyBorder="1" applyAlignment="1">
      <alignment horizontal="center" vertical="center"/>
    </xf>
    <xf numFmtId="49" fontId="9" fillId="28" borderId="1" xfId="6" applyNumberFormat="1" applyFont="1" applyFill="1" applyBorder="1" applyAlignment="1">
      <alignment horizontal="center" vertical="center"/>
    </xf>
    <xf numFmtId="49" fontId="9" fillId="29" borderId="1" xfId="6" applyNumberFormat="1" applyFont="1" applyFill="1" applyBorder="1" applyAlignment="1">
      <alignment horizontal="center" vertical="center"/>
    </xf>
    <xf numFmtId="49" fontId="9" fillId="30" borderId="1" xfId="6" applyNumberFormat="1" applyFont="1" applyFill="1" applyBorder="1" applyAlignment="1">
      <alignment horizontal="center" vertical="center"/>
    </xf>
    <xf numFmtId="49" fontId="9" fillId="31" borderId="1" xfId="6" applyNumberFormat="1" applyFont="1" applyFill="1" applyBorder="1" applyAlignment="1">
      <alignment horizontal="center" vertical="center"/>
    </xf>
    <xf numFmtId="49" fontId="9" fillId="32" borderId="1" xfId="6" applyNumberFormat="1" applyFont="1" applyFill="1" applyBorder="1" applyAlignment="1">
      <alignment horizontal="center" vertical="center"/>
    </xf>
    <xf numFmtId="49" fontId="9" fillId="33" borderId="1" xfId="6" applyNumberFormat="1" applyFont="1" applyFill="1" applyBorder="1" applyAlignment="1">
      <alignment horizontal="center" vertical="center"/>
    </xf>
    <xf numFmtId="49" fontId="9" fillId="34" borderId="1" xfId="6" applyNumberFormat="1" applyFont="1" applyFill="1" applyBorder="1" applyAlignment="1">
      <alignment horizontal="center" vertical="center"/>
    </xf>
    <xf numFmtId="49" fontId="9" fillId="35" borderId="1" xfId="6" applyNumberFormat="1" applyFont="1" applyFill="1" applyBorder="1" applyAlignment="1">
      <alignment horizontal="center" vertical="center"/>
    </xf>
    <xf numFmtId="49" fontId="9" fillId="36" borderId="1" xfId="6" applyNumberFormat="1" applyFont="1" applyFill="1" applyBorder="1" applyAlignment="1">
      <alignment horizontal="center" vertical="center"/>
    </xf>
    <xf numFmtId="49" fontId="9" fillId="37" borderId="1" xfId="6" applyNumberFormat="1" applyFont="1" applyFill="1" applyBorder="1" applyAlignment="1">
      <alignment horizontal="center" vertical="center"/>
    </xf>
    <xf numFmtId="49" fontId="9" fillId="38" borderId="1" xfId="6" applyNumberFormat="1" applyFont="1" applyFill="1" applyBorder="1" applyAlignment="1">
      <alignment horizontal="center" vertical="center"/>
    </xf>
    <xf numFmtId="49" fontId="9" fillId="39" borderId="1" xfId="6" applyNumberFormat="1" applyFont="1" applyFill="1" applyBorder="1" applyAlignment="1">
      <alignment horizontal="center" vertical="center"/>
    </xf>
    <xf numFmtId="49" fontId="9" fillId="40" borderId="1" xfId="6" applyNumberFormat="1" applyFont="1" applyFill="1" applyBorder="1" applyAlignment="1">
      <alignment horizontal="center" vertical="center"/>
    </xf>
    <xf numFmtId="49" fontId="9" fillId="41" borderId="1" xfId="6" applyNumberFormat="1" applyFont="1" applyFill="1" applyBorder="1" applyAlignment="1">
      <alignment horizontal="center" vertical="center"/>
    </xf>
    <xf numFmtId="49" fontId="9" fillId="42" borderId="1" xfId="6" applyNumberFormat="1" applyFont="1" applyFill="1" applyBorder="1" applyAlignment="1">
      <alignment horizontal="center" vertical="center"/>
    </xf>
    <xf numFmtId="49" fontId="9" fillId="43" borderId="1" xfId="6" applyNumberFormat="1" applyFont="1" applyFill="1" applyBorder="1" applyAlignment="1">
      <alignment horizontal="center" vertical="center"/>
    </xf>
    <xf numFmtId="49" fontId="9" fillId="44" borderId="1" xfId="6" applyNumberFormat="1" applyFont="1" applyFill="1" applyBorder="1" applyAlignment="1">
      <alignment horizontal="center" vertical="center"/>
    </xf>
    <xf numFmtId="49" fontId="9" fillId="45" borderId="1" xfId="6" applyNumberFormat="1" applyFont="1" applyFill="1" applyBorder="1" applyAlignment="1">
      <alignment horizontal="center" vertical="center"/>
    </xf>
    <xf numFmtId="49" fontId="9" fillId="46" borderId="1" xfId="6" applyNumberFormat="1" applyFont="1" applyFill="1" applyBorder="1" applyAlignment="1">
      <alignment horizontal="center" vertical="center"/>
    </xf>
    <xf numFmtId="49" fontId="9" fillId="47" borderId="1" xfId="6" applyNumberFormat="1" applyFont="1" applyFill="1" applyBorder="1" applyAlignment="1">
      <alignment horizontal="center" vertical="center"/>
    </xf>
    <xf numFmtId="49" fontId="9" fillId="48" borderId="1" xfId="6" applyNumberFormat="1" applyFont="1" applyFill="1" applyBorder="1" applyAlignment="1">
      <alignment horizontal="center" vertical="center"/>
    </xf>
    <xf numFmtId="49" fontId="9" fillId="49" borderId="1" xfId="6" applyNumberFormat="1" applyFont="1" applyFill="1" applyBorder="1" applyAlignment="1">
      <alignment horizontal="center" vertical="center"/>
    </xf>
    <xf numFmtId="49" fontId="9" fillId="50" borderId="1" xfId="6" applyNumberFormat="1" applyFont="1" applyFill="1" applyBorder="1" applyAlignment="1">
      <alignment horizontal="center" vertical="center"/>
    </xf>
    <xf numFmtId="49" fontId="9" fillId="51" borderId="1" xfId="6" applyNumberFormat="1" applyFont="1" applyFill="1" applyBorder="1" applyAlignment="1">
      <alignment horizontal="center" vertical="center"/>
    </xf>
    <xf numFmtId="49" fontId="9" fillId="52" borderId="1" xfId="6" applyNumberFormat="1" applyFont="1" applyFill="1" applyBorder="1" applyAlignment="1">
      <alignment horizontal="center" vertical="center"/>
    </xf>
    <xf numFmtId="49" fontId="9" fillId="53" borderId="1" xfId="6" applyNumberFormat="1" applyFont="1" applyFill="1" applyBorder="1" applyAlignment="1">
      <alignment horizontal="center" vertical="center"/>
    </xf>
    <xf numFmtId="49" fontId="9" fillId="54" borderId="1" xfId="6" applyNumberFormat="1" applyFont="1" applyFill="1" applyBorder="1" applyAlignment="1">
      <alignment horizontal="center" vertical="center"/>
    </xf>
    <xf numFmtId="49" fontId="9" fillId="55" borderId="1" xfId="6" applyNumberFormat="1" applyFont="1" applyFill="1" applyBorder="1" applyAlignment="1">
      <alignment horizontal="center" vertical="center"/>
    </xf>
    <xf numFmtId="49" fontId="9" fillId="56" borderId="1" xfId="6" applyNumberFormat="1" applyFont="1" applyFill="1" applyBorder="1" applyAlignment="1">
      <alignment horizontal="center" vertical="center"/>
    </xf>
    <xf numFmtId="49" fontId="9" fillId="57" borderId="1" xfId="6" applyNumberFormat="1" applyFont="1" applyFill="1" applyBorder="1" applyAlignment="1">
      <alignment horizontal="center" vertical="center"/>
    </xf>
    <xf numFmtId="49" fontId="9" fillId="58" borderId="1" xfId="6" applyNumberFormat="1" applyFont="1" applyFill="1" applyBorder="1" applyAlignment="1">
      <alignment horizontal="center" vertical="center"/>
    </xf>
    <xf numFmtId="49" fontId="9" fillId="59" borderId="1" xfId="6" applyNumberFormat="1" applyFont="1" applyFill="1" applyBorder="1" applyAlignment="1">
      <alignment horizontal="center" vertical="center"/>
    </xf>
    <xf numFmtId="49" fontId="9" fillId="60" borderId="1" xfId="6" applyNumberFormat="1" applyFont="1" applyFill="1" applyBorder="1" applyAlignment="1">
      <alignment horizontal="center" vertical="center"/>
    </xf>
    <xf numFmtId="49" fontId="9" fillId="61" borderId="1" xfId="6" applyNumberFormat="1" applyFont="1" applyFill="1" applyBorder="1" applyAlignment="1">
      <alignment horizontal="center" vertical="center"/>
    </xf>
    <xf numFmtId="49" fontId="9" fillId="62" borderId="1" xfId="6" applyNumberFormat="1" applyFont="1" applyFill="1" applyBorder="1" applyAlignment="1">
      <alignment horizontal="center" vertical="center"/>
    </xf>
    <xf numFmtId="49" fontId="9" fillId="63" borderId="1" xfId="6" applyNumberFormat="1" applyFont="1" applyFill="1" applyBorder="1" applyAlignment="1">
      <alignment horizontal="center" vertical="center"/>
    </xf>
    <xf numFmtId="49" fontId="9" fillId="64" borderId="1" xfId="6" applyNumberFormat="1" applyFont="1" applyFill="1" applyBorder="1" applyAlignment="1">
      <alignment horizontal="center" vertical="center"/>
    </xf>
    <xf numFmtId="49" fontId="9" fillId="65" borderId="1" xfId="6" applyNumberFormat="1" applyFont="1" applyFill="1" applyBorder="1" applyAlignment="1">
      <alignment horizontal="center" vertical="center"/>
    </xf>
    <xf numFmtId="49" fontId="9" fillId="66" borderId="1" xfId="6" applyNumberFormat="1" applyFont="1" applyFill="1" applyBorder="1" applyAlignment="1">
      <alignment horizontal="center" vertical="center"/>
    </xf>
    <xf numFmtId="49" fontId="9" fillId="67" borderId="1" xfId="6" applyNumberFormat="1" applyFont="1" applyFill="1" applyBorder="1" applyAlignment="1">
      <alignment horizontal="center" vertical="center"/>
    </xf>
    <xf numFmtId="0" fontId="14" fillId="11" borderId="1" xfId="9" applyFont="1" applyBorder="1" applyAlignment="1">
      <alignment horizontal="center" vertical="center"/>
    </xf>
    <xf numFmtId="0" fontId="8" fillId="0" borderId="0" xfId="6" applyAlignment="1">
      <alignment wrapText="1"/>
    </xf>
    <xf numFmtId="0" fontId="8" fillId="3" borderId="0" xfId="6" applyFill="1" applyAlignment="1">
      <alignment wrapText="1"/>
    </xf>
    <xf numFmtId="0" fontId="8" fillId="0" borderId="0" xfId="6" applyAlignment="1">
      <alignment horizontal="center" wrapText="1"/>
    </xf>
    <xf numFmtId="0" fontId="8" fillId="3" borderId="0" xfId="6" applyFill="1" applyAlignment="1">
      <alignment horizontal="center" wrapText="1"/>
    </xf>
    <xf numFmtId="0" fontId="9" fillId="7" borderId="1" xfId="1" applyFont="1" applyFill="1" applyBorder="1" applyAlignment="1">
      <alignment horizontal="center" vertical="center" wrapText="1"/>
    </xf>
    <xf numFmtId="0" fontId="9" fillId="7" borderId="1" xfId="1" applyFont="1" applyFill="1" applyBorder="1" applyAlignment="1">
      <alignment horizontal="center"/>
    </xf>
    <xf numFmtId="0" fontId="9" fillId="68" borderId="1" xfId="6" applyFont="1" applyFill="1" applyBorder="1" applyAlignment="1">
      <alignment horizontal="center" vertical="center"/>
    </xf>
    <xf numFmtId="0" fontId="10" fillId="0" borderId="1" xfId="6" applyFont="1" applyBorder="1" applyAlignment="1">
      <alignment horizontal="center" vertical="center" wrapText="1"/>
    </xf>
    <xf numFmtId="0" fontId="10" fillId="5" borderId="2" xfId="6" applyFont="1" applyFill="1" applyBorder="1" applyAlignment="1">
      <alignment horizontal="center" vertical="center" wrapText="1"/>
    </xf>
    <xf numFmtId="0" fontId="15" fillId="9" borderId="0" xfId="6" applyFont="1" applyFill="1" applyAlignment="1">
      <alignment horizontal="center" vertical="center" wrapText="1"/>
    </xf>
    <xf numFmtId="0" fontId="15" fillId="0" borderId="0" xfId="6" applyFont="1" applyAlignment="1">
      <alignment horizontal="center" vertical="center" wrapText="1"/>
    </xf>
    <xf numFmtId="0" fontId="10" fillId="69" borderId="1" xfId="6" applyFont="1" applyFill="1" applyBorder="1" applyAlignment="1">
      <alignment horizontal="center" vertical="center"/>
    </xf>
    <xf numFmtId="0" fontId="10" fillId="9" borderId="1" xfId="6" quotePrefix="1" applyFont="1" applyFill="1" applyBorder="1" applyAlignment="1">
      <alignment horizontal="center" vertical="center"/>
    </xf>
    <xf numFmtId="0" fontId="10" fillId="6" borderId="1" xfId="6" applyFont="1" applyFill="1" applyBorder="1" applyAlignment="1">
      <alignment horizontal="center" vertical="center" wrapText="1"/>
    </xf>
    <xf numFmtId="0" fontId="15" fillId="0" borderId="3" xfId="6" applyFont="1" applyBorder="1" applyAlignment="1">
      <alignment horizontal="center" vertical="center" wrapText="1"/>
    </xf>
    <xf numFmtId="0" fontId="9" fillId="3" borderId="1" xfId="6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10" fillId="9" borderId="1" xfId="0" quotePrefix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0" borderId="1" xfId="0" applyFont="1" applyFill="1" applyBorder="1" applyAlignment="1">
      <alignment horizontal="center" vertical="center"/>
    </xf>
    <xf numFmtId="0" fontId="16" fillId="0" borderId="0" xfId="10" applyFont="1" applyAlignment="1">
      <alignment horizontal="left" vertical="center"/>
    </xf>
    <xf numFmtId="0" fontId="17" fillId="0" borderId="0" xfId="10" applyFont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10" fillId="69" borderId="1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7" fillId="4" borderId="7" xfId="10" applyFont="1" applyFill="1" applyBorder="1" applyAlignment="1">
      <alignment horizontal="center" vertical="center"/>
    </xf>
    <xf numFmtId="0" fontId="9" fillId="71" borderId="4" xfId="10" applyFont="1" applyFill="1" applyBorder="1" applyAlignment="1">
      <alignment horizontal="center" vertical="center"/>
    </xf>
    <xf numFmtId="0" fontId="9" fillId="8" borderId="4" xfId="10" applyFont="1" applyFill="1" applyBorder="1" applyAlignment="1">
      <alignment horizontal="center" vertical="center"/>
    </xf>
    <xf numFmtId="0" fontId="9" fillId="72" borderId="4" xfId="10" applyFont="1" applyFill="1" applyBorder="1" applyAlignment="1">
      <alignment horizontal="center" vertical="center"/>
    </xf>
    <xf numFmtId="0" fontId="16" fillId="0" borderId="0" xfId="10" applyFont="1" applyAlignment="1">
      <alignment horizontal="center" vertical="center"/>
    </xf>
    <xf numFmtId="0" fontId="17" fillId="73" borderId="5" xfId="10" applyFont="1" applyFill="1" applyBorder="1" applyAlignment="1">
      <alignment horizontal="center" vertical="center"/>
    </xf>
    <xf numFmtId="0" fontId="17" fillId="0" borderId="5" xfId="10" applyFont="1" applyBorder="1" applyAlignment="1">
      <alignment horizontal="center" vertical="center"/>
    </xf>
    <xf numFmtId="0" fontId="17" fillId="0" borderId="0" xfId="10" applyFont="1" applyAlignment="1">
      <alignment horizontal="center" vertical="center"/>
    </xf>
    <xf numFmtId="0" fontId="17" fillId="73" borderId="6" xfId="1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8" fillId="9" borderId="0" xfId="0" applyFont="1" applyFill="1" applyAlignment="1">
      <alignment horizontal="center" vertical="center"/>
    </xf>
    <xf numFmtId="0" fontId="9" fillId="6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0" fontId="10" fillId="6" borderId="0" xfId="0" applyFont="1" applyFill="1" applyAlignment="1">
      <alignment horizontal="center" vertical="center" wrapText="1"/>
    </xf>
    <xf numFmtId="0" fontId="10" fillId="74" borderId="2" xfId="6" applyFont="1" applyFill="1" applyBorder="1" applyAlignment="1">
      <alignment horizontal="center" vertical="center" wrapText="1"/>
    </xf>
    <xf numFmtId="0" fontId="15" fillId="75" borderId="0" xfId="0" applyFont="1" applyFill="1" applyAlignment="1">
      <alignment horizontal="center" vertical="center" wrapText="1"/>
    </xf>
    <xf numFmtId="0" fontId="15" fillId="75" borderId="0" xfId="6" applyFont="1" applyFill="1" applyAlignment="1">
      <alignment horizontal="center" vertical="center" wrapText="1"/>
    </xf>
    <xf numFmtId="0" fontId="10" fillId="76" borderId="2" xfId="6" applyFont="1" applyFill="1" applyBorder="1" applyAlignment="1">
      <alignment horizontal="center" vertical="center" wrapText="1"/>
    </xf>
  </cellXfs>
  <cellStyles count="11">
    <cellStyle name="나쁨" xfId="1" builtinId="27"/>
    <cellStyle name="좋음" xfId="9" builtinId="26"/>
    <cellStyle name="표준" xfId="0" builtinId="0"/>
    <cellStyle name="표준 11" xfId="8" xr:uid="{00000000-0005-0000-0000-000003000000}"/>
    <cellStyle name="표준 2" xfId="2" xr:uid="{00000000-0005-0000-0000-000004000000}"/>
    <cellStyle name="표준 2 2" xfId="5" xr:uid="{00000000-0005-0000-0000-000005000000}"/>
    <cellStyle name="표준 3" xfId="3" xr:uid="{00000000-0005-0000-0000-000006000000}"/>
    <cellStyle name="표준 3 2" xfId="7" xr:uid="{00000000-0005-0000-0000-000007000000}"/>
    <cellStyle name="표준 4" xfId="4" xr:uid="{00000000-0005-0000-0000-000008000000}"/>
    <cellStyle name="표준 5" xfId="6" xr:uid="{00000000-0005-0000-0000-000009000000}"/>
    <cellStyle name="표준 6" xfId="10" xr:uid="{EC430CB0-C709-4983-9619-5D40FABFE064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0CB6"/>
      <color rgb="FFE4E4E4"/>
      <color rgb="FFC7C7C7"/>
      <color rgb="FFA3A3A3"/>
      <color rgb="FF585858"/>
      <color rgb="FF828282"/>
      <color rgb="FF2C2C2C"/>
      <color rgb="FFFEA0BA"/>
      <color rgb="FFF87AA1"/>
      <color rgb="FFE85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WO_&#53580;&#51060;&#48660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Index"/>
      <sheetName val="StaffRoll"/>
      <sheetName val="DefaultShip"/>
      <sheetName val="DefaultShipBlueprint"/>
      <sheetName val="DefaultPoint"/>
      <sheetName val="DefaultMail"/>
      <sheetName val="DefaultQuest"/>
      <sheetName val="ShipCustomizeData"/>
      <sheetName val="DefaultSailCrest"/>
      <sheetName val="DefaultSailPattern"/>
      <sheetName val="DefaultSailPatternColor"/>
      <sheetName val="DefaultShipBodyFirstColor"/>
      <sheetName val="DefaultShipBodySecondColor"/>
      <sheetName val="DefaultEquipDyeColor"/>
      <sheetName val="PushNotification"/>
      <sheetName val="DeviceLanguageTypes"/>
      <sheetName val="SoundPack"/>
      <sheetName val="CashShopBoxRatio"/>
      <sheetName val="Collection"/>
      <sheetName val="ContributionShop"/>
      <sheetName val="CashShopLimitSale"/>
      <sheetName val="CashShop"/>
      <sheetName val="LoadingPage"/>
      <sheetName val="OceanDoodadAreaSpawner"/>
      <sheetName val="EnterSeaArea"/>
      <sheetName val="OceanDoodad"/>
      <sheetName val="OceanNpcSpawn"/>
      <sheetName val="TradeGoods"/>
      <sheetName val="Trade"/>
      <sheetName val="TradeAreaTileData"/>
      <sheetName val="TaxFreePermit"/>
      <sheetName val="Reputation"/>
      <sheetName val="InvestRankTax"/>
      <sheetName val="Point"/>
      <sheetName val="Nation"/>
      <sheetName val="NationDiplomacy"/>
      <sheetName val="NationRankingEffect"/>
      <sheetName val="CulturalArea"/>
      <sheetName val="Region"/>
      <sheetName val="RegionName"/>
      <sheetName val="OceanZone"/>
      <sheetName val="Climate"/>
      <sheetName val="WeatherTile"/>
      <sheetName val="WeatherTileClimate"/>
      <sheetName val="WorldTile"/>
      <sheetName val="Weather"/>
      <sheetName val="Town"/>
      <sheetName val="Camel"/>
      <sheetName val="FOWOpenContinentTown"/>
      <sheetName val="Reward"/>
      <sheetName val="RewardDropPool"/>
      <sheetName val="RewardFixed"/>
      <sheetName val="QuestPayment"/>
      <sheetName val="TownDevelopExp"/>
      <sheetName val="Emoticon"/>
      <sheetName val="SocialAnimation"/>
      <sheetName val="TownKick"/>
      <sheetName val="AdmissionNpc"/>
      <sheetName val="CompanyExp"/>
      <sheetName val="ShipBuildMasteryExp"/>
      <sheetName val="ShipBuildExp"/>
      <sheetName val="OceanCamera"/>
      <sheetName val="WaveRate"/>
      <sheetName val="CurrentRate"/>
      <sheetName val="WindRate"/>
      <sheetName val="CharacterExp"/>
      <sheetName val="RoyalTitle"/>
      <sheetName val="CompanyJob"/>
      <sheetName val="WorldState"/>
      <sheetName val="WorldNameList"/>
      <sheetName val="CompanyNameList"/>
      <sheetName val="OceanProtection"/>
      <sheetName val="OceanDisaster"/>
      <sheetName val="WorldSkill"/>
      <sheetName val="WorldPassive"/>
      <sheetName val="WorldActiveEffect"/>
      <sheetName val="WorldTrigger"/>
      <sheetName val="WorldPassiveEffect"/>
      <sheetName val="WorldBuff"/>
      <sheetName val="OceanNpcEffect"/>
      <sheetName val="OceanNpcBuff"/>
      <sheetName val="Shop"/>
      <sheetName val="Item"/>
      <sheetName val="SlotExpansion"/>
      <sheetName val="TileToolDefine"/>
      <sheetName val="InvestCompanyRanking"/>
      <sheetName val="DiscoveryRanking"/>
      <sheetName val="Admiral"/>
      <sheetName val="AdmiralGroup"/>
      <sheetName val="Character"/>
      <sheetName val="Mate"/>
      <sheetName val="PubStaff"/>
      <sheetName val="MatePersonality"/>
      <sheetName val="MateAwaken"/>
      <sheetName val="PieceSwap"/>
      <sheetName val="MateManagement"/>
      <sheetName val="Job"/>
      <sheetName val="MateRecruiting"/>
      <sheetName val="MateReRecruiting"/>
      <sheetName val="CEquip"/>
      <sheetName val="Religion"/>
      <sheetName val="BuildingBuff"/>
      <sheetName val="BuildingContentsUnlock"/>
      <sheetName val="BuildingMenu"/>
      <sheetName val="MainMenu"/>
      <sheetName val="ContentsTerms"/>
      <sheetName val="Shield"/>
      <sheetName val="ContentsResetHour"/>
      <sheetName val="Language"/>
      <sheetName val="BankInstallmentSavings"/>
      <sheetName val="Fortune"/>
      <sheetName val="BankInsurance"/>
      <sheetName val="AutoJobPassive"/>
      <sheetName val="AutoMatePassive"/>
      <sheetName val="AutoMatePassiveFixed"/>
      <sheetName val="AutoMateSkill"/>
      <sheetName val="AutoMateOrder"/>
      <sheetName val="BattleDuelSkill"/>
      <sheetName val="BattleSkill"/>
      <sheetName val="BattleDuelEffect"/>
      <sheetName val="BattleBuff"/>
      <sheetName val="BattleTurnBoost"/>
      <sheetName val="BattleActiveEffect"/>
      <sheetName val="BattlePassive"/>
      <sheetName val="BattleUnitTrigger"/>
      <sheetName val="BattlePassiveEffect"/>
      <sheetName val="BattleTod"/>
      <sheetName val="BattleTile"/>
      <sheetName val="BattleMapObject"/>
      <sheetName val="BattleActionRange"/>
      <sheetName val="BattleAoeRange"/>
      <sheetName val="BattleAiPersonality"/>
      <sheetName val="BattleAiWeightList"/>
      <sheetName val="BattleAiMoveWeight"/>
      <sheetName val="BattleAiActionWeight"/>
      <sheetName val="BattleFaction"/>
      <sheetName val="ShipSlot"/>
      <sheetName val="ShipCabinRelation"/>
      <sheetName val="DepartSupply"/>
      <sheetName val="BubbleEvent"/>
      <sheetName val="BattleDirectionShipCost"/>
      <sheetName val="BattleTileShipCost"/>
      <sheetName val="ShipClass"/>
      <sheetName val="ShipyardShop"/>
      <sheetName val="Ship"/>
      <sheetName val="ShipEnchant"/>
      <sheetName val="ShipEnchantStatRatio"/>
      <sheetName val="ShipyardBuild"/>
      <sheetName val="ShipBlueprint"/>
      <sheetName val="SailorDraft"/>
      <sheetName val="AchievementPoint"/>
      <sheetName val="HotTimeBonus"/>
      <sheetName val="Mail"/>
      <sheetName val="LoadageRatio"/>
      <sheetName val="Const"/>
      <sheetName val="SpecialStat"/>
      <sheetName val="StatOperator"/>
      <sheetName val="SystemMessage"/>
      <sheetName val="LinerShip"/>
      <sheetName val="_enum"/>
    </sheetNames>
    <sheetDataSet>
      <sheetData sheetId="0">
        <row r="1">
          <cell r="A1" t="str">
            <v>tableName</v>
          </cell>
          <cell r="B1" t="str">
            <v>minId</v>
          </cell>
          <cell r="C1" t="str">
            <v>maxId</v>
          </cell>
        </row>
        <row r="2">
          <cell r="A2" t="str">
            <v>ContentsResetHour</v>
          </cell>
        </row>
        <row r="3">
          <cell r="A3" t="str">
            <v>OceanCamera</v>
          </cell>
        </row>
        <row r="4">
          <cell r="A4" t="str">
            <v>TownLocation</v>
          </cell>
        </row>
        <row r="5">
          <cell r="A5" t="str">
            <v>TownLocation_cn</v>
          </cell>
        </row>
        <row r="6">
          <cell r="A6" t="str">
            <v>CompanyLvOceanTile</v>
          </cell>
        </row>
        <row r="7">
          <cell r="A7" t="str">
            <v>OceanSeaweedTile</v>
          </cell>
        </row>
        <row r="8">
          <cell r="A8" t="str">
            <v>ShipSizeOceanTile</v>
          </cell>
        </row>
        <row r="9">
          <cell r="A9" t="str">
            <v>WaveResistanceOceanTile</v>
          </cell>
        </row>
        <row r="10">
          <cell r="A10" t="str">
            <v>OceanRockTile</v>
          </cell>
        </row>
        <row r="11">
          <cell r="A11" t="str">
            <v>IceBreakingOceanTile</v>
          </cell>
        </row>
        <row r="12">
          <cell r="A12" t="str">
            <v>ImmovableLandTile</v>
          </cell>
        </row>
        <row r="13">
          <cell r="A13" t="str">
            <v>RegionNameOceanTile</v>
          </cell>
        </row>
        <row r="14">
          <cell r="A14" t="str">
            <v>RegionOceanTile</v>
          </cell>
        </row>
        <row r="15">
          <cell r="A15" t="str">
            <v>FOWOpenContinentTile</v>
          </cell>
        </row>
        <row r="16">
          <cell r="A16" t="str">
            <v>SoundPack</v>
          </cell>
          <cell r="B16">
            <v>0</v>
          </cell>
          <cell r="C16">
            <v>999</v>
          </cell>
        </row>
        <row r="17">
          <cell r="A17" t="str">
            <v>StatOperator</v>
          </cell>
          <cell r="B17">
            <v>0</v>
          </cell>
          <cell r="C17">
            <v>9999</v>
          </cell>
        </row>
        <row r="18">
          <cell r="A18" t="str">
            <v>StaffRoll</v>
          </cell>
          <cell r="B18">
            <v>0</v>
          </cell>
          <cell r="C18">
            <v>100</v>
          </cell>
        </row>
        <row r="19">
          <cell r="A19" t="str">
            <v>CompanyExp</v>
          </cell>
          <cell r="B19">
            <v>0</v>
          </cell>
          <cell r="C19">
            <v>1000</v>
          </cell>
        </row>
        <row r="20">
          <cell r="A20" t="str">
            <v>CharacterExp</v>
          </cell>
          <cell r="B20">
            <v>0</v>
          </cell>
          <cell r="C20">
            <v>1000</v>
          </cell>
        </row>
        <row r="22">
          <cell r="A22" t="str">
            <v>EventMissionExp</v>
          </cell>
          <cell r="B22">
            <v>0</v>
          </cell>
          <cell r="C22">
            <v>1000</v>
          </cell>
        </row>
        <row r="23">
          <cell r="A23" t="str">
            <v>ShipBuildExp</v>
          </cell>
          <cell r="B23">
            <v>0</v>
          </cell>
          <cell r="C23">
            <v>100</v>
          </cell>
        </row>
        <row r="24">
          <cell r="A24" t="str">
            <v>DefaultShip</v>
          </cell>
          <cell r="B24">
            <v>1</v>
          </cell>
          <cell r="C24">
            <v>100</v>
          </cell>
        </row>
        <row r="25">
          <cell r="A25" t="str">
            <v>DefaultShipBlueprint</v>
          </cell>
          <cell r="B25">
            <v>1</v>
          </cell>
          <cell r="C25">
            <v>100</v>
          </cell>
        </row>
        <row r="26">
          <cell r="A26" t="str">
            <v>MateReRecruiting</v>
          </cell>
          <cell r="B26">
            <v>1</v>
          </cell>
          <cell r="C26">
            <v>100</v>
          </cell>
        </row>
        <row r="27">
          <cell r="A27" t="str">
            <v>VoiceTag</v>
          </cell>
          <cell r="B27">
            <v>1</v>
          </cell>
          <cell r="C27">
            <v>1000</v>
          </cell>
        </row>
        <row r="28">
          <cell r="A28" t="str">
            <v>InvestRankTax</v>
          </cell>
          <cell r="B28">
            <v>1</v>
          </cell>
          <cell r="C28">
            <v>1000</v>
          </cell>
        </row>
        <row r="29">
          <cell r="A29" t="str">
            <v>PushNotification</v>
          </cell>
          <cell r="B29">
            <v>1</v>
          </cell>
          <cell r="C29">
            <v>1000</v>
          </cell>
        </row>
        <row r="30">
          <cell r="A30" t="str">
            <v>WaveRate</v>
          </cell>
          <cell r="B30">
            <v>1</v>
          </cell>
          <cell r="C30">
            <v>1000</v>
          </cell>
        </row>
        <row r="31">
          <cell r="A31" t="str">
            <v>CurrentRate</v>
          </cell>
          <cell r="B31">
            <v>1</v>
          </cell>
          <cell r="C31">
            <v>1000</v>
          </cell>
        </row>
        <row r="32">
          <cell r="A32" t="str">
            <v>WindRate</v>
          </cell>
          <cell r="B32">
            <v>1</v>
          </cell>
          <cell r="C32">
            <v>1000</v>
          </cell>
        </row>
        <row r="33">
          <cell r="A33" t="str">
            <v>WorldState</v>
          </cell>
          <cell r="B33">
            <v>1</v>
          </cell>
          <cell r="C33">
            <v>1000</v>
          </cell>
        </row>
        <row r="34">
          <cell r="A34" t="str">
            <v>DefaultShip</v>
          </cell>
          <cell r="B34">
            <v>101</v>
          </cell>
          <cell r="C34">
            <v>110</v>
          </cell>
        </row>
        <row r="35">
          <cell r="A35" t="str">
            <v>DefaultMail</v>
          </cell>
          <cell r="B35">
            <v>201</v>
          </cell>
          <cell r="C35">
            <v>499</v>
          </cell>
        </row>
        <row r="36">
          <cell r="A36" t="str">
            <v>LoadingPage</v>
          </cell>
          <cell r="B36">
            <v>501</v>
          </cell>
          <cell r="C36">
            <v>600</v>
          </cell>
        </row>
        <row r="37">
          <cell r="A37" t="str">
            <v>DefaultQuest</v>
          </cell>
          <cell r="B37">
            <v>601</v>
          </cell>
          <cell r="C37">
            <v>700</v>
          </cell>
        </row>
        <row r="38">
          <cell r="A38" t="str">
            <v>HotTimeBonus</v>
          </cell>
          <cell r="B38">
            <v>1</v>
          </cell>
          <cell r="C38">
            <v>999999</v>
          </cell>
        </row>
        <row r="39">
          <cell r="A39" t="str">
            <v>WorldNameList</v>
          </cell>
          <cell r="B39">
            <v>1000</v>
          </cell>
          <cell r="C39">
            <v>1099</v>
          </cell>
        </row>
        <row r="40">
          <cell r="A40" t="str">
            <v>CompanyNameList</v>
          </cell>
          <cell r="B40">
            <v>1100</v>
          </cell>
          <cell r="C40">
            <v>1999</v>
          </cell>
        </row>
        <row r="41">
          <cell r="A41" t="str">
            <v>AchievementPoint</v>
          </cell>
          <cell r="B41">
            <v>2000</v>
          </cell>
          <cell r="C41">
            <v>2999</v>
          </cell>
        </row>
        <row r="42">
          <cell r="A42" t="str">
            <v>FOWOpenContinentTown</v>
          </cell>
          <cell r="B42">
            <v>3000</v>
          </cell>
          <cell r="C42">
            <v>3999</v>
          </cell>
        </row>
        <row r="43">
          <cell r="A43" t="str">
            <v>ShipCustomizeData</v>
          </cell>
          <cell r="B43">
            <v>4990</v>
          </cell>
          <cell r="C43">
            <v>5000</v>
          </cell>
        </row>
        <row r="44">
          <cell r="A44" t="str">
            <v>DefaultSailCrest</v>
          </cell>
          <cell r="B44">
            <v>5001</v>
          </cell>
          <cell r="C44">
            <v>5050</v>
          </cell>
        </row>
        <row r="45">
          <cell r="A45" t="str">
            <v>DefaultSailPattern</v>
          </cell>
          <cell r="B45">
            <v>5051</v>
          </cell>
          <cell r="C45">
            <v>5100</v>
          </cell>
        </row>
        <row r="46">
          <cell r="A46" t="str">
            <v>DefaultSailPatternColor</v>
          </cell>
          <cell r="B46">
            <v>5101</v>
          </cell>
          <cell r="C46">
            <v>5150</v>
          </cell>
        </row>
        <row r="47">
          <cell r="A47" t="str">
            <v>DefaultShipBodyFirstColor</v>
          </cell>
          <cell r="B47">
            <v>5201</v>
          </cell>
          <cell r="C47">
            <v>5250</v>
          </cell>
        </row>
        <row r="48">
          <cell r="A48" t="str">
            <v>DefaultShipBodySecondColor</v>
          </cell>
          <cell r="B48">
            <v>5251</v>
          </cell>
          <cell r="C48">
            <v>5300</v>
          </cell>
        </row>
        <row r="49">
          <cell r="A49" t="str">
            <v>DefaultEquipDyeColor</v>
          </cell>
          <cell r="B49">
            <v>6000</v>
          </cell>
          <cell r="C49">
            <v>6999</v>
          </cell>
        </row>
        <row r="50">
          <cell r="A50" t="str">
            <v>EquipDyeColor</v>
          </cell>
          <cell r="B50">
            <v>7000</v>
          </cell>
          <cell r="C50">
            <v>7999</v>
          </cell>
        </row>
        <row r="51">
          <cell r="A51" t="str">
            <v>OceanNpcSpawn</v>
          </cell>
          <cell r="B51">
            <v>10000</v>
          </cell>
          <cell r="C51">
            <v>19999</v>
          </cell>
        </row>
        <row r="52">
          <cell r="A52" t="str">
            <v>OceanNpcSpawnLocation</v>
          </cell>
          <cell r="B52">
            <v>20000</v>
          </cell>
          <cell r="C52">
            <v>29999</v>
          </cell>
        </row>
        <row r="53">
          <cell r="A53" t="str">
            <v>OceanNpcLocalSpawner</v>
          </cell>
          <cell r="B53">
            <v>30000</v>
          </cell>
          <cell r="C53">
            <v>39999</v>
          </cell>
        </row>
        <row r="54">
          <cell r="A54" t="str">
            <v>AutoFleetTemplate</v>
          </cell>
          <cell r="B54">
            <v>40000</v>
          </cell>
          <cell r="C54">
            <v>49999</v>
          </cell>
        </row>
        <row r="55">
          <cell r="A55" t="str">
            <v>AutoMateTemplate</v>
          </cell>
          <cell r="B55">
            <v>60000</v>
          </cell>
          <cell r="C55">
            <v>69999</v>
          </cell>
        </row>
        <row r="56">
          <cell r="A56" t="str">
            <v>Dictionary</v>
          </cell>
          <cell r="B56">
            <v>70000</v>
          </cell>
          <cell r="C56">
            <v>79999</v>
          </cell>
        </row>
        <row r="57">
          <cell r="A57" t="str">
            <v>Point</v>
          </cell>
          <cell r="B57">
            <v>100000</v>
          </cell>
          <cell r="C57">
            <v>199999</v>
          </cell>
        </row>
        <row r="58">
          <cell r="A58" t="str">
            <v>OceanDoodad</v>
          </cell>
          <cell r="B58">
            <v>200000</v>
          </cell>
          <cell r="C58">
            <v>299999</v>
          </cell>
        </row>
        <row r="59">
          <cell r="A59" t="str">
            <v>OceanDoodadAreaSpawner</v>
          </cell>
          <cell r="B59">
            <v>300000</v>
          </cell>
          <cell r="C59">
            <v>399999</v>
          </cell>
        </row>
        <row r="60">
          <cell r="A60" t="str">
            <v>OceanNpcTemplate</v>
          </cell>
          <cell r="B60">
            <v>400000</v>
          </cell>
          <cell r="C60">
            <v>999999</v>
          </cell>
        </row>
        <row r="61">
          <cell r="A61" t="str">
            <v>MateTemplateGroup</v>
          </cell>
          <cell r="B61">
            <v>1000000</v>
          </cell>
          <cell r="C61">
            <v>1099999</v>
          </cell>
        </row>
        <row r="62">
          <cell r="A62" t="str">
            <v>Shield</v>
          </cell>
          <cell r="B62">
            <v>1100000</v>
          </cell>
          <cell r="C62">
            <v>1100099</v>
          </cell>
        </row>
        <row r="63">
          <cell r="A63" t="str">
            <v>Collection</v>
          </cell>
          <cell r="B63">
            <v>1150000</v>
          </cell>
          <cell r="C63">
            <v>1199999</v>
          </cell>
        </row>
        <row r="64">
          <cell r="A64" t="str">
            <v>Nation</v>
          </cell>
          <cell r="B64">
            <v>10000000</v>
          </cell>
          <cell r="C64">
            <v>10099999</v>
          </cell>
        </row>
        <row r="65">
          <cell r="A65" t="str">
            <v>NationSet</v>
          </cell>
          <cell r="B65">
            <v>10000000</v>
          </cell>
          <cell r="C65">
            <v>10999999</v>
          </cell>
        </row>
        <row r="66">
          <cell r="A66" t="str">
            <v>TaxFreePermit</v>
          </cell>
          <cell r="B66">
            <v>10100000</v>
          </cell>
          <cell r="C66">
            <v>10199999</v>
          </cell>
        </row>
        <row r="67">
          <cell r="A67" t="str">
            <v>Reputation</v>
          </cell>
          <cell r="B67">
            <v>10110000</v>
          </cell>
          <cell r="C67">
            <v>10119999</v>
          </cell>
        </row>
        <row r="68">
          <cell r="A68" t="str">
            <v>NationDiplomacy</v>
          </cell>
          <cell r="B68">
            <v>10200000</v>
          </cell>
          <cell r="C68">
            <v>10299999</v>
          </cell>
        </row>
        <row r="69">
          <cell r="A69" t="str">
            <v>NationRankingEffect</v>
          </cell>
          <cell r="B69">
            <v>10300000</v>
          </cell>
          <cell r="C69">
            <v>10399999</v>
          </cell>
        </row>
        <row r="70">
          <cell r="A70" t="str">
            <v>CashShopBoxRatio</v>
          </cell>
          <cell r="B70">
            <v>10400000</v>
          </cell>
          <cell r="C70">
            <v>10449999</v>
          </cell>
        </row>
        <row r="71">
          <cell r="A71" t="str">
            <v>CashShopLimitSale</v>
          </cell>
          <cell r="B71">
            <v>10450000</v>
          </cell>
          <cell r="C71">
            <v>10499999</v>
          </cell>
        </row>
        <row r="72">
          <cell r="A72" t="str">
            <v>CashShop</v>
          </cell>
          <cell r="B72">
            <v>10500000</v>
          </cell>
          <cell r="C72">
            <v>10599999</v>
          </cell>
        </row>
        <row r="73">
          <cell r="A73" t="str">
            <v>ContributionShop</v>
          </cell>
          <cell r="B73">
            <v>10600000</v>
          </cell>
          <cell r="C73">
            <v>10699999</v>
          </cell>
        </row>
        <row r="74">
          <cell r="A74" t="str">
            <v>Town</v>
          </cell>
          <cell r="B74">
            <v>11000000</v>
          </cell>
          <cell r="C74">
            <v>11999999</v>
          </cell>
        </row>
        <row r="75">
          <cell r="A75" t="str">
            <v>TradeGoodsTownMatrix</v>
          </cell>
          <cell r="B75">
            <v>11000000</v>
          </cell>
          <cell r="C75">
            <v>11999999</v>
          </cell>
        </row>
        <row r="76">
          <cell r="A76" t="str">
            <v>Region</v>
          </cell>
          <cell r="B76">
            <v>12000000</v>
          </cell>
          <cell r="C76">
            <v>12099999</v>
          </cell>
        </row>
        <row r="77">
          <cell r="A77" t="str">
            <v>SubRegion</v>
          </cell>
          <cell r="B77">
            <v>12100000</v>
          </cell>
          <cell r="C77">
            <v>12109999</v>
          </cell>
        </row>
        <row r="78">
          <cell r="A78" t="str">
            <v>RegionName</v>
          </cell>
          <cell r="B78">
            <v>12110000</v>
          </cell>
          <cell r="C78">
            <v>12119999</v>
          </cell>
        </row>
        <row r="79">
          <cell r="A79" t="str">
            <v>CulturalArea</v>
          </cell>
          <cell r="B79">
            <v>12200000</v>
          </cell>
          <cell r="C79">
            <v>12299999</v>
          </cell>
        </row>
        <row r="80">
          <cell r="A80" t="str">
            <v>OceanZone</v>
          </cell>
          <cell r="B80">
            <v>12300000</v>
          </cell>
          <cell r="C80">
            <v>12399999</v>
          </cell>
        </row>
        <row r="81">
          <cell r="A81" t="str">
            <v>Climate</v>
          </cell>
          <cell r="B81">
            <v>13100000</v>
          </cell>
          <cell r="C81">
            <v>13199999</v>
          </cell>
        </row>
        <row r="82">
          <cell r="A82" t="str">
            <v>Weather</v>
          </cell>
          <cell r="B82">
            <v>13200000</v>
          </cell>
          <cell r="C82">
            <v>13299999</v>
          </cell>
        </row>
        <row r="83">
          <cell r="A83" t="str">
            <v>WeatherTile</v>
          </cell>
          <cell r="B83">
            <v>13300000</v>
          </cell>
          <cell r="C83">
            <v>13399999</v>
          </cell>
        </row>
        <row r="84">
          <cell r="A84" t="str">
            <v>WeatherTileClimate</v>
          </cell>
          <cell r="B84">
            <v>13400000</v>
          </cell>
          <cell r="C84">
            <v>13499999</v>
          </cell>
        </row>
        <row r="85">
          <cell r="A85" t="str">
            <v>WorldTile</v>
          </cell>
          <cell r="B85">
            <v>14000000</v>
          </cell>
          <cell r="C85">
            <v>14099999</v>
          </cell>
        </row>
        <row r="86">
          <cell r="A86" t="str">
            <v>OceanNpc</v>
          </cell>
          <cell r="B86">
            <v>15000000</v>
          </cell>
          <cell r="C86">
            <v>15099999</v>
          </cell>
        </row>
        <row r="87">
          <cell r="A87" t="str">
            <v>OceanNpcAreaSpawner</v>
          </cell>
          <cell r="B87">
            <v>15100000</v>
          </cell>
          <cell r="C87">
            <v>15199999</v>
          </cell>
        </row>
        <row r="88">
          <cell r="A88" t="str">
            <v>OceanNpcPointSpawner</v>
          </cell>
          <cell r="B88">
            <v>15200000</v>
          </cell>
          <cell r="C88">
            <v>15299999</v>
          </cell>
        </row>
        <row r="89">
          <cell r="A89" t="str">
            <v>OceanNpcTendency</v>
          </cell>
          <cell r="B89">
            <v>15300000</v>
          </cell>
          <cell r="C89">
            <v>15399999</v>
          </cell>
        </row>
        <row r="90">
          <cell r="A90" t="str">
            <v>OceanNpcShape</v>
          </cell>
          <cell r="B90">
            <v>15400000</v>
          </cell>
          <cell r="C90">
            <v>15499999</v>
          </cell>
        </row>
        <row r="91">
          <cell r="A91" t="str">
            <v>OceanNpcStage</v>
          </cell>
          <cell r="B91">
            <v>15500000</v>
          </cell>
          <cell r="C91">
            <v>15699999</v>
          </cell>
        </row>
        <row r="92">
          <cell r="A92" t="str">
            <v>OceanProtection</v>
          </cell>
          <cell r="B92">
            <v>16099900</v>
          </cell>
          <cell r="C92">
            <v>16099999</v>
          </cell>
        </row>
        <row r="93">
          <cell r="A93" t="str">
            <v>OceanDisaster</v>
          </cell>
          <cell r="B93">
            <v>16100000</v>
          </cell>
          <cell r="C93">
            <v>16199999</v>
          </cell>
        </row>
        <row r="94">
          <cell r="A94" t="str">
            <v>OceanNpcEffect</v>
          </cell>
          <cell r="B94">
            <v>16200000</v>
          </cell>
          <cell r="C94">
            <v>16299999</v>
          </cell>
        </row>
        <row r="95">
          <cell r="A95" t="str">
            <v>OceanNpcBuff</v>
          </cell>
          <cell r="B95">
            <v>16300000</v>
          </cell>
          <cell r="C95">
            <v>16399999</v>
          </cell>
        </row>
        <row r="96">
          <cell r="A96" t="str">
            <v>MateTalkList</v>
          </cell>
          <cell r="B96">
            <v>17600000</v>
          </cell>
          <cell r="C96">
            <v>17699999</v>
          </cell>
        </row>
        <row r="97">
          <cell r="A97" t="str">
            <v>MateManagement</v>
          </cell>
          <cell r="B97">
            <v>17800000</v>
          </cell>
          <cell r="C97">
            <v>17899999</v>
          </cell>
        </row>
        <row r="98">
          <cell r="A98" t="str">
            <v>MateAwaken</v>
          </cell>
          <cell r="B98">
            <v>17900000</v>
          </cell>
          <cell r="C98">
            <v>17900099</v>
          </cell>
        </row>
        <row r="99">
          <cell r="A99" t="str">
            <v>PieceSwap</v>
          </cell>
          <cell r="B99">
            <v>17900100</v>
          </cell>
          <cell r="C99">
            <v>17900200</v>
          </cell>
        </row>
        <row r="100">
          <cell r="A100" t="str">
            <v>BuildingHours</v>
          </cell>
          <cell r="B100">
            <v>19000000</v>
          </cell>
          <cell r="C100">
            <v>19499999</v>
          </cell>
        </row>
        <row r="101">
          <cell r="A101" t="str">
            <v>TownBuilding</v>
          </cell>
          <cell r="B101">
            <v>19500000</v>
          </cell>
          <cell r="C101">
            <v>19599999</v>
          </cell>
        </row>
        <row r="102">
          <cell r="A102" t="str">
            <v>TownKick</v>
          </cell>
          <cell r="B102">
            <v>19600000</v>
          </cell>
          <cell r="C102">
            <v>19699999</v>
          </cell>
        </row>
        <row r="103">
          <cell r="A103" t="str">
            <v>Admiral</v>
          </cell>
          <cell r="B103">
            <v>20000000</v>
          </cell>
          <cell r="C103">
            <v>20898999</v>
          </cell>
        </row>
        <row r="104">
          <cell r="A104" t="str">
            <v>AdmiralGroup</v>
          </cell>
          <cell r="B104">
            <v>20899000</v>
          </cell>
          <cell r="C104">
            <v>20899999</v>
          </cell>
        </row>
        <row r="105">
          <cell r="A105" t="str">
            <v>MatePersonality</v>
          </cell>
          <cell r="B105">
            <v>20900000</v>
          </cell>
          <cell r="C105">
            <v>20999999</v>
          </cell>
        </row>
        <row r="106">
          <cell r="A106" t="str">
            <v>Character</v>
          </cell>
          <cell r="B106">
            <v>21000000</v>
          </cell>
          <cell r="C106">
            <v>21199999</v>
          </cell>
        </row>
        <row r="107">
          <cell r="A107" t="str">
            <v>Mate</v>
          </cell>
          <cell r="B107">
            <v>21200000</v>
          </cell>
          <cell r="C107">
            <v>21399999</v>
          </cell>
        </row>
        <row r="108">
          <cell r="A108" t="str">
            <v>Job</v>
          </cell>
          <cell r="B108">
            <v>21400000</v>
          </cell>
          <cell r="C108">
            <v>21499999</v>
          </cell>
        </row>
        <row r="109">
          <cell r="A109" t="str">
            <v>CompanyJob</v>
          </cell>
          <cell r="B109">
            <v>21500000</v>
          </cell>
          <cell r="C109">
            <v>21500099</v>
          </cell>
        </row>
        <row r="110">
          <cell r="A110" t="str">
            <v>SpecialStat</v>
          </cell>
          <cell r="B110">
            <v>21600000</v>
          </cell>
          <cell r="C110">
            <v>21699999</v>
          </cell>
        </row>
        <row r="111">
          <cell r="A111" t="str">
            <v>RoyalTitle</v>
          </cell>
          <cell r="B111">
            <v>21700000</v>
          </cell>
          <cell r="C111">
            <v>21709999</v>
          </cell>
        </row>
        <row r="112">
          <cell r="A112" t="str">
            <v>RoyalTitleCollection</v>
          </cell>
          <cell r="B112">
            <v>21710000</v>
          </cell>
          <cell r="C112">
            <v>21719999</v>
          </cell>
        </row>
        <row r="113">
          <cell r="A113" t="str">
            <v>PubStaff</v>
          </cell>
          <cell r="B113">
            <v>21800000</v>
          </cell>
          <cell r="C113">
            <v>21899999</v>
          </cell>
        </row>
        <row r="114">
          <cell r="A114" t="str">
            <v>CEquip</v>
          </cell>
          <cell r="B114">
            <v>22000000</v>
          </cell>
          <cell r="C114">
            <v>22999999</v>
          </cell>
        </row>
        <row r="115">
          <cell r="A115" t="str">
            <v>Item</v>
          </cell>
          <cell r="B115">
            <v>23000000</v>
          </cell>
          <cell r="C115">
            <v>23999999</v>
          </cell>
        </row>
        <row r="116">
          <cell r="A116" t="str">
            <v>TradeGoods</v>
          </cell>
          <cell r="B116">
            <v>24000000</v>
          </cell>
          <cell r="C116">
            <v>24999999</v>
          </cell>
        </row>
        <row r="117">
          <cell r="A117" t="str">
            <v>Trade</v>
          </cell>
          <cell r="B117">
            <v>25000000</v>
          </cell>
          <cell r="C117">
            <v>25999999</v>
          </cell>
        </row>
        <row r="118">
          <cell r="A118" t="str">
            <v>InvestCompanyRanking</v>
          </cell>
          <cell r="B118">
            <v>27100000</v>
          </cell>
          <cell r="C118">
            <v>27199999</v>
          </cell>
        </row>
        <row r="119">
          <cell r="A119" t="str">
            <v>FaceShape</v>
          </cell>
          <cell r="B119">
            <v>30000000</v>
          </cell>
          <cell r="C119">
            <v>30999999</v>
          </cell>
        </row>
        <row r="120">
          <cell r="A120" t="str">
            <v>BodyShape</v>
          </cell>
          <cell r="B120">
            <v>31000000</v>
          </cell>
          <cell r="C120">
            <v>129999999</v>
          </cell>
        </row>
        <row r="121">
          <cell r="A121" t="str">
            <v>HairShape</v>
          </cell>
          <cell r="B121">
            <v>32000000</v>
          </cell>
          <cell r="C121">
            <v>32999999</v>
          </cell>
        </row>
        <row r="122">
          <cell r="A122" t="str">
            <v>HatShape</v>
          </cell>
          <cell r="B122">
            <v>33000000</v>
          </cell>
          <cell r="C122">
            <v>139999999</v>
          </cell>
        </row>
        <row r="123">
          <cell r="A123" t="str">
            <v>WeaponShape</v>
          </cell>
          <cell r="B123">
            <v>34000000</v>
          </cell>
          <cell r="C123">
            <v>119999999</v>
          </cell>
        </row>
        <row r="124">
          <cell r="A124" t="str">
            <v>CapeShape</v>
          </cell>
          <cell r="B124">
            <v>35000000</v>
          </cell>
          <cell r="C124">
            <v>159999999</v>
          </cell>
        </row>
        <row r="125">
          <cell r="A125" t="str">
            <v>FaceAccShape</v>
          </cell>
          <cell r="B125">
            <v>36000000</v>
          </cell>
          <cell r="C125">
            <v>169999999</v>
          </cell>
        </row>
        <row r="126">
          <cell r="A126" t="str">
            <v>WorldBuff</v>
          </cell>
          <cell r="B126">
            <v>38000000</v>
          </cell>
          <cell r="C126">
            <v>38099999</v>
          </cell>
        </row>
        <row r="127">
          <cell r="A127" t="str">
            <v>Religion</v>
          </cell>
          <cell r="B127">
            <v>38100000</v>
          </cell>
          <cell r="C127">
            <v>38199999</v>
          </cell>
        </row>
        <row r="128">
          <cell r="A128" t="str">
            <v>BuildingBuff</v>
          </cell>
          <cell r="B128">
            <v>38200000</v>
          </cell>
          <cell r="C128">
            <v>38299999</v>
          </cell>
        </row>
        <row r="129">
          <cell r="A129" t="str">
            <v>BuildingContentsUnlock</v>
          </cell>
          <cell r="B129">
            <v>38300000</v>
          </cell>
          <cell r="C129">
            <v>38399999</v>
          </cell>
        </row>
        <row r="130">
          <cell r="A130" t="str">
            <v>BuildingMenu</v>
          </cell>
          <cell r="B130">
            <v>38400000</v>
          </cell>
          <cell r="C130">
            <v>38419999</v>
          </cell>
        </row>
        <row r="131">
          <cell r="A131" t="str">
            <v>MainMenu</v>
          </cell>
          <cell r="B131">
            <v>38420000</v>
          </cell>
          <cell r="C131">
            <v>38499999</v>
          </cell>
        </row>
        <row r="132">
          <cell r="A132" t="str">
            <v>Fortune</v>
          </cell>
          <cell r="B132">
            <v>38510000</v>
          </cell>
          <cell r="C132">
            <v>38519999</v>
          </cell>
        </row>
        <row r="133">
          <cell r="A133" t="str">
            <v>Language</v>
          </cell>
          <cell r="B133">
            <v>39000000</v>
          </cell>
          <cell r="C133">
            <v>39999999</v>
          </cell>
        </row>
        <row r="134">
          <cell r="A134" t="str">
            <v>BuildingNpc</v>
          </cell>
          <cell r="B134">
            <v>40000000</v>
          </cell>
          <cell r="C134">
            <v>40099999</v>
          </cell>
        </row>
        <row r="135">
          <cell r="A135" t="str">
            <v>BankInstallmentSavings</v>
          </cell>
          <cell r="B135">
            <v>40100000</v>
          </cell>
          <cell r="C135">
            <v>40199999</v>
          </cell>
        </row>
        <row r="136">
          <cell r="A136" t="str">
            <v>BankInsurance</v>
          </cell>
          <cell r="B136">
            <v>40200000</v>
          </cell>
          <cell r="C136">
            <v>40299999</v>
          </cell>
        </row>
        <row r="137">
          <cell r="A137" t="str">
            <v>DepartSupply</v>
          </cell>
          <cell r="B137">
            <v>40600000</v>
          </cell>
          <cell r="C137">
            <v>40699999</v>
          </cell>
        </row>
        <row r="138">
          <cell r="A138" t="str">
            <v>ShipyardBuild</v>
          </cell>
          <cell r="B138">
            <v>40800000</v>
          </cell>
          <cell r="C138">
            <v>40899999</v>
          </cell>
        </row>
        <row r="139">
          <cell r="A139" t="str">
            <v>ShipyardShop</v>
          </cell>
          <cell r="B139">
            <v>40900000</v>
          </cell>
          <cell r="C139">
            <v>40999999</v>
          </cell>
        </row>
        <row r="140">
          <cell r="A140" t="str">
            <v>SailorDraft</v>
          </cell>
          <cell r="B140">
            <v>41000000</v>
          </cell>
          <cell r="C140">
            <v>41099999</v>
          </cell>
        </row>
        <row r="141">
          <cell r="A141" t="str">
            <v>MateRecruiting</v>
          </cell>
          <cell r="B141">
            <v>41400000</v>
          </cell>
          <cell r="C141">
            <v>41499999</v>
          </cell>
        </row>
        <row r="142">
          <cell r="A142" t="str">
            <v>MateRecruitingGroup</v>
          </cell>
          <cell r="B142">
            <v>41500000</v>
          </cell>
          <cell r="C142">
            <v>41799999</v>
          </cell>
        </row>
        <row r="143">
          <cell r="A143" t="str">
            <v>AdmissionNpc</v>
          </cell>
          <cell r="B143">
            <v>42000000</v>
          </cell>
          <cell r="C143">
            <v>42099999</v>
          </cell>
        </row>
        <row r="144">
          <cell r="A144" t="str">
            <v>LinerShip</v>
          </cell>
          <cell r="B144">
            <v>43000000</v>
          </cell>
          <cell r="C144">
            <v>43499999</v>
          </cell>
        </row>
        <row r="145">
          <cell r="A145" t="str">
            <v>Shop</v>
          </cell>
          <cell r="B145">
            <v>44100000</v>
          </cell>
          <cell r="C145">
            <v>44399999</v>
          </cell>
        </row>
        <row r="146">
          <cell r="A146" t="str">
            <v>ShipBodyShape</v>
          </cell>
          <cell r="B146">
            <v>45000000</v>
          </cell>
          <cell r="C146">
            <v>45999999</v>
          </cell>
        </row>
        <row r="147">
          <cell r="A147" t="str">
            <v>ShipPartShape</v>
          </cell>
          <cell r="B147">
            <v>46000000</v>
          </cell>
          <cell r="C147">
            <v>46999999</v>
          </cell>
        </row>
        <row r="148">
          <cell r="A148" t="str">
            <v>SailCrest</v>
          </cell>
          <cell r="B148">
            <v>47100000</v>
          </cell>
          <cell r="C148">
            <v>47199999</v>
          </cell>
        </row>
        <row r="149">
          <cell r="A149" t="str">
            <v>SailPattern</v>
          </cell>
          <cell r="B149">
            <v>47200000</v>
          </cell>
          <cell r="C149">
            <v>47299999</v>
          </cell>
        </row>
        <row r="150">
          <cell r="A150" t="str">
            <v>SailPatternColor</v>
          </cell>
          <cell r="B150">
            <v>47300000</v>
          </cell>
          <cell r="C150">
            <v>47399999</v>
          </cell>
        </row>
        <row r="151">
          <cell r="A151" t="str">
            <v>ShipBodyFirstColor</v>
          </cell>
          <cell r="B151">
            <v>47400000</v>
          </cell>
          <cell r="C151">
            <v>47499999</v>
          </cell>
        </row>
        <row r="152">
          <cell r="A152" t="str">
            <v>ShipBodySecondColor</v>
          </cell>
          <cell r="B152">
            <v>47500000</v>
          </cell>
          <cell r="C152">
            <v>47599999</v>
          </cell>
        </row>
        <row r="153">
          <cell r="A153" t="str">
            <v>TownNpcGlobal</v>
          </cell>
          <cell r="B153">
            <v>51000000</v>
          </cell>
          <cell r="C153">
            <v>51999999</v>
          </cell>
        </row>
        <row r="154">
          <cell r="A154" t="str">
            <v>TownNpcGroup</v>
          </cell>
          <cell r="B154">
            <v>52000000</v>
          </cell>
          <cell r="C154">
            <v>52999999</v>
          </cell>
        </row>
        <row r="155">
          <cell r="A155" t="str">
            <v>TownNpcTemplate</v>
          </cell>
          <cell r="B155">
            <v>53000000</v>
          </cell>
          <cell r="C155">
            <v>53999999</v>
          </cell>
        </row>
        <row r="156">
          <cell r="A156" t="str">
            <v>TownAreaSpawner</v>
          </cell>
          <cell r="B156">
            <v>54000000</v>
          </cell>
          <cell r="C156">
            <v>54999999</v>
          </cell>
        </row>
        <row r="157">
          <cell r="A157" t="str">
            <v>TownNpcOnePick</v>
          </cell>
          <cell r="B157">
            <v>55000000</v>
          </cell>
          <cell r="C157">
            <v>55999999</v>
          </cell>
        </row>
        <row r="158">
          <cell r="A158" t="str">
            <v>TownNpcAnimType</v>
          </cell>
          <cell r="B158">
            <v>56000000</v>
          </cell>
          <cell r="C158">
            <v>56999999</v>
          </cell>
        </row>
        <row r="159">
          <cell r="A159" t="str">
            <v>BossRaid</v>
          </cell>
          <cell r="B159">
            <v>57000000</v>
          </cell>
          <cell r="C159">
            <v>57009999</v>
          </cell>
        </row>
        <row r="160">
          <cell r="A160" t="str">
            <v>BossRaidRanking</v>
          </cell>
          <cell r="B160">
            <v>57010000</v>
          </cell>
          <cell r="C160">
            <v>57019999</v>
          </cell>
        </row>
        <row r="161">
          <cell r="A161" t="str">
            <v>BattleTile</v>
          </cell>
          <cell r="B161">
            <v>60000000</v>
          </cell>
          <cell r="C161">
            <v>60099999</v>
          </cell>
        </row>
        <row r="162">
          <cell r="A162" t="str">
            <v>BattleMapObject</v>
          </cell>
          <cell r="B162">
            <v>60200000</v>
          </cell>
          <cell r="C162">
            <v>60299999</v>
          </cell>
        </row>
        <row r="163">
          <cell r="A163" t="str">
            <v>BattleActionRange</v>
          </cell>
          <cell r="B163">
            <v>60300000</v>
          </cell>
          <cell r="C163">
            <v>60399999</v>
          </cell>
        </row>
        <row r="164">
          <cell r="A164" t="str">
            <v>BattleAoeRange</v>
          </cell>
          <cell r="B164">
            <v>60400000</v>
          </cell>
          <cell r="C164">
            <v>60499999</v>
          </cell>
        </row>
        <row r="165">
          <cell r="A165" t="str">
            <v>BattleAiMoveWeight</v>
          </cell>
          <cell r="B165">
            <v>60500000</v>
          </cell>
          <cell r="C165">
            <v>60599999</v>
          </cell>
        </row>
        <row r="166">
          <cell r="A166" t="str">
            <v>BattleAiActionWeight</v>
          </cell>
          <cell r="B166">
            <v>60600000</v>
          </cell>
          <cell r="C166">
            <v>60699999</v>
          </cell>
        </row>
        <row r="167">
          <cell r="A167" t="str">
            <v>AutoMatePassiveFixed</v>
          </cell>
          <cell r="B167">
            <v>60700000</v>
          </cell>
          <cell r="C167">
            <v>60799999</v>
          </cell>
        </row>
        <row r="168">
          <cell r="A168" t="str">
            <v>FleetTemplate</v>
          </cell>
          <cell r="B168">
            <v>61000000</v>
          </cell>
          <cell r="C168">
            <v>61999999</v>
          </cell>
        </row>
        <row r="169">
          <cell r="A169" t="str">
            <v>ShipTemplate</v>
          </cell>
          <cell r="B169">
            <v>62000000</v>
          </cell>
          <cell r="C169">
            <v>62999999</v>
          </cell>
        </row>
        <row r="170">
          <cell r="A170" t="str">
            <v>LoadageRatio</v>
          </cell>
          <cell r="B170">
            <v>62010000</v>
          </cell>
          <cell r="C170">
            <v>62019999</v>
          </cell>
        </row>
        <row r="171">
          <cell r="A171" t="str">
            <v>ShipTemplateGroup</v>
          </cell>
          <cell r="B171">
            <v>62020000</v>
          </cell>
          <cell r="C171">
            <v>62999999</v>
          </cell>
        </row>
        <row r="172">
          <cell r="A172" t="str">
            <v>MateTemplate</v>
          </cell>
          <cell r="B172">
            <v>63000000</v>
          </cell>
          <cell r="C172">
            <v>63999999</v>
          </cell>
        </row>
        <row r="173">
          <cell r="A173" t="str">
            <v>AutoShipEquip</v>
          </cell>
          <cell r="B173">
            <v>64000000</v>
          </cell>
          <cell r="C173">
            <v>64099999</v>
          </cell>
        </row>
        <row r="174">
          <cell r="A174" t="str">
            <v>AutoMateEquip</v>
          </cell>
          <cell r="B174">
            <v>64100000</v>
          </cell>
          <cell r="C174">
            <v>64199999</v>
          </cell>
        </row>
        <row r="175">
          <cell r="A175" t="str">
            <v>BattleFormation</v>
          </cell>
          <cell r="B175">
            <v>64200000</v>
          </cell>
          <cell r="C175">
            <v>64249999</v>
          </cell>
        </row>
        <row r="176">
          <cell r="A176" t="str">
            <v>AnchorTemplate</v>
          </cell>
          <cell r="B176">
            <v>64250000</v>
          </cell>
          <cell r="C176">
            <v>64299999</v>
          </cell>
        </row>
        <row r="177">
          <cell r="A177" t="str">
            <v>BattleMap</v>
          </cell>
          <cell r="B177">
            <v>64300000</v>
          </cell>
          <cell r="C177">
            <v>64499999</v>
          </cell>
        </row>
        <row r="178">
          <cell r="A178" t="str">
            <v>BattleMapGroup</v>
          </cell>
          <cell r="B178">
            <v>64500000</v>
          </cell>
          <cell r="C178">
            <v>64599999</v>
          </cell>
        </row>
        <row r="179">
          <cell r="A179" t="str">
            <v>AutoBattleSkill</v>
          </cell>
          <cell r="B179">
            <v>64600000</v>
          </cell>
          <cell r="C179">
            <v>64699999</v>
          </cell>
        </row>
        <row r="180">
          <cell r="A180" t="str">
            <v>AutoBattlePassive</v>
          </cell>
          <cell r="B180">
            <v>64700000</v>
          </cell>
          <cell r="C180">
            <v>64799999</v>
          </cell>
        </row>
        <row r="181">
          <cell r="A181" t="str">
            <v>EncounterDialog</v>
          </cell>
          <cell r="B181">
            <v>64800000</v>
          </cell>
          <cell r="C181">
            <v>64899999</v>
          </cell>
        </row>
        <row r="182">
          <cell r="A182" t="str">
            <v>AutoMatePassive</v>
          </cell>
          <cell r="B182">
            <v>64900000</v>
          </cell>
          <cell r="C182">
            <v>64999999</v>
          </cell>
        </row>
        <row r="183">
          <cell r="A183" t="str">
            <v>AutoMateSkill</v>
          </cell>
          <cell r="B183">
            <v>65000000</v>
          </cell>
          <cell r="C183">
            <v>65099999</v>
          </cell>
        </row>
        <row r="184">
          <cell r="A184" t="str">
            <v>AutoMateOrder</v>
          </cell>
          <cell r="B184">
            <v>65100000</v>
          </cell>
          <cell r="C184">
            <v>65199999</v>
          </cell>
        </row>
        <row r="185">
          <cell r="A185" t="str">
            <v>AutoJobPassive</v>
          </cell>
          <cell r="B185">
            <v>65200000</v>
          </cell>
          <cell r="C185">
            <v>65299999</v>
          </cell>
        </row>
        <row r="186">
          <cell r="A186" t="str">
            <v>BattleSkill</v>
          </cell>
          <cell r="B186">
            <v>65300000</v>
          </cell>
          <cell r="C186">
            <v>65499999</v>
          </cell>
        </row>
        <row r="187">
          <cell r="A187" t="str">
            <v>BattleBuff</v>
          </cell>
          <cell r="B187">
            <v>65500000</v>
          </cell>
          <cell r="C187">
            <v>65999999</v>
          </cell>
        </row>
        <row r="188">
          <cell r="A188" t="str">
            <v>BattleActiveEffect</v>
          </cell>
          <cell r="B188">
            <v>66000000</v>
          </cell>
          <cell r="C188">
            <v>66999999</v>
          </cell>
        </row>
        <row r="189">
          <cell r="A189" t="str">
            <v>BattlePassiveEffect</v>
          </cell>
          <cell r="B189">
            <v>66100000</v>
          </cell>
          <cell r="C189">
            <v>66199999</v>
          </cell>
        </row>
        <row r="190">
          <cell r="A190" t="str">
            <v>BattleturnBoost</v>
          </cell>
          <cell r="B190">
            <v>66200000</v>
          </cell>
          <cell r="C190">
            <v>66209999</v>
          </cell>
        </row>
        <row r="191">
          <cell r="A191" t="str">
            <v>BattleFaction</v>
          </cell>
          <cell r="B191">
            <v>67000000</v>
          </cell>
          <cell r="C191">
            <v>67000999</v>
          </cell>
        </row>
        <row r="192">
          <cell r="A192" t="str">
            <v>BattlePassive</v>
          </cell>
          <cell r="B192">
            <v>67000000</v>
          </cell>
          <cell r="C192">
            <v>67499999</v>
          </cell>
        </row>
        <row r="193">
          <cell r="A193" t="str">
            <v>AutoBattleOrder</v>
          </cell>
          <cell r="B193">
            <v>67500000</v>
          </cell>
          <cell r="C193">
            <v>67599999</v>
          </cell>
        </row>
        <row r="194">
          <cell r="A194" t="str">
            <v>BattleDuelSkill</v>
          </cell>
          <cell r="B194">
            <v>67600000</v>
          </cell>
          <cell r="C194">
            <v>67699999</v>
          </cell>
        </row>
        <row r="195">
          <cell r="A195" t="str">
            <v>BattleDuelEffect</v>
          </cell>
          <cell r="B195">
            <v>67700000</v>
          </cell>
          <cell r="C195">
            <v>67799999</v>
          </cell>
        </row>
        <row r="196">
          <cell r="A196" t="str">
            <v>BattleTerms</v>
          </cell>
          <cell r="B196">
            <v>67800000</v>
          </cell>
          <cell r="C196">
            <v>68799999</v>
          </cell>
        </row>
        <row r="197">
          <cell r="A197" t="str">
            <v>BattleTermsList</v>
          </cell>
          <cell r="B197">
            <v>68800000</v>
          </cell>
          <cell r="C197">
            <v>68899999</v>
          </cell>
        </row>
        <row r="198">
          <cell r="A198" t="str">
            <v>BattleTod</v>
          </cell>
          <cell r="B198">
            <v>68900000</v>
          </cell>
          <cell r="C198">
            <v>68999999</v>
          </cell>
        </row>
        <row r="199">
          <cell r="A199" t="str">
            <v>BattleTermsGroup</v>
          </cell>
          <cell r="B199">
            <v>69000000</v>
          </cell>
          <cell r="C199">
            <v>69099999</v>
          </cell>
        </row>
        <row r="200">
          <cell r="A200" t="str">
            <v>BattleMissionGroup</v>
          </cell>
          <cell r="B200">
            <v>69100000</v>
          </cell>
          <cell r="C200">
            <v>69199999</v>
          </cell>
        </row>
        <row r="201">
          <cell r="A201" t="str">
            <v>BattleAiPersonality</v>
          </cell>
          <cell r="B201">
            <v>69100000</v>
          </cell>
          <cell r="C201">
            <v>69199999</v>
          </cell>
        </row>
        <row r="202">
          <cell r="A202" t="str">
            <v>BattleAiWeightList</v>
          </cell>
          <cell r="B202">
            <v>69200000</v>
          </cell>
          <cell r="C202">
            <v>69399999</v>
          </cell>
        </row>
        <row r="203">
          <cell r="A203" t="str">
            <v>BattleMapLayer</v>
          </cell>
          <cell r="B203">
            <v>69200000</v>
          </cell>
          <cell r="C203">
            <v>69299999</v>
          </cell>
        </row>
        <row r="204">
          <cell r="A204" t="str">
            <v>ShipClass</v>
          </cell>
          <cell r="B204">
            <v>69300000</v>
          </cell>
          <cell r="C204">
            <v>69399999</v>
          </cell>
        </row>
        <row r="205">
          <cell r="A205" t="str">
            <v>BattleDirectionShipCost</v>
          </cell>
          <cell r="B205">
            <v>70000000</v>
          </cell>
          <cell r="C205">
            <v>70099999</v>
          </cell>
        </row>
        <row r="206">
          <cell r="A206" t="str">
            <v>BattleTileShipCost</v>
          </cell>
          <cell r="B206">
            <v>70000000</v>
          </cell>
          <cell r="C206">
            <v>70099999</v>
          </cell>
        </row>
        <row r="207">
          <cell r="A207" t="str">
            <v>Ship</v>
          </cell>
          <cell r="B207">
            <v>70000000</v>
          </cell>
          <cell r="C207">
            <v>70099999</v>
          </cell>
        </row>
        <row r="208">
          <cell r="A208" t="str">
            <v>ShipSlot</v>
          </cell>
          <cell r="B208">
            <v>70100000</v>
          </cell>
          <cell r="C208">
            <v>70199999</v>
          </cell>
        </row>
        <row r="209">
          <cell r="A209" t="str">
            <v>ShipBlueprint</v>
          </cell>
          <cell r="B209">
            <v>70200000</v>
          </cell>
          <cell r="C209">
            <v>70289999</v>
          </cell>
        </row>
        <row r="210">
          <cell r="A210" t="str">
            <v>ShipCabinRelation</v>
          </cell>
          <cell r="B210">
            <v>70300000</v>
          </cell>
          <cell r="C210">
            <v>70399999</v>
          </cell>
        </row>
        <row r="211">
          <cell r="A211" t="str">
            <v>Discovery</v>
          </cell>
          <cell r="B211">
            <v>70400000</v>
          </cell>
          <cell r="C211">
            <v>70499999</v>
          </cell>
        </row>
        <row r="212">
          <cell r="A212" t="str">
            <v>Village</v>
          </cell>
          <cell r="B212">
            <v>70500000</v>
          </cell>
          <cell r="C212">
            <v>70599999</v>
          </cell>
        </row>
        <row r="213">
          <cell r="A213" t="str">
            <v>VillageDiscoveryGroup</v>
          </cell>
          <cell r="B213">
            <v>70600000</v>
          </cell>
          <cell r="C213">
            <v>70699999</v>
          </cell>
        </row>
        <row r="214">
          <cell r="A214" t="str">
            <v>VillageFriendship</v>
          </cell>
          <cell r="B214">
            <v>70700000</v>
          </cell>
          <cell r="C214">
            <v>70799999</v>
          </cell>
        </row>
        <row r="215">
          <cell r="A215" t="str">
            <v>DiscoveryRanking</v>
          </cell>
          <cell r="B215">
            <v>70800000</v>
          </cell>
          <cell r="C215">
            <v>70899999</v>
          </cell>
        </row>
        <row r="216">
          <cell r="A216" t="str">
            <v>DiscoveryTalk</v>
          </cell>
          <cell r="B216">
            <v>70900000</v>
          </cell>
          <cell r="C216">
            <v>70949999</v>
          </cell>
        </row>
        <row r="217">
          <cell r="A217" t="str">
            <v>DiscoveryText</v>
          </cell>
          <cell r="B217">
            <v>70950000</v>
          </cell>
          <cell r="C217">
            <v>70999999</v>
          </cell>
        </row>
        <row r="218">
          <cell r="A218" t="str">
            <v>GlobalTalk</v>
          </cell>
          <cell r="B218">
            <v>71000000</v>
          </cell>
          <cell r="C218">
            <v>71099999</v>
          </cell>
        </row>
        <row r="219">
          <cell r="A219" t="str">
            <v>OceanTalk</v>
          </cell>
          <cell r="B219">
            <v>71100000</v>
          </cell>
          <cell r="C219">
            <v>71199999</v>
          </cell>
        </row>
        <row r="220">
          <cell r="A220" t="str">
            <v>TownTalk</v>
          </cell>
          <cell r="B220">
            <v>71200000</v>
          </cell>
          <cell r="C220">
            <v>71299999</v>
          </cell>
        </row>
        <row r="221">
          <cell r="A221" t="str">
            <v>BattleTalk</v>
          </cell>
          <cell r="B221">
            <v>71300000</v>
          </cell>
          <cell r="C221">
            <v>71399999</v>
          </cell>
        </row>
        <row r="222">
          <cell r="A222" t="str">
            <v>LandExplore</v>
          </cell>
          <cell r="B222">
            <v>71400000</v>
          </cell>
          <cell r="C222">
            <v>71499999</v>
          </cell>
        </row>
        <row r="223">
          <cell r="A223" t="str">
            <v>LandExploreDiscoveryGroup</v>
          </cell>
          <cell r="B223">
            <v>71500000</v>
          </cell>
          <cell r="C223">
            <v>71599999</v>
          </cell>
        </row>
        <row r="224">
          <cell r="A224" t="str">
            <v>PubStaffTalk</v>
          </cell>
          <cell r="B224">
            <v>71400000</v>
          </cell>
          <cell r="C224">
            <v>71419999</v>
          </cell>
        </row>
        <row r="225">
          <cell r="A225" t="str">
            <v>PubStaffReaction</v>
          </cell>
          <cell r="B225">
            <v>71420000</v>
          </cell>
          <cell r="C225">
            <v>71449999</v>
          </cell>
        </row>
        <row r="226">
          <cell r="A226" t="str">
            <v>PubStaffText</v>
          </cell>
          <cell r="B226">
            <v>71450000</v>
          </cell>
          <cell r="C226">
            <v>71499999</v>
          </cell>
        </row>
        <row r="227">
          <cell r="A227" t="str">
            <v>GlobalText</v>
          </cell>
          <cell r="B227">
            <v>72000000</v>
          </cell>
          <cell r="C227">
            <v>72499999</v>
          </cell>
        </row>
        <row r="228">
          <cell r="A228" t="str">
            <v>FishOceanTile</v>
          </cell>
          <cell r="B228">
            <v>72000000</v>
          </cell>
          <cell r="C228">
            <v>72099999</v>
          </cell>
        </row>
        <row r="229">
          <cell r="A229" t="str">
            <v>FishGrade</v>
          </cell>
          <cell r="B229">
            <v>72100000</v>
          </cell>
          <cell r="C229">
            <v>72199999</v>
          </cell>
        </row>
        <row r="230">
          <cell r="A230" t="str">
            <v>FishDiscoveryGroup</v>
          </cell>
          <cell r="B230">
            <v>72200000</v>
          </cell>
          <cell r="C230">
            <v>72299999</v>
          </cell>
        </row>
        <row r="231">
          <cell r="A231" t="str">
            <v>OceanText</v>
          </cell>
          <cell r="B231">
            <v>72500000</v>
          </cell>
          <cell r="C231">
            <v>72999999</v>
          </cell>
        </row>
        <row r="232">
          <cell r="A232" t="str">
            <v>TownText</v>
          </cell>
          <cell r="B232">
            <v>73000000</v>
          </cell>
          <cell r="C232">
            <v>73499999</v>
          </cell>
        </row>
        <row r="233">
          <cell r="A233" t="str">
            <v>BattleText</v>
          </cell>
          <cell r="B233">
            <v>73500000</v>
          </cell>
          <cell r="C233">
            <v>73999999</v>
          </cell>
        </row>
        <row r="234">
          <cell r="A234" t="str">
            <v>ActiveAction</v>
          </cell>
          <cell r="B234">
            <v>74900000</v>
          </cell>
          <cell r="C234">
            <v>74999999</v>
          </cell>
        </row>
        <row r="235">
          <cell r="A235" t="str">
            <v>WorldSkill</v>
          </cell>
          <cell r="B235">
            <v>75000000</v>
          </cell>
          <cell r="C235">
            <v>75099999</v>
          </cell>
        </row>
        <row r="236">
          <cell r="A236" t="str">
            <v>WorldActiveEffect</v>
          </cell>
          <cell r="B236">
            <v>75100000</v>
          </cell>
          <cell r="C236">
            <v>75199999</v>
          </cell>
        </row>
        <row r="237">
          <cell r="A237" t="str">
            <v>WorldPassive</v>
          </cell>
          <cell r="B237">
            <v>75200000</v>
          </cell>
          <cell r="C237">
            <v>75299999</v>
          </cell>
        </row>
        <row r="238">
          <cell r="A238" t="str">
            <v>WorldPassiveEffect</v>
          </cell>
          <cell r="B238">
            <v>75300000</v>
          </cell>
          <cell r="C238">
            <v>75399999</v>
          </cell>
        </row>
        <row r="239">
          <cell r="A239" t="str">
            <v>WorldTrigger</v>
          </cell>
          <cell r="B239">
            <v>75400000</v>
          </cell>
          <cell r="C239">
            <v>75499999</v>
          </cell>
        </row>
        <row r="240">
          <cell r="A240" t="str">
            <v>ShipEnchant</v>
          </cell>
          <cell r="B240">
            <v>76000000</v>
          </cell>
          <cell r="C240">
            <v>76099999</v>
          </cell>
        </row>
        <row r="241">
          <cell r="A241" t="str">
            <v>ShipEnchantStatRatio</v>
          </cell>
          <cell r="B241">
            <v>76100000</v>
          </cell>
          <cell r="C241">
            <v>76199999</v>
          </cell>
        </row>
        <row r="242">
          <cell r="A242" t="str">
            <v>MaterialEffect</v>
          </cell>
          <cell r="B242">
            <v>76200000</v>
          </cell>
          <cell r="C242">
            <v>76210000</v>
          </cell>
        </row>
        <row r="243">
          <cell r="A243" t="str">
            <v>LandFeature</v>
          </cell>
          <cell r="B243">
            <v>77000000</v>
          </cell>
          <cell r="C243">
            <v>77099999</v>
          </cell>
        </row>
        <row r="244">
          <cell r="A244" t="str">
            <v>LandFeatureGroup</v>
          </cell>
          <cell r="B244">
            <v>77100000</v>
          </cell>
          <cell r="C244">
            <v>77199999</v>
          </cell>
        </row>
        <row r="245">
          <cell r="A245" t="str">
            <v>AdventureEventSpot</v>
          </cell>
          <cell r="B245">
            <v>77200000</v>
          </cell>
          <cell r="C245">
            <v>77299999</v>
          </cell>
        </row>
        <row r="246">
          <cell r="A246" t="str">
            <v>AdventureEventReward</v>
          </cell>
          <cell r="B246">
            <v>77300000</v>
          </cell>
          <cell r="C246">
            <v>77399999</v>
          </cell>
        </row>
        <row r="247">
          <cell r="A247" t="str">
            <v>AdventureSpecialEffect</v>
          </cell>
          <cell r="B247">
            <v>77400000</v>
          </cell>
          <cell r="C247">
            <v>77499999</v>
          </cell>
        </row>
        <row r="248">
          <cell r="A248" t="str">
            <v>AdventureItemFunction</v>
          </cell>
          <cell r="B248">
            <v>77500000</v>
          </cell>
          <cell r="C248">
            <v>77599999</v>
          </cell>
        </row>
        <row r="249">
          <cell r="A249" t="str">
            <v>AdventureDiscoveryGroup</v>
          </cell>
          <cell r="B249">
            <v>77600000</v>
          </cell>
          <cell r="C249">
            <v>77699999</v>
          </cell>
        </row>
        <row r="250">
          <cell r="A250" t="str">
            <v>AdventureEventMode</v>
          </cell>
          <cell r="B250">
            <v>77700000</v>
          </cell>
          <cell r="C250">
            <v>77799999</v>
          </cell>
        </row>
        <row r="251">
          <cell r="A251" t="str">
            <v>BattleChallenge</v>
          </cell>
          <cell r="B251">
            <v>79000000</v>
          </cell>
          <cell r="C251">
            <v>79099999</v>
          </cell>
        </row>
        <row r="252">
          <cell r="A252" t="str">
            <v>Achievement</v>
          </cell>
          <cell r="B252">
            <v>80000000</v>
          </cell>
          <cell r="C252">
            <v>80999999</v>
          </cell>
        </row>
        <row r="253">
          <cell r="A253" t="str">
            <v>ContentsTerms</v>
          </cell>
          <cell r="B253">
            <v>81000000</v>
          </cell>
          <cell r="C253">
            <v>81999999</v>
          </cell>
        </row>
        <row r="254">
          <cell r="A254" t="str">
            <v>Quest</v>
          </cell>
          <cell r="B254">
            <v>82000000</v>
          </cell>
          <cell r="C254">
            <v>82999999</v>
          </cell>
        </row>
        <row r="255">
          <cell r="A255" t="str">
            <v>QuestNode</v>
          </cell>
          <cell r="B255">
            <v>83000000</v>
          </cell>
          <cell r="C255">
            <v>83999999</v>
          </cell>
        </row>
        <row r="256">
          <cell r="A256" t="str">
            <v>RequestGroup</v>
          </cell>
          <cell r="B256">
            <v>84000000</v>
          </cell>
          <cell r="C256">
            <v>84499999</v>
          </cell>
        </row>
        <row r="257">
          <cell r="A257" t="str">
            <v>BurstGroup</v>
          </cell>
          <cell r="B257">
            <v>84500000</v>
          </cell>
          <cell r="C257">
            <v>84999999</v>
          </cell>
        </row>
        <row r="258">
          <cell r="A258" t="str">
            <v>Task</v>
          </cell>
          <cell r="B258">
            <v>85000000</v>
          </cell>
          <cell r="C258">
            <v>85999999</v>
          </cell>
        </row>
        <row r="259">
          <cell r="A259" t="str">
            <v>QuestTerms</v>
          </cell>
          <cell r="B259">
            <v>86000000</v>
          </cell>
          <cell r="C259">
            <v>86999999</v>
          </cell>
        </row>
        <row r="260">
          <cell r="A260" t="str">
            <v>AchievementTerms</v>
          </cell>
          <cell r="B260">
            <v>87000000</v>
          </cell>
          <cell r="C260">
            <v>87999999</v>
          </cell>
        </row>
        <row r="261">
          <cell r="A261" t="str">
            <v>RoyalOrderGroup</v>
          </cell>
          <cell r="B261">
            <v>88000000</v>
          </cell>
          <cell r="C261">
            <v>88999999</v>
          </cell>
        </row>
        <row r="262">
          <cell r="A262" t="str">
            <v>QuestGoal</v>
          </cell>
          <cell r="B262">
            <v>89000000</v>
          </cell>
          <cell r="C262">
            <v>89999999</v>
          </cell>
        </row>
        <row r="263">
          <cell r="A263" t="str">
            <v>Reward</v>
          </cell>
          <cell r="B263">
            <v>90000000</v>
          </cell>
          <cell r="C263">
            <v>90999999</v>
          </cell>
        </row>
        <row r="264">
          <cell r="A264" t="str">
            <v>RewardDropPool</v>
          </cell>
          <cell r="B264">
            <v>91000000</v>
          </cell>
          <cell r="C264">
            <v>91999999</v>
          </cell>
        </row>
        <row r="265">
          <cell r="A265" t="str">
            <v>Mail</v>
          </cell>
          <cell r="B265">
            <v>92000000</v>
          </cell>
          <cell r="C265">
            <v>92999999</v>
          </cell>
        </row>
        <row r="266">
          <cell r="A266" t="str">
            <v>QuestPayment</v>
          </cell>
          <cell r="B266">
            <v>93000000</v>
          </cell>
          <cell r="C266">
            <v>93999999</v>
          </cell>
        </row>
        <row r="267">
          <cell r="A267" t="str">
            <v>RewardFixed</v>
          </cell>
          <cell r="B267">
            <v>94000000</v>
          </cell>
          <cell r="C267">
            <v>95999999</v>
          </cell>
        </row>
        <row r="268">
          <cell r="A268" t="str">
            <v>SoundEvent</v>
          </cell>
          <cell r="B268">
            <v>96000000</v>
          </cell>
          <cell r="C268">
            <v>96999999</v>
          </cell>
        </row>
        <row r="269">
          <cell r="A269" t="str">
            <v>SoundGroup</v>
          </cell>
          <cell r="B269">
            <v>97000000</v>
          </cell>
          <cell r="C269">
            <v>97999999</v>
          </cell>
        </row>
        <row r="270">
          <cell r="A270" t="str">
            <v>Sound</v>
          </cell>
          <cell r="B270">
            <v>98000000</v>
          </cell>
          <cell r="C270">
            <v>98999999</v>
          </cell>
        </row>
        <row r="271">
          <cell r="A271" t="str">
            <v>SoundManagement</v>
          </cell>
          <cell r="B271">
            <v>99000000</v>
          </cell>
          <cell r="C271">
            <v>99099999</v>
          </cell>
        </row>
        <row r="272">
          <cell r="A272" t="str">
            <v>QuestPass</v>
          </cell>
          <cell r="B272">
            <v>99100000</v>
          </cell>
          <cell r="C272">
            <v>99199999</v>
          </cell>
        </row>
        <row r="273">
          <cell r="A273" t="str">
            <v>ButtonStatus</v>
          </cell>
          <cell r="B273">
            <v>99200000</v>
          </cell>
          <cell r="C273">
            <v>99209999</v>
          </cell>
        </row>
        <row r="274">
          <cell r="A274" t="str">
            <v>Emoticon</v>
          </cell>
          <cell r="B274">
            <v>99210000</v>
          </cell>
          <cell r="C274">
            <v>99219999</v>
          </cell>
        </row>
        <row r="275">
          <cell r="A275" t="str">
            <v>SystemMessage</v>
          </cell>
          <cell r="B275">
            <v>99220000</v>
          </cell>
          <cell r="C275">
            <v>99229999</v>
          </cell>
        </row>
        <row r="276">
          <cell r="A276" t="str">
            <v>ButtonStatusTerms</v>
          </cell>
          <cell r="B276">
            <v>99230000</v>
          </cell>
          <cell r="C276">
            <v>99239999</v>
          </cell>
        </row>
        <row r="277">
          <cell r="A277" t="str">
            <v>EventPage</v>
          </cell>
          <cell r="B277">
            <v>99300000</v>
          </cell>
          <cell r="C277">
            <v>99399999</v>
          </cell>
        </row>
        <row r="278">
          <cell r="A278" t="str">
            <v>Attendance</v>
          </cell>
          <cell r="B278">
            <v>99400000</v>
          </cell>
          <cell r="C278">
            <v>99499999</v>
          </cell>
        </row>
        <row r="279">
          <cell r="A279" t="str">
            <v>EventMission</v>
          </cell>
          <cell r="B279">
            <v>99500000</v>
          </cell>
          <cell r="C279">
            <v>99599999</v>
          </cell>
        </row>
        <row r="280">
          <cell r="A280" t="str">
            <v>SocialAnimation</v>
          </cell>
          <cell r="B280">
            <v>99600000</v>
          </cell>
          <cell r="C280">
            <v>99699999</v>
          </cell>
        </row>
        <row r="281">
          <cell r="A281" t="str">
            <v>EventTask</v>
          </cell>
          <cell r="B281">
            <v>99700000</v>
          </cell>
          <cell r="C281">
            <v>99799999</v>
          </cell>
        </row>
        <row r="282">
          <cell r="A282" t="str">
            <v>LiveEvent</v>
          </cell>
          <cell r="B282">
            <v>99800000</v>
          </cell>
          <cell r="C282">
            <v>99809999</v>
          </cell>
        </row>
        <row r="283">
          <cell r="A283" t="str">
            <v>EventRequestGroup</v>
          </cell>
          <cell r="B283">
            <v>99810000</v>
          </cell>
          <cell r="C283">
            <v>99849999</v>
          </cell>
        </row>
        <row r="284">
          <cell r="A284" t="str">
            <v>UWO 테이블 정리 - Google Sheets</v>
          </cell>
        </row>
        <row r="285">
          <cell r="A285" t="str">
            <v>로 이전 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">
          <cell r="A1" t="str">
            <v>id</v>
          </cell>
        </row>
        <row r="2">
          <cell r="A2" t="str">
            <v>key:100000~199999</v>
          </cell>
        </row>
        <row r="3">
          <cell r="A3" t="str">
            <v>:required</v>
          </cell>
        </row>
        <row r="4">
          <cell r="A4" t="str">
            <v>:min</v>
          </cell>
        </row>
        <row r="5">
          <cell r="A5" t="str">
            <v>:max</v>
          </cell>
        </row>
        <row r="6">
          <cell r="A6" t="str">
            <v>:enum</v>
          </cell>
        </row>
        <row r="7">
          <cell r="A7" t="str">
            <v>:asset</v>
          </cell>
        </row>
        <row r="8">
          <cell r="A8" t="str">
            <v>:links</v>
          </cell>
        </row>
        <row r="9">
          <cell r="A9">
            <v>100001</v>
          </cell>
          <cell r="B9" t="str">
            <v>두카트</v>
          </cell>
        </row>
        <row r="10">
          <cell r="A10">
            <v>100002</v>
          </cell>
          <cell r="B10" t="str">
            <v>잔고</v>
          </cell>
        </row>
        <row r="11">
          <cell r="A11">
            <v>100003</v>
          </cell>
          <cell r="B11" t="str">
            <v>블루젬</v>
          </cell>
        </row>
        <row r="12">
          <cell r="A12">
            <v>100004</v>
          </cell>
          <cell r="B12" t="str">
            <v>레드젬</v>
          </cell>
        </row>
        <row r="13">
          <cell r="A13">
            <v>100005</v>
          </cell>
          <cell r="B13" t="str">
            <v>행동력</v>
          </cell>
        </row>
        <row r="14">
          <cell r="A14">
            <v>100006</v>
          </cell>
          <cell r="B14" t="str">
            <v>마일리지</v>
          </cell>
        </row>
        <row r="15">
          <cell r="A15">
            <v>100007</v>
          </cell>
          <cell r="B15" t="str">
            <v>업적 점수</v>
          </cell>
        </row>
        <row r="16">
          <cell r="A16">
            <v>100008</v>
          </cell>
          <cell r="B16" t="str">
            <v>상자 교환권</v>
          </cell>
        </row>
        <row r="17">
          <cell r="A17">
            <v>100009</v>
          </cell>
          <cell r="B17" t="str">
            <v>레드젬(유료용)</v>
          </cell>
        </row>
        <row r="18">
          <cell r="A18">
            <v>100010</v>
          </cell>
          <cell r="B18" t="str">
            <v>공헌도</v>
          </cell>
        </row>
        <row r="19">
          <cell r="A19">
            <v>100011</v>
          </cell>
          <cell r="B19" t="str">
            <v>상회 화폐</v>
          </cell>
        </row>
        <row r="20">
          <cell r="A20">
            <v>100012</v>
          </cell>
          <cell r="B20" t="str">
            <v>모의전 입장권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 t="str">
            <v>id</v>
          </cell>
        </row>
        <row r="2">
          <cell r="A2" t="str">
            <v>key:94000000~95999999</v>
          </cell>
        </row>
        <row r="3">
          <cell r="A3" t="str">
            <v>:required</v>
          </cell>
        </row>
        <row r="4">
          <cell r="A4" t="str">
            <v>:min</v>
          </cell>
        </row>
        <row r="5">
          <cell r="A5" t="str">
            <v>:max</v>
          </cell>
        </row>
        <row r="6">
          <cell r="A6" t="str">
            <v>:enum</v>
          </cell>
        </row>
        <row r="7">
          <cell r="A7" t="str">
            <v>:links</v>
          </cell>
        </row>
        <row r="8">
          <cell r="A8">
            <v>94000000</v>
          </cell>
          <cell r="B8" t="str">
            <v>신규 캐릭터 보상</v>
          </cell>
        </row>
        <row r="9">
          <cell r="A9">
            <v>94000001</v>
          </cell>
          <cell r="B9" t="str">
            <v>우편 보상 테스트용2</v>
          </cell>
        </row>
        <row r="10">
          <cell r="A10">
            <v>94000002</v>
          </cell>
          <cell r="B10" t="str">
            <v>우편 보상 테스트용3</v>
          </cell>
        </row>
        <row r="11">
          <cell r="A11">
            <v>94000003</v>
          </cell>
          <cell r="B11" t="str">
            <v>우편 보상 테스트용4</v>
          </cell>
        </row>
        <row r="12">
          <cell r="A12">
            <v>94000004</v>
          </cell>
          <cell r="B12" t="str">
            <v>우편 보상 테스트용5</v>
          </cell>
        </row>
        <row r="13">
          <cell r="A13">
            <v>94000005</v>
          </cell>
          <cell r="B13" t="str">
            <v>우편 보상 테스트용6</v>
          </cell>
        </row>
        <row r="14">
          <cell r="A14">
            <v>94000006</v>
          </cell>
          <cell r="B14" t="str">
            <v>알 베자스 시나리오 - 자한 사림</v>
          </cell>
        </row>
        <row r="15">
          <cell r="A15">
            <v>94000007</v>
          </cell>
          <cell r="B15" t="str">
            <v>알 베자스 시나리오 - 50000 두카트</v>
          </cell>
        </row>
        <row r="16">
          <cell r="A16">
            <v>94000008</v>
          </cell>
          <cell r="B16" t="str">
            <v>알 베자스 시나리오 - 10000 두카트</v>
          </cell>
        </row>
        <row r="17">
          <cell r="A17">
            <v>94000009</v>
          </cell>
          <cell r="B17" t="str">
            <v>알 베자스 시나리오 - 고양이</v>
          </cell>
        </row>
        <row r="18">
          <cell r="A18">
            <v>94000010</v>
          </cell>
          <cell r="B18" t="str">
            <v>알 베자스 시나리오 - 초기 선박</v>
          </cell>
        </row>
        <row r="19">
          <cell r="A19">
            <v>94000011</v>
          </cell>
          <cell r="B19" t="str">
            <v>알 베자스 시나리오 - 500만 두카트</v>
          </cell>
        </row>
        <row r="20">
          <cell r="A20">
            <v>94000012</v>
          </cell>
          <cell r="B20" t="str">
            <v>알 베자스 시나리오 - 100만 두카트</v>
          </cell>
        </row>
        <row r="21">
          <cell r="A21">
            <v>94000013</v>
          </cell>
          <cell r="B21" t="str">
            <v>알 베자스 시나리오 - 2000만 두카트</v>
          </cell>
        </row>
        <row r="22">
          <cell r="A22">
            <v>94000014</v>
          </cell>
          <cell r="B22" t="str">
            <v>알 베자스 시나리오 - 400만 두카트</v>
          </cell>
        </row>
        <row r="23">
          <cell r="A23">
            <v>94000015</v>
          </cell>
          <cell r="B23" t="str">
            <v>알 베자스 시나리오 - 1000만 두카트</v>
          </cell>
        </row>
        <row r="24">
          <cell r="A24">
            <v>94000016</v>
          </cell>
          <cell r="B24" t="str">
            <v>알 베자스 시나리오 - Ep1 완료(자한 사림 보유)</v>
          </cell>
        </row>
        <row r="25">
          <cell r="A25">
            <v>94000017</v>
          </cell>
          <cell r="B25" t="str">
            <v>알 베자스 시나리오 - Ep2 완료</v>
          </cell>
        </row>
        <row r="26">
          <cell r="A26">
            <v>94000018</v>
          </cell>
          <cell r="B26" t="str">
            <v>알 베자스 시나리오 - Ep1 완료</v>
          </cell>
        </row>
        <row r="27">
          <cell r="A27">
            <v>94000019</v>
          </cell>
          <cell r="B27" t="str">
            <v>알 베자스 시나리오 - Ep4 완료</v>
          </cell>
        </row>
        <row r="28">
          <cell r="A28">
            <v>94000020</v>
          </cell>
          <cell r="B28" t="str">
            <v>알 베자스 시나리오 - Ep5 완료</v>
          </cell>
        </row>
        <row r="29">
          <cell r="A29">
            <v>94000021</v>
          </cell>
          <cell r="B29" t="str">
            <v>알 베자스 시나리오 - Ep6 완료</v>
          </cell>
        </row>
        <row r="30">
          <cell r="A30">
            <v>94000022</v>
          </cell>
          <cell r="B30" t="str">
            <v>알 베자스 시나리오 - Ep7 완료</v>
          </cell>
        </row>
        <row r="31">
          <cell r="A31">
            <v>94000023</v>
          </cell>
          <cell r="B31" t="str">
            <v>알 베자스 시나리오 - Ep8 완료</v>
          </cell>
        </row>
        <row r="32">
          <cell r="A32">
            <v>94000024</v>
          </cell>
          <cell r="B32" t="str">
            <v>알 베자스 시나리오 - Ep9 완료</v>
          </cell>
        </row>
        <row r="33">
          <cell r="A33">
            <v>94000025</v>
          </cell>
          <cell r="B33" t="str">
            <v>알 베자스 시나리오 - Ep10 완료</v>
          </cell>
        </row>
        <row r="34">
          <cell r="A34">
            <v>94000026</v>
          </cell>
          <cell r="B34" t="str">
            <v>알 베자스 시나리오 - Ep11 완료</v>
          </cell>
        </row>
        <row r="35">
          <cell r="A35">
            <v>94000027</v>
          </cell>
          <cell r="B35" t="str">
            <v>알 베자스 시나리오 - Ep12 완료</v>
          </cell>
        </row>
        <row r="36">
          <cell r="A36">
            <v>94000028</v>
          </cell>
          <cell r="B36" t="str">
            <v>알 베자스 시나리오 - Ep13 완료</v>
          </cell>
        </row>
        <row r="37">
          <cell r="A37">
            <v>94000029</v>
          </cell>
          <cell r="B37" t="str">
            <v>알 베자스 시나리오 - Ep14 완료</v>
          </cell>
        </row>
        <row r="38">
          <cell r="A38">
            <v>94000030</v>
          </cell>
          <cell r="B38" t="str">
            <v>알 베자스 시나리오 - Ep15 완료</v>
          </cell>
        </row>
        <row r="39">
          <cell r="A39">
            <v>94000031</v>
          </cell>
          <cell r="B39" t="str">
            <v>알 베자스 시나리오 - Ep16 완료</v>
          </cell>
        </row>
        <row r="40">
          <cell r="A40">
            <v>94000032</v>
          </cell>
          <cell r="B40" t="str">
            <v>알 베자스 시나리오 - Ep17 완료</v>
          </cell>
        </row>
        <row r="41">
          <cell r="A41">
            <v>94000033</v>
          </cell>
          <cell r="B41" t="str">
            <v>알 베자스 시나리오 - Ep18 완료</v>
          </cell>
        </row>
        <row r="42">
          <cell r="A42">
            <v>94000034</v>
          </cell>
          <cell r="B42" t="str">
            <v>알 베자스 시나리오 - Ep19 완료</v>
          </cell>
        </row>
        <row r="43">
          <cell r="A43">
            <v>94000035</v>
          </cell>
          <cell r="B43" t="str">
            <v>카탈리나 에란초 시나리오 - Ep1 완료</v>
          </cell>
        </row>
        <row r="44">
          <cell r="A44">
            <v>94000036</v>
          </cell>
          <cell r="B44" t="str">
            <v>카탈리나 에란초 시나리오 - Ep2 완료</v>
          </cell>
        </row>
        <row r="45">
          <cell r="A45">
            <v>94000037</v>
          </cell>
          <cell r="B45" t="str">
            <v>카탈리나 에란초 시나리오 - Ep3 완료</v>
          </cell>
        </row>
        <row r="46">
          <cell r="A46">
            <v>94000038</v>
          </cell>
          <cell r="B46" t="str">
            <v>카탈리나 에란초 시나리오 - Ep4 완료</v>
          </cell>
        </row>
        <row r="47">
          <cell r="A47">
            <v>94000039</v>
          </cell>
          <cell r="B47" t="str">
            <v>카탈리나 에란초 시나리오 - Ep5 완료</v>
          </cell>
        </row>
        <row r="48">
          <cell r="A48">
            <v>94000040</v>
          </cell>
          <cell r="B48" t="str">
            <v>카탈리나 에란초 시나리오 - Ep6 완료</v>
          </cell>
        </row>
        <row r="49">
          <cell r="A49">
            <v>94000041</v>
          </cell>
          <cell r="B49" t="str">
            <v>카탈리나 에란초 시나리오 - Ep7 완료</v>
          </cell>
        </row>
        <row r="50">
          <cell r="A50">
            <v>94000042</v>
          </cell>
          <cell r="B50" t="str">
            <v>카탈리나 에란초 시나리오 - Ep8 완료</v>
          </cell>
        </row>
        <row r="51">
          <cell r="A51">
            <v>94000043</v>
          </cell>
          <cell r="B51" t="str">
            <v>카탈리나 에란초 시나리오 - Ep9 완료</v>
          </cell>
        </row>
        <row r="52">
          <cell r="A52">
            <v>94000044</v>
          </cell>
          <cell r="B52" t="str">
            <v>카탈리나 에란초 시나리오 - Ep10 완료</v>
          </cell>
        </row>
        <row r="53">
          <cell r="A53">
            <v>94000045</v>
          </cell>
          <cell r="B53" t="str">
            <v>카탈리나 에란초 시나리오 - Ep11 완료</v>
          </cell>
        </row>
        <row r="54">
          <cell r="A54">
            <v>94000046</v>
          </cell>
          <cell r="B54" t="str">
            <v>카탈리나 에란초 시나리오 - Ep12 완료</v>
          </cell>
        </row>
        <row r="55">
          <cell r="A55">
            <v>94000047</v>
          </cell>
          <cell r="B55" t="str">
            <v>카탈리나 에란초 시나리오 - Ep13 완료</v>
          </cell>
        </row>
        <row r="56">
          <cell r="A56">
            <v>94000048</v>
          </cell>
          <cell r="B56" t="str">
            <v>카탈리나 에란초 시나리오 - Ep14 완료</v>
          </cell>
        </row>
        <row r="57">
          <cell r="A57">
            <v>94000049</v>
          </cell>
          <cell r="B57" t="str">
            <v>카탈리나 에란초 시나리오 - Ep15 완료</v>
          </cell>
        </row>
        <row r="58">
          <cell r="A58">
            <v>94000050</v>
          </cell>
          <cell r="B58" t="str">
            <v>카탈리나 에란초 시나리오 - Ep16 완료</v>
          </cell>
        </row>
        <row r="59">
          <cell r="A59">
            <v>94000051</v>
          </cell>
          <cell r="B59" t="str">
            <v>카탈리나 에란초 시나리오 - Ep17 완료</v>
          </cell>
        </row>
        <row r="60">
          <cell r="A60">
            <v>94000052</v>
          </cell>
          <cell r="B60" t="str">
            <v>카탈리나 에란초 시나리오 - Ep18 완료</v>
          </cell>
        </row>
        <row r="61">
          <cell r="A61">
            <v>94000053</v>
          </cell>
          <cell r="B61" t="str">
            <v>카탈리나 에란초 시나리오 - Ep19 완료</v>
          </cell>
        </row>
        <row r="62">
          <cell r="A62">
            <v>94000054</v>
          </cell>
          <cell r="B62" t="str">
            <v>카탈리나 에란초 시나리오 - Ep20 완료</v>
          </cell>
        </row>
        <row r="63">
          <cell r="A63">
            <v>94000055</v>
          </cell>
          <cell r="B63" t="str">
            <v>카탈리나 에란초 시나리오 - Ep21 완료</v>
          </cell>
        </row>
        <row r="64">
          <cell r="A64">
            <v>94000056</v>
          </cell>
          <cell r="B64" t="str">
            <v>카탈리나 에란초 시나리오 - Ep22 완료</v>
          </cell>
        </row>
        <row r="65">
          <cell r="A65">
            <v>94000057</v>
          </cell>
          <cell r="B65" t="str">
            <v>카탈리나 에란초 시나리오 - Ep23 완료</v>
          </cell>
        </row>
        <row r="66">
          <cell r="A66">
            <v>94000058</v>
          </cell>
          <cell r="B66" t="str">
            <v>카탈리나 에란초 시나리오 - Ep24 완료</v>
          </cell>
        </row>
        <row r="67">
          <cell r="A67">
            <v>94000059</v>
          </cell>
          <cell r="B67" t="str">
            <v>카탈리나 에란초 시나리오 - Ep25 완료</v>
          </cell>
        </row>
        <row r="68">
          <cell r="A68">
            <v>94000060</v>
          </cell>
          <cell r="B68" t="str">
            <v>카탈리나 에란초 시나리오 - Ep26 완료</v>
          </cell>
        </row>
        <row r="69">
          <cell r="A69">
            <v>94000061</v>
          </cell>
          <cell r="B69" t="str">
            <v>조안 페레로 시나리오 - 은제 머리 장식</v>
          </cell>
        </row>
        <row r="70">
          <cell r="A70">
            <v>94000062</v>
          </cell>
          <cell r="B70" t="str">
            <v>조안 페레로 시나리오 - 레온의 돈</v>
          </cell>
        </row>
        <row r="71">
          <cell r="A71">
            <v>94000063</v>
          </cell>
          <cell r="B71" t="str">
            <v>조안 페레로 시나리오 - 사제의 돈</v>
          </cell>
        </row>
        <row r="72">
          <cell r="A72">
            <v>94000064</v>
          </cell>
          <cell r="B72" t="str">
            <v>조안 페레로 시나리오 - 레이피어</v>
          </cell>
        </row>
        <row r="73">
          <cell r="A73">
            <v>94000065</v>
          </cell>
          <cell r="B73" t="str">
            <v>조안 페레로 시나리오 - 용돈</v>
          </cell>
        </row>
        <row r="74">
          <cell r="A74">
            <v>94000066</v>
          </cell>
          <cell r="B74" t="str">
            <v>조안 페레로 시나리오 - 로코</v>
          </cell>
        </row>
        <row r="75">
          <cell r="A75">
            <v>94000067</v>
          </cell>
          <cell r="B75" t="str">
            <v>조안 페레로 시나리오 - 엔리코</v>
          </cell>
        </row>
        <row r="76">
          <cell r="A76">
            <v>94000068</v>
          </cell>
          <cell r="B76" t="str">
            <v>조안 페레로 시나리오 - 레온의 포상</v>
          </cell>
        </row>
        <row r="77">
          <cell r="A77">
            <v>94000069</v>
          </cell>
          <cell r="B77" t="str">
            <v>조안 페레로 시나리오 - 초기 선박</v>
          </cell>
        </row>
        <row r="78">
          <cell r="A78">
            <v>94000070</v>
          </cell>
          <cell r="B78" t="str">
            <v>조안 페레로 시나리오 - 악숨의 보관</v>
          </cell>
        </row>
        <row r="79">
          <cell r="A79">
            <v>94000071</v>
          </cell>
          <cell r="B79" t="str">
            <v>조안 페레로 시나리오 - 마르코 히든 이벤트</v>
          </cell>
        </row>
        <row r="80">
          <cell r="A80">
            <v>94000080</v>
          </cell>
          <cell r="B80" t="str">
            <v>카탈리나 에란초 시나리오 - 유품</v>
          </cell>
        </row>
        <row r="81">
          <cell r="A81">
            <v>94000081</v>
          </cell>
          <cell r="B81" t="str">
            <v>퀘스트 선지급 테스트1</v>
          </cell>
        </row>
        <row r="82">
          <cell r="A82">
            <v>94000082</v>
          </cell>
          <cell r="B82" t="str">
            <v>퀘스트 보상 테스트1</v>
          </cell>
        </row>
        <row r="83">
          <cell r="A83">
            <v>94000083</v>
          </cell>
          <cell r="B83" t="str">
            <v>카탈리나 에란초 시나리오 - 마르코 히든 이벤트</v>
          </cell>
        </row>
        <row r="84">
          <cell r="A84">
            <v>94000084</v>
          </cell>
          <cell r="B84" t="str">
            <v>카탈리나 에란초 시나리오 - 메콘베 히든 이벤트</v>
          </cell>
        </row>
        <row r="85">
          <cell r="A85">
            <v>94000085</v>
          </cell>
          <cell r="B85" t="str">
            <v>조안 페레로 시나리오 - Ep1 완료</v>
          </cell>
        </row>
        <row r="86">
          <cell r="A86">
            <v>94000086</v>
          </cell>
          <cell r="B86" t="str">
            <v>조안 페레로 시나리오 - Ep2 완료</v>
          </cell>
        </row>
        <row r="87">
          <cell r="A87">
            <v>94000087</v>
          </cell>
          <cell r="B87" t="str">
            <v>조안 페레로 시나리오 - Ep3 완료</v>
          </cell>
        </row>
        <row r="88">
          <cell r="A88">
            <v>94000088</v>
          </cell>
          <cell r="B88" t="str">
            <v>조안 페레로 시나리오 - Ep4 완료</v>
          </cell>
        </row>
        <row r="89">
          <cell r="A89">
            <v>94000089</v>
          </cell>
          <cell r="B89" t="str">
            <v>조안 페레로 시나리오 - Ep5 완료</v>
          </cell>
        </row>
        <row r="90">
          <cell r="A90">
            <v>94000090</v>
          </cell>
          <cell r="B90" t="str">
            <v>조안 페레로 시나리오 - Ep6 완료</v>
          </cell>
        </row>
        <row r="91">
          <cell r="A91">
            <v>94000091</v>
          </cell>
          <cell r="B91" t="str">
            <v>조안 페레로 시나리오 - Ep7 완료</v>
          </cell>
        </row>
        <row r="92">
          <cell r="A92">
            <v>94000092</v>
          </cell>
          <cell r="B92" t="str">
            <v>조안 페레로 시나리오 - Ep8 완료</v>
          </cell>
        </row>
        <row r="93">
          <cell r="A93">
            <v>94000093</v>
          </cell>
          <cell r="B93" t="str">
            <v>조안 페레로 시나리오 - Ep9 완료</v>
          </cell>
        </row>
        <row r="94">
          <cell r="A94">
            <v>94000094</v>
          </cell>
          <cell r="B94" t="str">
            <v>조안 페레로 시나리오 - Ep10 완료</v>
          </cell>
        </row>
        <row r="95">
          <cell r="A95">
            <v>94000095</v>
          </cell>
          <cell r="B95" t="str">
            <v>조안 페레로 시나리오 - Ep11 완료</v>
          </cell>
        </row>
        <row r="96">
          <cell r="A96">
            <v>94000096</v>
          </cell>
          <cell r="B96" t="str">
            <v>조안 페레로 시나리오 - Ep12 완료</v>
          </cell>
        </row>
        <row r="97">
          <cell r="A97">
            <v>94000097</v>
          </cell>
          <cell r="B97" t="str">
            <v>조안 페레로 시나리오 - Ep13 완료</v>
          </cell>
        </row>
        <row r="98">
          <cell r="A98">
            <v>94000098</v>
          </cell>
          <cell r="B98" t="str">
            <v>조안 페레로 시나리오 - Ep14 완료</v>
          </cell>
        </row>
        <row r="99">
          <cell r="A99">
            <v>94000099</v>
          </cell>
          <cell r="B99" t="str">
            <v>조안 페레로 시나리오 - Ep15 완료</v>
          </cell>
        </row>
        <row r="100">
          <cell r="A100">
            <v>94000100</v>
          </cell>
          <cell r="B100" t="str">
            <v>조안 페레로 시나리오 - Ep16 완료</v>
          </cell>
        </row>
        <row r="101">
          <cell r="A101">
            <v>94000101</v>
          </cell>
          <cell r="B101" t="str">
            <v>조안 페레로 시나리오 - Ep17 완료</v>
          </cell>
        </row>
        <row r="102">
          <cell r="A102">
            <v>94000102</v>
          </cell>
          <cell r="B102" t="str">
            <v>조안 페레로 시나리오 - Ep18 완료</v>
          </cell>
        </row>
        <row r="103">
          <cell r="A103">
            <v>94000103</v>
          </cell>
          <cell r="B103" t="str">
            <v>조안 페레로 시나리오 - Ep19 완료</v>
          </cell>
        </row>
        <row r="104">
          <cell r="A104">
            <v>94000104</v>
          </cell>
          <cell r="B104" t="str">
            <v>조안 페레로 시나리오 - Ep20 완료</v>
          </cell>
        </row>
        <row r="105">
          <cell r="A105">
            <v>94000105</v>
          </cell>
          <cell r="B105" t="str">
            <v>조안 페레로 시나리오 - Ep21 완료</v>
          </cell>
        </row>
        <row r="106">
          <cell r="A106">
            <v>94000106</v>
          </cell>
          <cell r="B106" t="str">
            <v>임시 튜토리얼 보상 - 은행</v>
          </cell>
        </row>
        <row r="107">
          <cell r="A107">
            <v>94000107</v>
          </cell>
          <cell r="B107" t="str">
            <v>피에트로 콘티 시나리오 - Ep1 완료</v>
          </cell>
        </row>
        <row r="108">
          <cell r="A108">
            <v>94000108</v>
          </cell>
          <cell r="B108" t="str">
            <v>피에트로 콘티 시나리오 - Ep2 완료</v>
          </cell>
        </row>
        <row r="109">
          <cell r="A109">
            <v>94000109</v>
          </cell>
          <cell r="B109" t="str">
            <v>피에트로 콘티 시나리오 - Ep3 완료</v>
          </cell>
        </row>
        <row r="110">
          <cell r="A110">
            <v>94000110</v>
          </cell>
          <cell r="B110" t="str">
            <v>피에트로 콘티 시나리오 - Ep4 완료</v>
          </cell>
        </row>
        <row r="111">
          <cell r="A111">
            <v>94000111</v>
          </cell>
          <cell r="B111" t="str">
            <v>피에트로 콘티 시나리오 - Ep5 완료</v>
          </cell>
        </row>
        <row r="112">
          <cell r="A112">
            <v>94000112</v>
          </cell>
          <cell r="B112" t="str">
            <v>피에트로 콘티 시나리오 - Ep6 완료</v>
          </cell>
        </row>
        <row r="113">
          <cell r="A113">
            <v>94000113</v>
          </cell>
          <cell r="B113" t="str">
            <v>피에트로 콘티 시나리오 - Ep7 완료</v>
          </cell>
        </row>
        <row r="114">
          <cell r="A114">
            <v>94000114</v>
          </cell>
          <cell r="B114" t="str">
            <v>피에트로 콘티 시나리오 - Ep8 완료</v>
          </cell>
        </row>
        <row r="115">
          <cell r="A115">
            <v>94000115</v>
          </cell>
          <cell r="B115" t="str">
            <v>피에트로 콘티 시나리오 - 캐러벨 라티나</v>
          </cell>
        </row>
        <row r="116">
          <cell r="A116">
            <v>94000116</v>
          </cell>
          <cell r="B116" t="str">
            <v>피에트로 콘티 시나리오 - 스폰서 지원</v>
          </cell>
        </row>
        <row r="117">
          <cell r="A117">
            <v>94000117</v>
          </cell>
          <cell r="B117" t="str">
            <v>FGT 2일차 보상</v>
          </cell>
        </row>
        <row r="118">
          <cell r="A118">
            <v>94000118</v>
          </cell>
          <cell r="B118" t="str">
            <v>FGT 3일차 보상</v>
          </cell>
        </row>
        <row r="119">
          <cell r="A119">
            <v>94000119</v>
          </cell>
          <cell r="B119" t="str">
            <v>FGT 4일차 보상</v>
          </cell>
        </row>
        <row r="120">
          <cell r="A120">
            <v>94000120</v>
          </cell>
          <cell r="B120" t="str">
            <v>FGT 5일차 보상</v>
          </cell>
        </row>
        <row r="121">
          <cell r="A121">
            <v>94000121</v>
          </cell>
          <cell r="B121" t="str">
            <v>임시 튜토리얼 보상 - 조합</v>
          </cell>
        </row>
        <row r="122">
          <cell r="A122">
            <v>94000122</v>
          </cell>
          <cell r="B122" t="str">
            <v>옷토 스피노라 시나리오 - Ep1 완료</v>
          </cell>
        </row>
        <row r="123">
          <cell r="A123">
            <v>94000123</v>
          </cell>
          <cell r="B123" t="str">
            <v>옷토 스피노라 시나리오 - Ep2 완료</v>
          </cell>
        </row>
        <row r="124">
          <cell r="A124">
            <v>94000124</v>
          </cell>
          <cell r="B124" t="str">
            <v>옷토 스피노라 시나리오 - Ep3 완료</v>
          </cell>
        </row>
        <row r="125">
          <cell r="A125">
            <v>94000125</v>
          </cell>
          <cell r="B125" t="str">
            <v>옷토 스피노라 시나리오 - Ep4 완료</v>
          </cell>
        </row>
        <row r="126">
          <cell r="A126">
            <v>94000126</v>
          </cell>
          <cell r="B126" t="str">
            <v>옷토 스피노라 시나리오 - Ep5 완료</v>
          </cell>
        </row>
        <row r="127">
          <cell r="A127">
            <v>94000127</v>
          </cell>
          <cell r="B127" t="str">
            <v>옷토 스피노라 시나리오 - Ep6 완료</v>
          </cell>
        </row>
        <row r="128">
          <cell r="A128">
            <v>94000128</v>
          </cell>
          <cell r="B128" t="str">
            <v>옷토 스피노라 시나리오 - Ep7 완료</v>
          </cell>
        </row>
        <row r="129">
          <cell r="A129">
            <v>94000129</v>
          </cell>
          <cell r="B129" t="str">
            <v>옷토 스피노라 시나리오 - Ep8 완료</v>
          </cell>
        </row>
        <row r="130">
          <cell r="A130">
            <v>94000130</v>
          </cell>
          <cell r="B130" t="str">
            <v>옷토 스피노라 시나리오 - Ep9 완료</v>
          </cell>
        </row>
        <row r="131">
          <cell r="A131">
            <v>94000131</v>
          </cell>
          <cell r="B131" t="str">
            <v>옷토 스피노라 시나리오 - Ep10 완료</v>
          </cell>
        </row>
        <row r="132">
          <cell r="A132">
            <v>94000132</v>
          </cell>
          <cell r="B132" t="str">
            <v>옷토 스피노라 시나리오 - Ep11 완료</v>
          </cell>
        </row>
        <row r="133">
          <cell r="A133">
            <v>94000133</v>
          </cell>
          <cell r="B133" t="str">
            <v>옷토 스피노라 시나리오 - 무기 및 사략허가서</v>
          </cell>
        </row>
        <row r="134">
          <cell r="A134">
            <v>94000134</v>
          </cell>
          <cell r="B134" t="str">
            <v>옷토 스피노라 시나리오 - 길버트 자금</v>
          </cell>
        </row>
        <row r="135">
          <cell r="A135">
            <v>94000135</v>
          </cell>
          <cell r="B135" t="str">
            <v>옷토 스피노라 시나리오 - 심플튼</v>
          </cell>
        </row>
        <row r="136">
          <cell r="A136">
            <v>94000136</v>
          </cell>
          <cell r="B136" t="str">
            <v>옷토 스피노라 시나리오 - 최신예함 자금</v>
          </cell>
        </row>
        <row r="137">
          <cell r="A137">
            <v>94000137</v>
          </cell>
          <cell r="B137" t="str">
            <v>밀란다 베르테 시나리오 - Ep1 완료</v>
          </cell>
        </row>
        <row r="138">
          <cell r="A138">
            <v>94000138</v>
          </cell>
          <cell r="B138" t="str">
            <v>밀란다 베르테 시나리오 - Ep2 완료</v>
          </cell>
        </row>
        <row r="139">
          <cell r="A139">
            <v>94000139</v>
          </cell>
          <cell r="B139" t="str">
            <v>밀란다 베르테 시나리오 - Ep3 완료</v>
          </cell>
        </row>
        <row r="140">
          <cell r="A140">
            <v>94000140</v>
          </cell>
          <cell r="B140" t="str">
            <v>밀란다 베르테 시나리오 - Ep4 완료</v>
          </cell>
        </row>
        <row r="141">
          <cell r="A141">
            <v>94000141</v>
          </cell>
          <cell r="B141" t="str">
            <v>밀란다 베르테 시나리오 - Ep5 완료</v>
          </cell>
        </row>
        <row r="142">
          <cell r="A142">
            <v>94000142</v>
          </cell>
          <cell r="B142" t="str">
            <v>밀란다 베르테 시나리오 - Ep6 완료</v>
          </cell>
        </row>
        <row r="143">
          <cell r="A143">
            <v>94000143</v>
          </cell>
          <cell r="B143" t="str">
            <v>밀란다 베르테 시나리오 - Ep7 완료</v>
          </cell>
        </row>
        <row r="144">
          <cell r="A144">
            <v>94000144</v>
          </cell>
          <cell r="B144" t="str">
            <v>밀란다 베르테 시나리오 - Ep8 완료</v>
          </cell>
        </row>
        <row r="145">
          <cell r="A145">
            <v>94000145</v>
          </cell>
          <cell r="B145" t="str">
            <v>밀란다 베르테 시나리오 - Ep9 완료</v>
          </cell>
        </row>
        <row r="146">
          <cell r="A146">
            <v>94000146</v>
          </cell>
          <cell r="B146" t="str">
            <v>밀란다 베르테 시나리오 - Ep10 완료</v>
          </cell>
        </row>
        <row r="147">
          <cell r="A147">
            <v>94000147</v>
          </cell>
          <cell r="B147" t="str">
            <v>밀란다 베르테 시나리오 - Ep11 완료</v>
          </cell>
        </row>
        <row r="148">
          <cell r="A148">
            <v>94000148</v>
          </cell>
          <cell r="B148" t="str">
            <v>밀란다 베르테 시나리오 - Ep12 완료</v>
          </cell>
        </row>
        <row r="149">
          <cell r="A149">
            <v>94000149</v>
          </cell>
          <cell r="B149" t="str">
            <v>밀란다 베르테 시나리오 - Ep13 완료</v>
          </cell>
        </row>
        <row r="150">
          <cell r="A150">
            <v>94000150</v>
          </cell>
          <cell r="B150" t="str">
            <v>밀란다 베르테 시나리오 - Ep14 완료</v>
          </cell>
        </row>
        <row r="151">
          <cell r="A151">
            <v>94000151</v>
          </cell>
          <cell r="B151" t="str">
            <v>밀란다 베르테 시나리오 - Ep15 완료</v>
          </cell>
        </row>
        <row r="152">
          <cell r="A152">
            <v>94000152</v>
          </cell>
          <cell r="B152" t="str">
            <v>밀란다 베르테 시나리오 - Ep16 완료</v>
          </cell>
        </row>
        <row r="153">
          <cell r="A153">
            <v>94000153</v>
          </cell>
          <cell r="B153" t="str">
            <v>밀란다 베르테 시나리오 - Ep17 완료</v>
          </cell>
        </row>
        <row r="154">
          <cell r="A154">
            <v>94000154</v>
          </cell>
          <cell r="B154" t="str">
            <v>밀란다 베르테 시나리오 - Ep18 완료</v>
          </cell>
        </row>
        <row r="155">
          <cell r="A155">
            <v>94000155</v>
          </cell>
          <cell r="B155" t="str">
            <v>밀란다 베르테 시나리오 - Ep19 완료</v>
          </cell>
        </row>
        <row r="156">
          <cell r="A156">
            <v>94000156</v>
          </cell>
          <cell r="B156" t="str">
            <v>밀란다 베르테 시나리오 - Ep20 완료</v>
          </cell>
        </row>
        <row r="157">
          <cell r="A157">
            <v>94000157</v>
          </cell>
          <cell r="B157" t="str">
            <v>밀란다 베르테 시나리오 - Ep21 완료</v>
          </cell>
        </row>
        <row r="158">
          <cell r="A158">
            <v>94000158</v>
          </cell>
          <cell r="B158" t="str">
            <v>밀란다 베르테 시나리오 - Ep22 완료</v>
          </cell>
        </row>
        <row r="159">
          <cell r="A159">
            <v>94000159</v>
          </cell>
          <cell r="B159" t="str">
            <v>밀란다 베르테 시나리오 - Ep23 완료</v>
          </cell>
        </row>
        <row r="160">
          <cell r="A160">
            <v>94000160</v>
          </cell>
          <cell r="B160" t="str">
            <v>밀란다 베르테 시나리오 - Ep24 완료</v>
          </cell>
        </row>
        <row r="161">
          <cell r="A161">
            <v>94000161</v>
          </cell>
          <cell r="B161" t="str">
            <v>밀란다 베르테 시나리오 - Ep25 완료</v>
          </cell>
        </row>
        <row r="162">
          <cell r="A162">
            <v>94000162</v>
          </cell>
          <cell r="B162" t="str">
            <v>밀란다 베르테 시나리오 - Ep26 완료</v>
          </cell>
        </row>
        <row r="163">
          <cell r="A163">
            <v>94000163</v>
          </cell>
          <cell r="B163" t="str">
            <v>밀란다 베르테 시나리오 - Ep27 완료</v>
          </cell>
        </row>
        <row r="164">
          <cell r="A164">
            <v>94000164</v>
          </cell>
          <cell r="B164" t="str">
            <v>밀란다 베르테 시나리오 - 토니오</v>
          </cell>
        </row>
        <row r="165">
          <cell r="A165">
            <v>94000165</v>
          </cell>
          <cell r="B165" t="str">
            <v>밀란다 베르테 시나리오 - 리벳치오</v>
          </cell>
        </row>
        <row r="166">
          <cell r="A166">
            <v>94000166</v>
          </cell>
          <cell r="B166" t="str">
            <v>밀란다 베르테 시나리오 - 엄마 용돈</v>
          </cell>
        </row>
        <row r="167">
          <cell r="A167">
            <v>94000167</v>
          </cell>
          <cell r="B167" t="str">
            <v>밀란다 베르테 시나리오 - 마틸다 용돈</v>
          </cell>
        </row>
        <row r="168">
          <cell r="A168">
            <v>94000168</v>
          </cell>
          <cell r="B168" t="str">
            <v>밀란다 베르테 시나리오 - 도구점 보상</v>
          </cell>
        </row>
        <row r="169">
          <cell r="A169">
            <v>94000169</v>
          </cell>
          <cell r="B169" t="str">
            <v>밀란다 베르테 시나리오 - 아빠 용돈</v>
          </cell>
        </row>
        <row r="170">
          <cell r="A170">
            <v>94000170</v>
          </cell>
          <cell r="B170" t="str">
            <v>밀란다 베르테 시나리오 - 편지 배달 선금</v>
          </cell>
        </row>
        <row r="171">
          <cell r="A171">
            <v>94000171</v>
          </cell>
          <cell r="B171" t="str">
            <v>밀란다 베르테 시나리오 - 스핑크스 보상</v>
          </cell>
        </row>
        <row r="172">
          <cell r="A172">
            <v>94000172</v>
          </cell>
          <cell r="B172" t="str">
            <v>밀란다 베르테 시나리오 - 성배 보상</v>
          </cell>
        </row>
        <row r="173">
          <cell r="A173">
            <v>94000173</v>
          </cell>
          <cell r="B173" t="str">
            <v>밀란다 베르테 시나리오 - 엄마 라임주스</v>
          </cell>
        </row>
        <row r="174">
          <cell r="A174">
            <v>94000174</v>
          </cell>
          <cell r="B174" t="str">
            <v>밀란다 베르테 시나리오 - 줄리아노 향유</v>
          </cell>
        </row>
        <row r="175">
          <cell r="A175">
            <v>94000175</v>
          </cell>
          <cell r="B175" t="str">
            <v>밀란다 베르테 시나리오 - 실러캔스 보상</v>
          </cell>
        </row>
        <row r="176">
          <cell r="A176">
            <v>94000176</v>
          </cell>
          <cell r="B176" t="str">
            <v>밀란다 베르테 시나리오 - 질 더롤카 퇴치</v>
          </cell>
        </row>
        <row r="177">
          <cell r="A177">
            <v>94000177</v>
          </cell>
          <cell r="B177" t="str">
            <v>밀란다 베르테 시나리오 - 나스카 보상</v>
          </cell>
        </row>
        <row r="178">
          <cell r="A178">
            <v>94000178</v>
          </cell>
          <cell r="B178" t="str">
            <v>밀란다 베르테 시나리오 - 줄리아노 쥐약</v>
          </cell>
        </row>
        <row r="179">
          <cell r="A179">
            <v>94000179</v>
          </cell>
          <cell r="B179" t="str">
            <v>밀란다 베르테 시나리오 - 에르네스트 탐색 보상</v>
          </cell>
        </row>
        <row r="180">
          <cell r="A180">
            <v>94000180</v>
          </cell>
          <cell r="B180" t="str">
            <v>밀란다 베르테 시나리오 - 시바신상 보상</v>
          </cell>
        </row>
        <row r="181">
          <cell r="A181">
            <v>94000181</v>
          </cell>
          <cell r="B181" t="str">
            <v>밀란다 베르테 시나리오 - 후추 보상</v>
          </cell>
        </row>
        <row r="182">
          <cell r="A182">
            <v>94000182</v>
          </cell>
          <cell r="B182" t="str">
            <v>밀란다 베르테 시나리오 - 피망 보상</v>
          </cell>
        </row>
        <row r="183">
          <cell r="A183">
            <v>94000183</v>
          </cell>
          <cell r="B183" t="str">
            <v>밀란다 베르테 시나리오 - 티노카틀</v>
          </cell>
        </row>
        <row r="184">
          <cell r="A184">
            <v>94000184</v>
          </cell>
          <cell r="B184" t="str">
            <v>밀란다 베르테 시나리오 - 육두구 보상</v>
          </cell>
        </row>
        <row r="185">
          <cell r="A185">
            <v>94000185</v>
          </cell>
          <cell r="B185" t="str">
            <v>밀란다 베르테 시나리오 - 유괴성</v>
          </cell>
        </row>
        <row r="186">
          <cell r="A186">
            <v>94000186</v>
          </cell>
          <cell r="B186" t="str">
            <v>밀란다 베르테 시나리오 - 금루옥의 보상</v>
          </cell>
        </row>
        <row r="187">
          <cell r="A187">
            <v>94000187</v>
          </cell>
          <cell r="B187" t="str">
            <v>밀란다 베르테 시나리오 - 오리너구리 보상</v>
          </cell>
        </row>
        <row r="188">
          <cell r="A188">
            <v>94000188</v>
          </cell>
          <cell r="B188" t="str">
            <v>밀란다 베르테 시나리오 - 레온 페레로</v>
          </cell>
        </row>
        <row r="189">
          <cell r="A189">
            <v>94000189</v>
          </cell>
          <cell r="B189" t="str">
            <v>살바도르 레이스 시나리오 - Ep1 완료</v>
          </cell>
        </row>
        <row r="190">
          <cell r="A190">
            <v>94000190</v>
          </cell>
          <cell r="B190" t="str">
            <v>살바도르 레이스 시나리오 - Ep2 완료</v>
          </cell>
        </row>
        <row r="191">
          <cell r="A191">
            <v>94000191</v>
          </cell>
          <cell r="B191" t="str">
            <v>살바도르 레이스 시나리오 - Ep3 완료</v>
          </cell>
        </row>
        <row r="192">
          <cell r="A192">
            <v>94000192</v>
          </cell>
          <cell r="B192" t="str">
            <v>살바도르 레이스 시나리오 - Ep4 완료</v>
          </cell>
        </row>
        <row r="193">
          <cell r="A193">
            <v>94000193</v>
          </cell>
          <cell r="B193" t="str">
            <v>살바도르 레이스 시나리오 - Ep5 완료</v>
          </cell>
        </row>
        <row r="194">
          <cell r="A194">
            <v>94000194</v>
          </cell>
          <cell r="B194" t="str">
            <v>살바도르 레이스 시나리오 - Ep6 완료</v>
          </cell>
        </row>
        <row r="195">
          <cell r="A195">
            <v>94000195</v>
          </cell>
          <cell r="B195" t="str">
            <v>살바도르 레이스 시나리오 - Ep7 완료</v>
          </cell>
        </row>
        <row r="196">
          <cell r="A196">
            <v>94000196</v>
          </cell>
          <cell r="B196" t="str">
            <v>살바도르 레이스 시나리오 - Ep8 완료</v>
          </cell>
        </row>
        <row r="197">
          <cell r="A197">
            <v>94000197</v>
          </cell>
          <cell r="B197" t="str">
            <v>살바도르 레이스 시나리오 - Ep9 완료</v>
          </cell>
        </row>
        <row r="198">
          <cell r="A198">
            <v>94000198</v>
          </cell>
          <cell r="B198" t="str">
            <v>살바도르 레이스 시나리오 - Ep10 완료</v>
          </cell>
        </row>
        <row r="199">
          <cell r="A199">
            <v>94000199</v>
          </cell>
          <cell r="B199" t="str">
            <v>살바도르 레이스 시나리오 - Ep11 완료</v>
          </cell>
        </row>
        <row r="200">
          <cell r="A200">
            <v>94000200</v>
          </cell>
          <cell r="B200" t="str">
            <v>살바도르 레이스 시나리오 - Ep12 완료</v>
          </cell>
        </row>
        <row r="201">
          <cell r="A201">
            <v>94000201</v>
          </cell>
          <cell r="B201" t="str">
            <v>살바도르 레이스 시나리오 - Ep13 완료</v>
          </cell>
        </row>
        <row r="202">
          <cell r="A202">
            <v>94000202</v>
          </cell>
          <cell r="B202" t="str">
            <v>살바도르 레이스 시나리오 - Ep14 완료</v>
          </cell>
        </row>
        <row r="203">
          <cell r="A203">
            <v>94000203</v>
          </cell>
          <cell r="B203" t="str">
            <v>살바도르 레이스 시나리오 - Ep15 완료</v>
          </cell>
        </row>
        <row r="204">
          <cell r="A204">
            <v>94000204</v>
          </cell>
          <cell r="B204" t="str">
            <v>살바도르 레이스 시나리오 - Ep16 완료</v>
          </cell>
        </row>
        <row r="205">
          <cell r="A205">
            <v>94000205</v>
          </cell>
          <cell r="B205" t="str">
            <v>살바도르 레이스 시나리오 - 신형 대포</v>
          </cell>
        </row>
        <row r="206">
          <cell r="A206">
            <v>94000206</v>
          </cell>
          <cell r="B206" t="str">
            <v>살바도르 레이스 시나리오 - 리오노 유품</v>
          </cell>
        </row>
        <row r="207">
          <cell r="A207">
            <v>94000207</v>
          </cell>
          <cell r="B207" t="str">
            <v>살바도르 레이스 시나리오 - 하이레딘 유품</v>
          </cell>
        </row>
        <row r="208">
          <cell r="A208">
            <v>94000208</v>
          </cell>
          <cell r="B208" t="str">
            <v>살바도르 레이스 시나리오 - 도구점 보상</v>
          </cell>
        </row>
        <row r="209">
          <cell r="A209">
            <v>94000209</v>
          </cell>
          <cell r="B209" t="str">
            <v>살바도르 레이스 시나리오 - 자본금 보상</v>
          </cell>
        </row>
        <row r="210">
          <cell r="A210">
            <v>94000210</v>
          </cell>
          <cell r="B210" t="str">
            <v>살바도르 레이스 시나리오 - 배 보상</v>
          </cell>
        </row>
        <row r="211">
          <cell r="A211">
            <v>94000211</v>
          </cell>
          <cell r="B211" t="str">
            <v>살바도르 레이스 시나리오 - 토고 보상</v>
          </cell>
        </row>
        <row r="212">
          <cell r="A212">
            <v>94000212</v>
          </cell>
          <cell r="B212" t="str">
            <v>살바도르 레이스 시나리오 - 리오노 보상</v>
          </cell>
        </row>
        <row r="213">
          <cell r="A213">
            <v>94000213</v>
          </cell>
          <cell r="B213" t="str">
            <v>살바도르 레이스 시나리오 - 야곱 보상</v>
          </cell>
        </row>
        <row r="214">
          <cell r="A214">
            <v>94000214</v>
          </cell>
          <cell r="B214" t="str">
            <v>살바도르 레이스 시나리오 - 슈바이처 보상</v>
          </cell>
        </row>
        <row r="215">
          <cell r="A215">
            <v>94000215</v>
          </cell>
          <cell r="B215" t="str">
            <v>살바도르 레이스 시나리오 - 호레스 보상</v>
          </cell>
        </row>
        <row r="216">
          <cell r="A216">
            <v>94000249</v>
          </cell>
          <cell r="B216" t="str">
            <v>옷토 스피노라 시나리오 - 공작석 배송 보상</v>
          </cell>
        </row>
        <row r="217">
          <cell r="A217">
            <v>94000250</v>
          </cell>
          <cell r="B217" t="str">
            <v>알 베자스 시나리오 - 오데사 로쿰 배송 보상</v>
          </cell>
        </row>
        <row r="218">
          <cell r="A218">
            <v>94000251</v>
          </cell>
          <cell r="B218" t="str">
            <v>알 베자스 시나리오 - 해적 배 보상</v>
          </cell>
        </row>
        <row r="219">
          <cell r="A219">
            <v>94000252</v>
          </cell>
          <cell r="B219" t="str">
            <v>알 베자스 시나리오 - 해적 토벌 보상</v>
          </cell>
        </row>
        <row r="220">
          <cell r="A220">
            <v>94000253</v>
          </cell>
          <cell r="B220" t="str">
            <v>알 베자스 시나리오 - Ep2 완료</v>
          </cell>
        </row>
        <row r="221">
          <cell r="A221">
            <v>94000254</v>
          </cell>
          <cell r="B221" t="str">
            <v>알 베자스 시나리오 - 바르나 로쿰 배송 보상</v>
          </cell>
        </row>
        <row r="222">
          <cell r="A222">
            <v>94000255</v>
          </cell>
          <cell r="B222" t="str">
            <v>알 베자스 시나리오 - Ep3 완료</v>
          </cell>
        </row>
        <row r="223">
          <cell r="A223">
            <v>94000256</v>
          </cell>
          <cell r="B223" t="str">
            <v>옷토 스피노라 시나리오 - 해적 토벌 보상</v>
          </cell>
        </row>
        <row r="224">
          <cell r="A224">
            <v>94000257</v>
          </cell>
          <cell r="B224" t="str">
            <v>QA_재화 기본</v>
          </cell>
        </row>
        <row r="225">
          <cell r="A225">
            <v>94000258</v>
          </cell>
          <cell r="B225" t="str">
            <v>QA_승급 재료</v>
          </cell>
        </row>
        <row r="226">
          <cell r="A226">
            <v>94000259</v>
          </cell>
          <cell r="B226" t="str">
            <v>QA_초소형, 소형 선박 강화재료1</v>
          </cell>
        </row>
        <row r="227">
          <cell r="A227">
            <v>94000260</v>
          </cell>
          <cell r="B227" t="str">
            <v>QA_초소형, 소형 선박 강화재료2</v>
          </cell>
        </row>
        <row r="228">
          <cell r="A228">
            <v>94000261</v>
          </cell>
          <cell r="B228" t="str">
            <v>QA_중형 선박 강화 재료1</v>
          </cell>
        </row>
        <row r="229">
          <cell r="A229">
            <v>94000262</v>
          </cell>
          <cell r="B229" t="str">
            <v>QA_중형 선박 강화 재료2</v>
          </cell>
        </row>
        <row r="230">
          <cell r="A230">
            <v>94000263</v>
          </cell>
          <cell r="B230" t="str">
            <v>QA_대형 선박 강화 재료1</v>
          </cell>
        </row>
        <row r="231">
          <cell r="A231">
            <v>94000264</v>
          </cell>
          <cell r="B231" t="str">
            <v>QA_대형 선박 강화 재료2</v>
          </cell>
        </row>
        <row r="232">
          <cell r="A232">
            <v>94000265</v>
          </cell>
          <cell r="B232" t="str">
            <v>QA_대형 선박 강화 재료3</v>
          </cell>
        </row>
        <row r="233">
          <cell r="A233">
            <v>94000266</v>
          </cell>
          <cell r="B233" t="str">
            <v>QA_초대형 선박 강화 재료1</v>
          </cell>
        </row>
        <row r="234">
          <cell r="A234">
            <v>94000267</v>
          </cell>
          <cell r="B234" t="str">
            <v>QA_초대형 선박 강화 재료2</v>
          </cell>
        </row>
        <row r="235">
          <cell r="A235">
            <v>94000268</v>
          </cell>
          <cell r="B235" t="str">
            <v>QA_CBT_선박 강화재료1</v>
          </cell>
        </row>
        <row r="236">
          <cell r="A236">
            <v>94000269</v>
          </cell>
          <cell r="B236" t="str">
            <v>QA_CBT_선박 강화재료2</v>
          </cell>
        </row>
        <row r="237">
          <cell r="A237">
            <v>94000270</v>
          </cell>
          <cell r="B237" t="str">
            <v>QA_CBT_선박 강화재료3</v>
          </cell>
        </row>
        <row r="238">
          <cell r="A238">
            <v>94000271</v>
          </cell>
          <cell r="B238" t="str">
            <v>QA_의뢰서</v>
          </cell>
        </row>
        <row r="239">
          <cell r="A239">
            <v>94000279</v>
          </cell>
          <cell r="B239" t="str">
            <v>앤 보니 시나리오 - 보물창고 열쇠1</v>
          </cell>
        </row>
        <row r="240">
          <cell r="A240">
            <v>94000280</v>
          </cell>
          <cell r="B240" t="str">
            <v>앤 보니 시나리오 - 보물창고 열쇠2</v>
          </cell>
        </row>
        <row r="241">
          <cell r="A241">
            <v>94000281</v>
          </cell>
          <cell r="B241" t="str">
            <v>앤 보니 시나리오 - 보물창고 열쇠3</v>
          </cell>
        </row>
        <row r="242">
          <cell r="A242">
            <v>94000283</v>
          </cell>
          <cell r="B242" t="str">
            <v>밀란다 베르테 시나리오 - 카츄아파</v>
          </cell>
        </row>
        <row r="243">
          <cell r="A243">
            <v>94000284</v>
          </cell>
          <cell r="B243" t="str">
            <v>사이이다 알 후라 시나리오 - 아흐메드</v>
          </cell>
        </row>
        <row r="244">
          <cell r="A244">
            <v>94000285</v>
          </cell>
          <cell r="B244" t="str">
            <v>사이이다 알 후라 시나리오 - 크리스티나</v>
          </cell>
        </row>
        <row r="245">
          <cell r="A245">
            <v>94000286</v>
          </cell>
          <cell r="B245" t="str">
            <v>사이이다 알 후라 시나리오 - 안토니오</v>
          </cell>
        </row>
        <row r="246">
          <cell r="A246">
            <v>94000287</v>
          </cell>
          <cell r="B246" t="str">
            <v>사이이다 알 후라 시나리오 - 셰르</v>
          </cell>
        </row>
        <row r="247">
          <cell r="A247">
            <v>94000288</v>
          </cell>
          <cell r="B247" t="str">
            <v>사이이다 알 후라 시나리오 - 카락(검수리 호)</v>
          </cell>
        </row>
        <row r="248">
          <cell r="A248">
            <v>94000289</v>
          </cell>
          <cell r="B248" t="str">
            <v>사이이다 알 후라 시나리오 - 테스트용 보상</v>
          </cell>
        </row>
        <row r="249">
          <cell r="A249">
            <v>94000290</v>
          </cell>
          <cell r="B249" t="str">
            <v>에르네스트 로페스 시나리오 - 로이드 스탓텐</v>
          </cell>
        </row>
        <row r="250">
          <cell r="A250">
            <v>94000291</v>
          </cell>
          <cell r="B250" t="str">
            <v>에르네스트 로페스 시나리오 - 파우라</v>
          </cell>
        </row>
        <row r="251">
          <cell r="A251">
            <v>94000292</v>
          </cell>
          <cell r="B251" t="str">
            <v>에르네스트 로페스 시나리오 - 모리스 레이든</v>
          </cell>
        </row>
        <row r="252">
          <cell r="A252">
            <v>94000293</v>
          </cell>
          <cell r="B252" t="str">
            <v>카탈리나 에란초 시나리오 - 후추</v>
          </cell>
        </row>
        <row r="253">
          <cell r="A253">
            <v>94000294</v>
          </cell>
          <cell r="B253" t="str">
            <v>카탈리나 에란초 시나리오 - 군수 물자</v>
          </cell>
        </row>
        <row r="254">
          <cell r="A254">
            <v>94000295</v>
          </cell>
          <cell r="B254" t="str">
            <v>카탈리나 에란초 시나리오 - 브레스트 플레이트</v>
          </cell>
        </row>
        <row r="255">
          <cell r="A255">
            <v>94000296</v>
          </cell>
          <cell r="B255" t="str">
            <v>카탈리나 에란초 시나리오 - 반란호</v>
          </cell>
        </row>
        <row r="256">
          <cell r="A256">
            <v>94000297</v>
          </cell>
          <cell r="B256" t="str">
            <v>에르네스트 로페스 시나리오 - 메르카토르호</v>
          </cell>
        </row>
        <row r="257">
          <cell r="A257">
            <v>94000298</v>
          </cell>
          <cell r="B257" t="str">
            <v>종업원 의뢰 - 반납할 책</v>
          </cell>
        </row>
        <row r="258">
          <cell r="A258">
            <v>94000299</v>
          </cell>
          <cell r="B258" t="str">
            <v>종업원 의뢰 - 대여한 책</v>
          </cell>
        </row>
        <row r="259">
          <cell r="A259">
            <v>94000300</v>
          </cell>
          <cell r="B259" t="str">
            <v>종업원 의뢰 - 푸르나마가 받은 보자기</v>
          </cell>
        </row>
        <row r="260">
          <cell r="A260">
            <v>94000301</v>
          </cell>
          <cell r="B260" t="str">
            <v>종업원 의뢰 - 수라바야의 부적</v>
          </cell>
        </row>
        <row r="261">
          <cell r="A261">
            <v>94000302</v>
          </cell>
          <cell r="B261" t="str">
            <v>종업원 의뢰 - 서안의 증표</v>
          </cell>
        </row>
        <row r="262">
          <cell r="A262">
            <v>94000303</v>
          </cell>
          <cell r="B262" t="str">
            <v>종업원 의뢰 - 중경의 증표</v>
          </cell>
        </row>
        <row r="263">
          <cell r="A263">
            <v>94000304</v>
          </cell>
          <cell r="B263" t="str">
            <v>종업원 의뢰 - 엘레느가 준 포도주</v>
          </cell>
        </row>
        <row r="264">
          <cell r="A264">
            <v>94000305</v>
          </cell>
          <cell r="B264" t="str">
            <v>종업원 의뢰 - 행운의 고양이</v>
          </cell>
        </row>
        <row r="265">
          <cell r="A265">
            <v>94000306</v>
          </cell>
          <cell r="B265" t="str">
            <v>종업원 의뢰 - 에밀리아노의 편지</v>
          </cell>
        </row>
        <row r="266">
          <cell r="A266">
            <v>94000307</v>
          </cell>
          <cell r="B266" t="str">
            <v>종업원 의뢰 - 타마야가 준 편지</v>
          </cell>
        </row>
        <row r="267">
          <cell r="A267">
            <v>94000308</v>
          </cell>
          <cell r="B267" t="str">
            <v>종업원 의뢰 - 라디아에게 받은 달걀</v>
          </cell>
        </row>
        <row r="268">
          <cell r="A268">
            <v>94000309</v>
          </cell>
          <cell r="B268" t="str">
            <v>종업원 의뢰 - 폰타델가다의 타임</v>
          </cell>
        </row>
        <row r="269">
          <cell r="A269">
            <v>94000310</v>
          </cell>
          <cell r="B269" t="str">
            <v>종업원 의뢰 - 아르김의 커피</v>
          </cell>
        </row>
        <row r="270">
          <cell r="A270">
            <v>94000311</v>
          </cell>
          <cell r="B270" t="str">
            <v>종업원 의뢰 - 에든버러의 양</v>
          </cell>
        </row>
        <row r="271">
          <cell r="A271">
            <v>94000312</v>
          </cell>
          <cell r="B271" t="str">
            <v>종업원 의뢰 - 매력의 반지</v>
          </cell>
        </row>
        <row r="272">
          <cell r="A272">
            <v>94000313</v>
          </cell>
          <cell r="B272" t="str">
            <v>종업원 의뢰 - 은비녀</v>
          </cell>
        </row>
        <row r="273">
          <cell r="A273">
            <v>94000314</v>
          </cell>
          <cell r="B273" t="str">
            <v>종업원 의뢰 - 거래 장부</v>
          </cell>
        </row>
        <row r="274">
          <cell r="A274">
            <v>94000315</v>
          </cell>
          <cell r="B274" t="str">
            <v>종업원 의뢰 - 말린 대추야자</v>
          </cell>
        </row>
        <row r="275">
          <cell r="A275">
            <v>94000316</v>
          </cell>
          <cell r="B275" t="str">
            <v>종업원 의뢰 - 여자 옷</v>
          </cell>
        </row>
        <row r="276">
          <cell r="A276">
            <v>94000317</v>
          </cell>
          <cell r="B276" t="str">
            <v>종업원 의뢰 - 초심자용 에페</v>
          </cell>
        </row>
        <row r="277">
          <cell r="A277">
            <v>94000318</v>
          </cell>
          <cell r="B277" t="str">
            <v>종업원 의뢰 - 기린 가면</v>
          </cell>
        </row>
        <row r="278">
          <cell r="A278">
            <v>94000319</v>
          </cell>
          <cell r="B278" t="str">
            <v>앤 보니 시나리오_01_02</v>
          </cell>
        </row>
        <row r="279">
          <cell r="A279">
            <v>94000320</v>
          </cell>
          <cell r="B279" t="str">
            <v>앤 보니 시나리오_01_03</v>
          </cell>
        </row>
        <row r="280">
          <cell r="A280">
            <v>94000321</v>
          </cell>
          <cell r="B280" t="str">
            <v>앤 보니 시나리오_01_05</v>
          </cell>
        </row>
        <row r="281">
          <cell r="A281">
            <v>94000322</v>
          </cell>
          <cell r="B281" t="str">
            <v>앤 보니 시나리오_01_06</v>
          </cell>
        </row>
        <row r="282">
          <cell r="A282">
            <v>94000323</v>
          </cell>
          <cell r="B282" t="str">
            <v>앤 보니 시나리오_01_07</v>
          </cell>
        </row>
        <row r="283">
          <cell r="A283">
            <v>94000324</v>
          </cell>
          <cell r="B283" t="str">
            <v>앤 보니 시나리오_02_04</v>
          </cell>
        </row>
        <row r="284">
          <cell r="A284">
            <v>94000325</v>
          </cell>
          <cell r="B284" t="str">
            <v>앤 보니 시나리오_02_06</v>
          </cell>
        </row>
        <row r="285">
          <cell r="A285">
            <v>94000326</v>
          </cell>
          <cell r="B285" t="str">
            <v>앤 보니 시나리오_03_05</v>
          </cell>
        </row>
        <row r="286">
          <cell r="A286">
            <v>94000327</v>
          </cell>
          <cell r="B286" t="str">
            <v>앤 보니 시나리오_03_08</v>
          </cell>
        </row>
        <row r="287">
          <cell r="A287">
            <v>94000328</v>
          </cell>
          <cell r="B287" t="str">
            <v>앤 보니 시나리오_04_01</v>
          </cell>
        </row>
        <row r="288">
          <cell r="A288">
            <v>94000329</v>
          </cell>
          <cell r="B288" t="str">
            <v>앤 보니 시나리오_04_03</v>
          </cell>
        </row>
        <row r="289">
          <cell r="A289">
            <v>94000330</v>
          </cell>
          <cell r="B289" t="str">
            <v>앤 보니 시나리오_04_07</v>
          </cell>
        </row>
        <row r="290">
          <cell r="A290">
            <v>94000331</v>
          </cell>
          <cell r="B290" t="str">
            <v>앤 보니 시나리오_04_10</v>
          </cell>
        </row>
        <row r="291">
          <cell r="A291">
            <v>94000332</v>
          </cell>
          <cell r="B291" t="str">
            <v>앤 보니 시나리오_05_04</v>
          </cell>
        </row>
        <row r="292">
          <cell r="A292">
            <v>94000333</v>
          </cell>
          <cell r="B292" t="str">
            <v>앤 보니 시나리오_05_07</v>
          </cell>
        </row>
        <row r="293">
          <cell r="A293">
            <v>94000334</v>
          </cell>
          <cell r="B293" t="str">
            <v>앤 보니 시나리오_06_04</v>
          </cell>
        </row>
        <row r="294">
          <cell r="A294">
            <v>94000335</v>
          </cell>
          <cell r="B294" t="str">
            <v>앤 보니 시나리오_06_07</v>
          </cell>
        </row>
        <row r="295">
          <cell r="A295">
            <v>94000336</v>
          </cell>
          <cell r="B295" t="str">
            <v>앤 보니 시나리오_07_06</v>
          </cell>
        </row>
        <row r="296">
          <cell r="A296">
            <v>94000337</v>
          </cell>
          <cell r="B296" t="str">
            <v>앤 보니 시나리오_07_11</v>
          </cell>
        </row>
        <row r="297">
          <cell r="A297">
            <v>94000338</v>
          </cell>
          <cell r="B297" t="str">
            <v>앤 보니 시나리오_08_06</v>
          </cell>
        </row>
        <row r="298">
          <cell r="A298">
            <v>94000339</v>
          </cell>
          <cell r="B298" t="str">
            <v>앤 보니 시나리오_08_11</v>
          </cell>
        </row>
        <row r="299">
          <cell r="A299">
            <v>94000340</v>
          </cell>
          <cell r="B299" t="str">
            <v>앤 보니 시나리오_09_02</v>
          </cell>
        </row>
        <row r="300">
          <cell r="A300">
            <v>94000341</v>
          </cell>
          <cell r="B300" t="str">
            <v>앤 보니 시나리오_09_04</v>
          </cell>
        </row>
        <row r="301">
          <cell r="A301">
            <v>94000342</v>
          </cell>
          <cell r="B301" t="str">
            <v>앤 보니 시나리오_09_07</v>
          </cell>
        </row>
        <row r="302">
          <cell r="A302">
            <v>94000343</v>
          </cell>
          <cell r="B302" t="str">
            <v>앤 보니 시나리오_09_11</v>
          </cell>
        </row>
        <row r="303">
          <cell r="A303">
            <v>94000344</v>
          </cell>
          <cell r="B303" t="str">
            <v>앤 보니 시나리오_09_12</v>
          </cell>
        </row>
        <row r="304">
          <cell r="A304">
            <v>94000345</v>
          </cell>
          <cell r="B304" t="str">
            <v>앤 보니 시나리오_10_06</v>
          </cell>
        </row>
        <row r="305">
          <cell r="A305">
            <v>94000346</v>
          </cell>
          <cell r="B305" t="str">
            <v>앤 보니 시나리오_10_10</v>
          </cell>
        </row>
        <row r="306">
          <cell r="A306">
            <v>94000347</v>
          </cell>
          <cell r="B306" t="str">
            <v>앤 보니 시나리오_11_05</v>
          </cell>
        </row>
        <row r="307">
          <cell r="A307">
            <v>94000348</v>
          </cell>
          <cell r="B307" t="str">
            <v>앤 보니 시나리오_11_08</v>
          </cell>
        </row>
        <row r="308">
          <cell r="A308">
            <v>94000349</v>
          </cell>
          <cell r="B308" t="str">
            <v>앤 보니 시나리오_11_12</v>
          </cell>
        </row>
        <row r="309">
          <cell r="A309">
            <v>94000350</v>
          </cell>
          <cell r="B309" t="str">
            <v>앤 보니 시나리오_12_07</v>
          </cell>
        </row>
        <row r="310">
          <cell r="A310">
            <v>94000351</v>
          </cell>
          <cell r="B310" t="str">
            <v>앤 보니 시나리오_12_08</v>
          </cell>
        </row>
        <row r="311">
          <cell r="A311">
            <v>94000352</v>
          </cell>
          <cell r="B311" t="str">
            <v>앤 보니 시나리오_12_09</v>
          </cell>
        </row>
        <row r="312">
          <cell r="A312">
            <v>94000353</v>
          </cell>
          <cell r="B312" t="str">
            <v>앤 보니 시나리오_12_10</v>
          </cell>
        </row>
        <row r="313">
          <cell r="A313">
            <v>94000354</v>
          </cell>
          <cell r="B313" t="str">
            <v>앤 보니 시나리오_13_05</v>
          </cell>
        </row>
        <row r="314">
          <cell r="A314">
            <v>94000355</v>
          </cell>
          <cell r="B314" t="str">
            <v>앤 보니 시나리오_13_10</v>
          </cell>
        </row>
        <row r="315">
          <cell r="A315">
            <v>94000356</v>
          </cell>
          <cell r="B315" t="str">
            <v>앤 보니 시나리오_14_02</v>
          </cell>
        </row>
        <row r="316">
          <cell r="A316">
            <v>94000357</v>
          </cell>
          <cell r="B316" t="str">
            <v>앤 보니 시나리오_14_05</v>
          </cell>
        </row>
        <row r="317">
          <cell r="A317">
            <v>94000358</v>
          </cell>
          <cell r="B317" t="str">
            <v>앤 보니 시나리오_15_02</v>
          </cell>
        </row>
        <row r="318">
          <cell r="A318">
            <v>94000359</v>
          </cell>
          <cell r="B318" t="str">
            <v>앤 보니 시나리오_15_06</v>
          </cell>
        </row>
        <row r="319">
          <cell r="A319">
            <v>94000360</v>
          </cell>
          <cell r="B319" t="str">
            <v>앤 보니 시나리오_16_02</v>
          </cell>
        </row>
        <row r="320">
          <cell r="A320">
            <v>94000361</v>
          </cell>
          <cell r="B320" t="str">
            <v>앤 보니 시나리오_16_04</v>
          </cell>
        </row>
        <row r="321">
          <cell r="A321">
            <v>94000362</v>
          </cell>
          <cell r="B321" t="str">
            <v>앤 보니 시나리오_16_06</v>
          </cell>
        </row>
        <row r="322">
          <cell r="A322">
            <v>94000363</v>
          </cell>
          <cell r="B322" t="str">
            <v>에르네스트 시나리오 - 01_02</v>
          </cell>
        </row>
        <row r="323">
          <cell r="A323">
            <v>94000364</v>
          </cell>
          <cell r="B323" t="str">
            <v>에르네스트 시나리오 - 01_04</v>
          </cell>
        </row>
        <row r="324">
          <cell r="A324">
            <v>94000365</v>
          </cell>
          <cell r="B324" t="str">
            <v>에르네스트 시나리오 - 01_08</v>
          </cell>
        </row>
        <row r="325">
          <cell r="A325">
            <v>94000366</v>
          </cell>
          <cell r="B325" t="str">
            <v>에르네스트 시나리오 - 01_15</v>
          </cell>
        </row>
        <row r="326">
          <cell r="A326">
            <v>94000367</v>
          </cell>
          <cell r="B326" t="str">
            <v>에르네스트 시나리오 - 02_01</v>
          </cell>
        </row>
        <row r="327">
          <cell r="A327">
            <v>94000368</v>
          </cell>
          <cell r="B327" t="str">
            <v>에르네스트 시나리오 - 02_02</v>
          </cell>
        </row>
        <row r="328">
          <cell r="A328">
            <v>94000369</v>
          </cell>
          <cell r="B328" t="str">
            <v>에르네스트 시나리오 - 02_03</v>
          </cell>
        </row>
        <row r="329">
          <cell r="A329">
            <v>94000370</v>
          </cell>
          <cell r="B329" t="str">
            <v>에르네스트 시나리오 - 02_04</v>
          </cell>
        </row>
        <row r="330">
          <cell r="A330">
            <v>94000371</v>
          </cell>
          <cell r="B330" t="str">
            <v>에르네스트 시나리오 - 03_01</v>
          </cell>
        </row>
        <row r="331">
          <cell r="A331">
            <v>94000372</v>
          </cell>
          <cell r="B331" t="str">
            <v>에르네스트 시나리오 - 03_04</v>
          </cell>
        </row>
        <row r="332">
          <cell r="A332">
            <v>94000373</v>
          </cell>
          <cell r="B332" t="str">
            <v>에르네스트 시나리오 - 03_08</v>
          </cell>
        </row>
        <row r="333">
          <cell r="A333">
            <v>94000374</v>
          </cell>
          <cell r="B333" t="str">
            <v>에르네스트 시나리오 - 04_04</v>
          </cell>
        </row>
        <row r="334">
          <cell r="A334">
            <v>94000375</v>
          </cell>
          <cell r="B334" t="str">
            <v>에르네스트 시나리오 - 05_03</v>
          </cell>
        </row>
        <row r="335">
          <cell r="A335">
            <v>94000376</v>
          </cell>
          <cell r="B335" t="str">
            <v>에르네스트 시나리오 - 05_04</v>
          </cell>
        </row>
        <row r="336">
          <cell r="A336">
            <v>94000377</v>
          </cell>
          <cell r="B336" t="str">
            <v>에르네스트 시나리오 - 05_05</v>
          </cell>
        </row>
        <row r="337">
          <cell r="A337">
            <v>94000378</v>
          </cell>
          <cell r="B337" t="str">
            <v>에르네스트 시나리오 - 05_06</v>
          </cell>
        </row>
        <row r="338">
          <cell r="A338">
            <v>94000379</v>
          </cell>
          <cell r="B338" t="str">
            <v>에르네스트 시나리오 - 06_01</v>
          </cell>
        </row>
        <row r="339">
          <cell r="A339">
            <v>94000380</v>
          </cell>
          <cell r="B339" t="str">
            <v>에르네스트 시나리오 - 06_03</v>
          </cell>
        </row>
        <row r="340">
          <cell r="A340">
            <v>94000381</v>
          </cell>
          <cell r="B340" t="str">
            <v>에르네스트 시나리오 - 06_09</v>
          </cell>
        </row>
        <row r="341">
          <cell r="A341">
            <v>94000382</v>
          </cell>
          <cell r="B341" t="str">
            <v>에르네스트 시나리오 - 07_01</v>
          </cell>
        </row>
        <row r="342">
          <cell r="A342">
            <v>94000383</v>
          </cell>
          <cell r="B342" t="str">
            <v>에르네스트 시나리오 - 07_04</v>
          </cell>
        </row>
        <row r="343">
          <cell r="A343">
            <v>94000384</v>
          </cell>
          <cell r="B343" t="str">
            <v>에르네스트 시나리오 - 07_09</v>
          </cell>
        </row>
        <row r="344">
          <cell r="A344">
            <v>94000385</v>
          </cell>
          <cell r="B344" t="str">
            <v>에르네스트 시나리오 - 08_03</v>
          </cell>
        </row>
        <row r="345">
          <cell r="A345">
            <v>94000386</v>
          </cell>
          <cell r="B345" t="str">
            <v>에르네스트 시나리오 - 08_05</v>
          </cell>
        </row>
        <row r="346">
          <cell r="A346">
            <v>94000387</v>
          </cell>
          <cell r="B346" t="str">
            <v>에르네스트 시나리오 - 09_02</v>
          </cell>
        </row>
        <row r="347">
          <cell r="A347">
            <v>94000388</v>
          </cell>
          <cell r="B347" t="str">
            <v>에르네스트 시나리오 - 09_05</v>
          </cell>
        </row>
        <row r="348">
          <cell r="A348">
            <v>94000389</v>
          </cell>
          <cell r="B348" t="str">
            <v>에르네스트 시나리오 - 09_07</v>
          </cell>
        </row>
        <row r="349">
          <cell r="A349">
            <v>94000390</v>
          </cell>
          <cell r="B349" t="str">
            <v>에르네스트 시나리오 - 10_01</v>
          </cell>
        </row>
        <row r="350">
          <cell r="A350">
            <v>94000391</v>
          </cell>
          <cell r="B350" t="str">
            <v>에르네스트 시나리오 - 10_04</v>
          </cell>
        </row>
        <row r="351">
          <cell r="A351">
            <v>94000392</v>
          </cell>
          <cell r="B351" t="str">
            <v>에르네스트 시나리오 - 11_02</v>
          </cell>
        </row>
        <row r="352">
          <cell r="A352">
            <v>94000393</v>
          </cell>
          <cell r="B352" t="str">
            <v>에르네스트 시나리오 - 11_03</v>
          </cell>
        </row>
        <row r="353">
          <cell r="A353">
            <v>94000394</v>
          </cell>
          <cell r="B353" t="str">
            <v>에르네스트 시나리오 - 11_04</v>
          </cell>
        </row>
        <row r="354">
          <cell r="A354">
            <v>94000395</v>
          </cell>
          <cell r="B354" t="str">
            <v>에르네스트 시나리오 - 11_05</v>
          </cell>
        </row>
        <row r="355">
          <cell r="A355">
            <v>94000396</v>
          </cell>
          <cell r="B355" t="str">
            <v>에르네스트 시나리오 - 11_07</v>
          </cell>
        </row>
        <row r="356">
          <cell r="A356">
            <v>94000397</v>
          </cell>
          <cell r="B356" t="str">
            <v>에르네스트 시나리오 - 12_03</v>
          </cell>
        </row>
        <row r="357">
          <cell r="A357">
            <v>94000398</v>
          </cell>
          <cell r="B357" t="str">
            <v>에르네스트 시나리오 - 12_08</v>
          </cell>
        </row>
        <row r="358">
          <cell r="A358">
            <v>94000399</v>
          </cell>
          <cell r="B358" t="str">
            <v>에르네스트 시나리오 - 12_10</v>
          </cell>
        </row>
        <row r="359">
          <cell r="A359">
            <v>94000400</v>
          </cell>
          <cell r="B359" t="str">
            <v>에르네스트 시나리오 - 12_11</v>
          </cell>
        </row>
        <row r="360">
          <cell r="A360">
            <v>94000401</v>
          </cell>
          <cell r="B360" t="str">
            <v>에르네스트 시나리오 - 13_03</v>
          </cell>
        </row>
        <row r="361">
          <cell r="A361">
            <v>94000402</v>
          </cell>
          <cell r="B361" t="str">
            <v>에르네스트 시나리오 - 13_04</v>
          </cell>
        </row>
        <row r="362">
          <cell r="A362">
            <v>94000403</v>
          </cell>
          <cell r="B362" t="str">
            <v>에르네스트 시나리오 - 13_05</v>
          </cell>
        </row>
        <row r="363">
          <cell r="A363">
            <v>94000404</v>
          </cell>
          <cell r="B363" t="str">
            <v>에르네스트 시나리오 - 13_06</v>
          </cell>
        </row>
        <row r="364">
          <cell r="A364">
            <v>94000405</v>
          </cell>
          <cell r="B364" t="str">
            <v>에르네스트 시나리오 - 14_04</v>
          </cell>
        </row>
        <row r="365">
          <cell r="A365">
            <v>94000406</v>
          </cell>
          <cell r="B365" t="str">
            <v>에르네스트 시나리오 - 14_06</v>
          </cell>
        </row>
        <row r="366">
          <cell r="A366">
            <v>94000407</v>
          </cell>
          <cell r="B366" t="str">
            <v>에르네스트 시나리오 - 15_03</v>
          </cell>
        </row>
        <row r="367">
          <cell r="A367">
            <v>94000408</v>
          </cell>
          <cell r="B367" t="str">
            <v>에르네스트 시나리오 - 15_04</v>
          </cell>
        </row>
        <row r="368">
          <cell r="A368">
            <v>94000409</v>
          </cell>
          <cell r="B368" t="str">
            <v>에르네스트 시나리오 - 16_02</v>
          </cell>
        </row>
        <row r="369">
          <cell r="A369">
            <v>94000410</v>
          </cell>
          <cell r="B369" t="str">
            <v>에르네스트 시나리오 - 16_05</v>
          </cell>
        </row>
        <row r="370">
          <cell r="A370">
            <v>94000411</v>
          </cell>
          <cell r="B370" t="str">
            <v>에르네스트 시나리오 - 낚싯대</v>
          </cell>
        </row>
        <row r="371">
          <cell r="A371">
            <v>94000412</v>
          </cell>
          <cell r="B371" t="str">
            <v>사이이다 알 후라 시나리오 - 01_01</v>
          </cell>
        </row>
        <row r="372">
          <cell r="A372">
            <v>94000413</v>
          </cell>
          <cell r="B372" t="str">
            <v>사이이다 알 후라 시나리오 - 01_04</v>
          </cell>
        </row>
        <row r="373">
          <cell r="A373">
            <v>94000414</v>
          </cell>
          <cell r="B373" t="str">
            <v>사이이다 알 후라 시나리오 - 01_06</v>
          </cell>
        </row>
        <row r="374">
          <cell r="A374">
            <v>94000415</v>
          </cell>
          <cell r="B374" t="str">
            <v>사이이다 알 후라 시나리오 - 01_10</v>
          </cell>
        </row>
        <row r="375">
          <cell r="A375">
            <v>94000416</v>
          </cell>
          <cell r="B375" t="str">
            <v>사이이다 알 후라 시나리오 - 01_11</v>
          </cell>
        </row>
        <row r="376">
          <cell r="A376">
            <v>94000417</v>
          </cell>
          <cell r="B376" t="str">
            <v>사이이다 알 후라 시나리오 - 01_15</v>
          </cell>
        </row>
        <row r="377">
          <cell r="A377">
            <v>94000418</v>
          </cell>
          <cell r="B377" t="str">
            <v>사이이다 알 후라 시나리오 - 01_18</v>
          </cell>
        </row>
        <row r="378">
          <cell r="A378">
            <v>94000419</v>
          </cell>
          <cell r="B378" t="str">
            <v>사이이다 알 후라 시나리오 - 01_19</v>
          </cell>
        </row>
        <row r="379">
          <cell r="A379">
            <v>94000420</v>
          </cell>
          <cell r="B379" t="str">
            <v>사이이다 알 후라 시나리오 - 02_04</v>
          </cell>
        </row>
        <row r="380">
          <cell r="A380">
            <v>94000421</v>
          </cell>
          <cell r="B380" t="str">
            <v>사이이다 알 후라 시나리오 - 02_09</v>
          </cell>
        </row>
        <row r="381">
          <cell r="A381">
            <v>94000422</v>
          </cell>
          <cell r="B381" t="str">
            <v>사이이다 알 후라 시나리오 - 02_11</v>
          </cell>
        </row>
        <row r="382">
          <cell r="A382">
            <v>94000423</v>
          </cell>
          <cell r="B382" t="str">
            <v>사이이다 알 후라 시나리오 - 02_12</v>
          </cell>
        </row>
        <row r="383">
          <cell r="A383">
            <v>94000424</v>
          </cell>
          <cell r="B383" t="str">
            <v>사이이다 알 후라 시나리오 - 02_15</v>
          </cell>
        </row>
        <row r="384">
          <cell r="A384">
            <v>94000425</v>
          </cell>
          <cell r="B384" t="str">
            <v>사이이다 알 후라 시나리오 - 02_19</v>
          </cell>
        </row>
        <row r="385">
          <cell r="A385">
            <v>94000426</v>
          </cell>
          <cell r="B385" t="str">
            <v>사이이다 알 후라 시나리오 - 02_21</v>
          </cell>
        </row>
        <row r="386">
          <cell r="A386">
            <v>94000427</v>
          </cell>
          <cell r="B386" t="str">
            <v>사이이다 알 후라 시나리오 - 02_28</v>
          </cell>
        </row>
        <row r="387">
          <cell r="A387">
            <v>94000428</v>
          </cell>
          <cell r="B387" t="str">
            <v>사이이다 알 후라 시나리오 - 03_03</v>
          </cell>
        </row>
        <row r="388">
          <cell r="A388">
            <v>94000429</v>
          </cell>
          <cell r="B388" t="str">
            <v>사이이다 알 후라 시나리오 - 04_03</v>
          </cell>
        </row>
        <row r="389">
          <cell r="A389">
            <v>94000430</v>
          </cell>
          <cell r="B389" t="str">
            <v>사이이다 알 후라 시나리오 - 04_06</v>
          </cell>
        </row>
        <row r="390">
          <cell r="A390">
            <v>94000431</v>
          </cell>
          <cell r="B390" t="str">
            <v>사이이다 알 후라 시나리오 - 04_10</v>
          </cell>
        </row>
        <row r="391">
          <cell r="A391">
            <v>94000432</v>
          </cell>
          <cell r="B391" t="str">
            <v>사이이다 알 후라 시나리오 - 04_13</v>
          </cell>
        </row>
        <row r="392">
          <cell r="A392">
            <v>94000433</v>
          </cell>
          <cell r="B392" t="str">
            <v>사이이다 알 후라 시나리오 - 04_15</v>
          </cell>
        </row>
        <row r="393">
          <cell r="A393">
            <v>94000434</v>
          </cell>
          <cell r="B393" t="str">
            <v>사이이다 알 후라 시나리오 - 04_17</v>
          </cell>
        </row>
        <row r="394">
          <cell r="A394">
            <v>94000435</v>
          </cell>
          <cell r="B394" t="str">
            <v>사이이다 알 후라 시나리오 - 04_22</v>
          </cell>
        </row>
        <row r="395">
          <cell r="A395">
            <v>94000436</v>
          </cell>
          <cell r="B395" t="str">
            <v>사이이다 알 후라 시나리오 - 04_25</v>
          </cell>
        </row>
        <row r="396">
          <cell r="A396">
            <v>94000437</v>
          </cell>
          <cell r="B396" t="str">
            <v>사이이다 알 후라 시나리오 - 05_02</v>
          </cell>
        </row>
        <row r="397">
          <cell r="A397">
            <v>94000438</v>
          </cell>
          <cell r="B397" t="str">
            <v>사이이다 알 후라 시나리오 - 05_08</v>
          </cell>
        </row>
        <row r="398">
          <cell r="A398">
            <v>94000439</v>
          </cell>
          <cell r="B398" t="str">
            <v>사이이다 알 후라 시나리오 - 05_10</v>
          </cell>
        </row>
        <row r="399">
          <cell r="A399">
            <v>94000440</v>
          </cell>
          <cell r="B399" t="str">
            <v>사이이다 알 후라 시나리오 - 06_01</v>
          </cell>
        </row>
        <row r="400">
          <cell r="A400">
            <v>94000441</v>
          </cell>
          <cell r="B400" t="str">
            <v>사이이다 알 후라 시나리오 - 06_04</v>
          </cell>
        </row>
        <row r="401">
          <cell r="A401">
            <v>94000442</v>
          </cell>
          <cell r="B401" t="str">
            <v>사이이다 알 후라 시나리오 - 06_06</v>
          </cell>
        </row>
        <row r="402">
          <cell r="A402">
            <v>94000443</v>
          </cell>
          <cell r="B402" t="str">
            <v>사이이다 알 후라 시나리오 - 06_11</v>
          </cell>
        </row>
        <row r="403">
          <cell r="A403">
            <v>94000444</v>
          </cell>
          <cell r="B403" t="str">
            <v>사이이다 알 후라 시나리오 - 07_01</v>
          </cell>
        </row>
        <row r="404">
          <cell r="A404">
            <v>94000445</v>
          </cell>
          <cell r="B404" t="str">
            <v>사이이다 알 후라 시나리오 - 07_05</v>
          </cell>
        </row>
        <row r="405">
          <cell r="A405">
            <v>94000446</v>
          </cell>
          <cell r="B405" t="str">
            <v>사이이다 알 후라 시나리오 - 07_06</v>
          </cell>
        </row>
        <row r="406">
          <cell r="A406">
            <v>94000447</v>
          </cell>
          <cell r="B406" t="str">
            <v>사이이다 알 후라 시나리오 - 08_02</v>
          </cell>
        </row>
        <row r="407">
          <cell r="A407">
            <v>94000448</v>
          </cell>
          <cell r="B407" t="str">
            <v>사이이다 알 후라 시나리오 - 08_03</v>
          </cell>
        </row>
        <row r="408">
          <cell r="A408">
            <v>94000449</v>
          </cell>
          <cell r="B408" t="str">
            <v>사이이다 알 후라 시나리오 - 08_07</v>
          </cell>
        </row>
        <row r="409">
          <cell r="A409">
            <v>94000450</v>
          </cell>
          <cell r="B409" t="str">
            <v>사이이다 알 후라 시나리오 - 08_09</v>
          </cell>
        </row>
        <row r="410">
          <cell r="A410">
            <v>94000451</v>
          </cell>
          <cell r="B410" t="str">
            <v>사이이다 알 후라 시나리오 - 09_01</v>
          </cell>
        </row>
        <row r="411">
          <cell r="A411">
            <v>94000452</v>
          </cell>
          <cell r="B411" t="str">
            <v>사이이다 알 후라 시나리오 - 09_04</v>
          </cell>
        </row>
        <row r="412">
          <cell r="A412">
            <v>94000453</v>
          </cell>
          <cell r="B412" t="str">
            <v>사이이다 알 후라 시나리오 - 09_06</v>
          </cell>
        </row>
        <row r="413">
          <cell r="A413">
            <v>94000454</v>
          </cell>
          <cell r="B413" t="str">
            <v>사이이다 알 후라 시나리오 - 09_10</v>
          </cell>
        </row>
        <row r="414">
          <cell r="A414">
            <v>94000455</v>
          </cell>
          <cell r="B414" t="str">
            <v>사이이다 알 후라 시나리오 - 10_01</v>
          </cell>
        </row>
        <row r="415">
          <cell r="A415">
            <v>94000456</v>
          </cell>
          <cell r="B415" t="str">
            <v>사이이다 알 후라 시나리오 - 10_06</v>
          </cell>
        </row>
        <row r="416">
          <cell r="A416">
            <v>94000457</v>
          </cell>
          <cell r="B416" t="str">
            <v>사이이다 알 후라 시나리오 - 10_11</v>
          </cell>
        </row>
        <row r="417">
          <cell r="A417">
            <v>94000458</v>
          </cell>
          <cell r="B417" t="str">
            <v>사이이다 알 후라 시나리오 - 10_13</v>
          </cell>
        </row>
        <row r="418">
          <cell r="A418">
            <v>94000459</v>
          </cell>
          <cell r="B418" t="str">
            <v>사이이다 알 후라 시나리오 - 11_03</v>
          </cell>
        </row>
        <row r="419">
          <cell r="A419">
            <v>94000460</v>
          </cell>
          <cell r="B419" t="str">
            <v>사이이다 알 후라 시나리오 - 11_06</v>
          </cell>
        </row>
        <row r="420">
          <cell r="A420">
            <v>94000461</v>
          </cell>
          <cell r="B420" t="str">
            <v>사이이다 알 후라 시나리오 - 11_09</v>
          </cell>
        </row>
        <row r="421">
          <cell r="A421">
            <v>94000462</v>
          </cell>
          <cell r="B421" t="str">
            <v>사이이다 알 후라 시나리오 - 11_11</v>
          </cell>
        </row>
        <row r="422">
          <cell r="A422">
            <v>94000463</v>
          </cell>
          <cell r="B422" t="str">
            <v>사이이다 알 후라 시나리오 - 12_01</v>
          </cell>
        </row>
        <row r="423">
          <cell r="A423">
            <v>94000464</v>
          </cell>
          <cell r="B423" t="str">
            <v>사이이다 알 후라 시나리오 - 12_03</v>
          </cell>
        </row>
        <row r="424">
          <cell r="A424">
            <v>94000465</v>
          </cell>
          <cell r="B424" t="str">
            <v>사이이다 알 후라 시나리오 - 12_08</v>
          </cell>
        </row>
        <row r="425">
          <cell r="A425">
            <v>94000466</v>
          </cell>
          <cell r="B425" t="str">
            <v>사이이다 알 후라 시나리오 - 13_03</v>
          </cell>
        </row>
        <row r="426">
          <cell r="A426">
            <v>94000467</v>
          </cell>
          <cell r="B426" t="str">
            <v>사이이다 알 후라 시나리오 - 13_06</v>
          </cell>
        </row>
        <row r="427">
          <cell r="A427">
            <v>94000468</v>
          </cell>
          <cell r="B427" t="str">
            <v>사이이다 알 후라 시나리오 - 13_10</v>
          </cell>
        </row>
        <row r="428">
          <cell r="A428">
            <v>94000469</v>
          </cell>
          <cell r="B428" t="str">
            <v>사이이다 알 후라 시나리오 - 14_01</v>
          </cell>
        </row>
        <row r="429">
          <cell r="A429">
            <v>94000470</v>
          </cell>
          <cell r="B429" t="str">
            <v>사이이다 알 후라 시나리오 - 14_02</v>
          </cell>
        </row>
        <row r="430">
          <cell r="A430">
            <v>94000471</v>
          </cell>
          <cell r="B430" t="str">
            <v>사이이다 알 후라 시나리오 - 14_03</v>
          </cell>
        </row>
        <row r="431">
          <cell r="A431">
            <v>94000472</v>
          </cell>
          <cell r="B431" t="str">
            <v>사이이다 알 후라 시나리오 - 15_01</v>
          </cell>
        </row>
        <row r="432">
          <cell r="A432">
            <v>94000473</v>
          </cell>
          <cell r="B432" t="str">
            <v>사이이다 알 후라 시나리오 - 15_03</v>
          </cell>
        </row>
        <row r="433">
          <cell r="A433">
            <v>94000474</v>
          </cell>
          <cell r="B433" t="str">
            <v>사이이다 알 후라 시나리오 - 16_01</v>
          </cell>
        </row>
        <row r="434">
          <cell r="A434">
            <v>94000475</v>
          </cell>
          <cell r="B434" t="str">
            <v>사이이다 알 후라 시나리오 - 두카트 보상(01_08)</v>
          </cell>
        </row>
        <row r="435">
          <cell r="A435">
            <v>94000476</v>
          </cell>
          <cell r="B435" t="str">
            <v>사이이다 알 후라 시나리오 - 두카트 보상(01_15)</v>
          </cell>
        </row>
        <row r="436">
          <cell r="A436">
            <v>94000477</v>
          </cell>
          <cell r="B436" t="str">
            <v>사이이다 알 후라 시나리오 - 두카트 보상(02_15)</v>
          </cell>
        </row>
        <row r="437">
          <cell r="A437">
            <v>94000478</v>
          </cell>
          <cell r="B437" t="str">
            <v>사이이다 알 후라 시나리오 - 두카트 보상(02_20)</v>
          </cell>
        </row>
        <row r="438">
          <cell r="A438">
            <v>94000479</v>
          </cell>
          <cell r="B438" t="str">
            <v>사이이다 알 후라 시나리오 - 두카트 보상(08_06)</v>
          </cell>
        </row>
        <row r="439">
          <cell r="A439">
            <v>94000480</v>
          </cell>
          <cell r="B439" t="str">
            <v>사이이다 알 후라 시나리오 - 두카트 보상(10_10)</v>
          </cell>
        </row>
        <row r="440">
          <cell r="A440">
            <v>94000481</v>
          </cell>
          <cell r="B440" t="str">
            <v>사이이다 알 후라 시나리오 - 두카트 보상(12_04)</v>
          </cell>
        </row>
        <row r="441">
          <cell r="A441">
            <v>94000482</v>
          </cell>
          <cell r="B441" t="str">
            <v>사이이다 알 후라 시나리오 - 두카트 보상(이스터)</v>
          </cell>
        </row>
        <row r="442">
          <cell r="A442">
            <v>94000483</v>
          </cell>
          <cell r="B442" t="str">
            <v>사이이다 알 후라 시나리오 - 도구 보상1(08_06)</v>
          </cell>
        </row>
        <row r="443">
          <cell r="A443">
            <v>94000484</v>
          </cell>
          <cell r="B443" t="str">
            <v>사이이다 알 후라 시나리오 - 도구 보상2(08_06)</v>
          </cell>
        </row>
        <row r="444">
          <cell r="A444">
            <v>94000485</v>
          </cell>
          <cell r="B444" t="str">
            <v>사이이다 알 후라 시나리오 - 도구 보상3(08_06)</v>
          </cell>
        </row>
        <row r="445">
          <cell r="A445">
            <v>94000486</v>
          </cell>
          <cell r="B445" t="str">
            <v>사이이다 알 후라 시나리오 - 도구 보상4(08_06)</v>
          </cell>
        </row>
        <row r="446">
          <cell r="A446">
            <v>94000487</v>
          </cell>
          <cell r="B446" t="str">
            <v>사이이다 알 후라 시나리오 - 장비 보상(01_16)</v>
          </cell>
        </row>
        <row r="447">
          <cell r="A447">
            <v>94000488</v>
          </cell>
          <cell r="B447" t="str">
            <v>사이이다 알 후라 시나리오 - 장비 보상(06_01)</v>
          </cell>
        </row>
        <row r="448">
          <cell r="A448">
            <v>94000489</v>
          </cell>
          <cell r="B448" t="str">
            <v>사이이다 알 후라 시나리오 - 장비 보상(13_03)</v>
          </cell>
        </row>
        <row r="449">
          <cell r="A449">
            <v>94000490</v>
          </cell>
          <cell r="B449" t="str">
            <v>사이이다 알 후라 시나리오 - 부품 보상(09_12)</v>
          </cell>
        </row>
        <row r="450">
          <cell r="A450">
            <v>94000491</v>
          </cell>
          <cell r="B450" t="str">
            <v>에르네스트 시나리오 - 선원</v>
          </cell>
        </row>
        <row r="451">
          <cell r="A451">
            <v>94000492</v>
          </cell>
          <cell r="B451" t="str">
            <v>이마이 사키 시나리오 - 01_05</v>
          </cell>
        </row>
        <row r="452">
          <cell r="A452">
            <v>94000493</v>
          </cell>
          <cell r="B452" t="str">
            <v>이마이 사키 시나리오 - 01_06</v>
          </cell>
        </row>
        <row r="453">
          <cell r="A453">
            <v>94000494</v>
          </cell>
          <cell r="B453" t="str">
            <v>이마이 사키 시나리오 - 01_08</v>
          </cell>
        </row>
        <row r="454">
          <cell r="A454">
            <v>94000495</v>
          </cell>
          <cell r="B454" t="str">
            <v>이마이 사키 시나리오 - 02_04</v>
          </cell>
        </row>
        <row r="455">
          <cell r="A455">
            <v>94000496</v>
          </cell>
          <cell r="B455" t="str">
            <v>이마이 사키 시나리오 - 02_08</v>
          </cell>
        </row>
        <row r="456">
          <cell r="A456">
            <v>94000497</v>
          </cell>
          <cell r="B456" t="str">
            <v>이마이 사키 시나리오 - 03_01</v>
          </cell>
        </row>
        <row r="457">
          <cell r="A457">
            <v>94000498</v>
          </cell>
          <cell r="B457" t="str">
            <v>이마이 사키 시나리오 - 03_07</v>
          </cell>
        </row>
        <row r="458">
          <cell r="A458">
            <v>94000499</v>
          </cell>
          <cell r="B458" t="str">
            <v>이마이 사키 시나리오 - 03_13</v>
          </cell>
        </row>
        <row r="459">
          <cell r="A459">
            <v>94000500</v>
          </cell>
          <cell r="B459" t="str">
            <v>이마이 사키 시나리오 - 04_02</v>
          </cell>
        </row>
        <row r="460">
          <cell r="A460">
            <v>94000501</v>
          </cell>
          <cell r="B460" t="str">
            <v>이마이 사키 시나리오 - 04_06</v>
          </cell>
        </row>
        <row r="461">
          <cell r="A461">
            <v>94000502</v>
          </cell>
          <cell r="B461" t="str">
            <v>이마이 사키 시나리오 - 04_12</v>
          </cell>
        </row>
        <row r="462">
          <cell r="A462">
            <v>94000503</v>
          </cell>
          <cell r="B462" t="str">
            <v>이마이 사키 시나리오 - 05_04</v>
          </cell>
        </row>
        <row r="463">
          <cell r="A463">
            <v>94000504</v>
          </cell>
          <cell r="B463" t="str">
            <v>이마이 사키 시나리오 - 05_11</v>
          </cell>
        </row>
        <row r="464">
          <cell r="A464">
            <v>94000505</v>
          </cell>
          <cell r="B464" t="str">
            <v>이마이 사키 시나리오 - 05_13</v>
          </cell>
        </row>
        <row r="465">
          <cell r="A465">
            <v>94000506</v>
          </cell>
          <cell r="B465" t="str">
            <v>이마이 사키 시나리오 - 06_02</v>
          </cell>
        </row>
        <row r="466">
          <cell r="A466">
            <v>94000507</v>
          </cell>
          <cell r="B466" t="str">
            <v>이마이 사키 시나리오 - 06_04</v>
          </cell>
        </row>
        <row r="467">
          <cell r="A467">
            <v>94000508</v>
          </cell>
          <cell r="B467" t="str">
            <v>이마이 사키 시나리오 - 06_09</v>
          </cell>
        </row>
        <row r="468">
          <cell r="A468">
            <v>94000509</v>
          </cell>
          <cell r="B468" t="str">
            <v>이마이 사키 시나리오 - 07_06</v>
          </cell>
        </row>
        <row r="469">
          <cell r="A469">
            <v>94000510</v>
          </cell>
          <cell r="B469" t="str">
            <v>이마이 사키 시나리오 - 07_12</v>
          </cell>
        </row>
        <row r="470">
          <cell r="A470">
            <v>94000511</v>
          </cell>
          <cell r="B470" t="str">
            <v>이마이 사키 시나리오 - 08_06</v>
          </cell>
        </row>
        <row r="471">
          <cell r="A471">
            <v>94000512</v>
          </cell>
          <cell r="B471" t="str">
            <v>이마이 사키 시나리오 - 08_11</v>
          </cell>
        </row>
        <row r="472">
          <cell r="A472">
            <v>94000513</v>
          </cell>
          <cell r="B472" t="str">
            <v>이마이 사키 시나리오 - 08_12</v>
          </cell>
        </row>
        <row r="473">
          <cell r="A473">
            <v>94000514</v>
          </cell>
          <cell r="B473" t="str">
            <v>이마이 사키 시나리오 - 09_07</v>
          </cell>
        </row>
        <row r="474">
          <cell r="A474">
            <v>94000515</v>
          </cell>
          <cell r="B474" t="str">
            <v>이마이 사키 시나리오 - 10_04</v>
          </cell>
        </row>
        <row r="475">
          <cell r="A475">
            <v>94000516</v>
          </cell>
          <cell r="B475" t="str">
            <v>이마이 사키 시나리오 - 10_06</v>
          </cell>
        </row>
        <row r="476">
          <cell r="A476">
            <v>94000517</v>
          </cell>
          <cell r="B476" t="str">
            <v>이마이 사키 시나리오 - 10_07</v>
          </cell>
        </row>
        <row r="477">
          <cell r="A477">
            <v>94000518</v>
          </cell>
          <cell r="B477" t="str">
            <v>이마이 사키 시나리오 - 11_06</v>
          </cell>
        </row>
        <row r="478">
          <cell r="A478">
            <v>94000519</v>
          </cell>
          <cell r="B478" t="str">
            <v>이마이 사키 시나리오 - 11_09</v>
          </cell>
        </row>
        <row r="479">
          <cell r="A479">
            <v>94000520</v>
          </cell>
          <cell r="B479" t="str">
            <v>이마이 사키 시나리오 - 12_05</v>
          </cell>
        </row>
        <row r="480">
          <cell r="A480">
            <v>94000521</v>
          </cell>
          <cell r="B480" t="str">
            <v>이마이 사키 시나리오 - 12_07</v>
          </cell>
        </row>
        <row r="481">
          <cell r="A481">
            <v>94000522</v>
          </cell>
          <cell r="B481" t="str">
            <v>이마이 사키 시나리오 - 13_04</v>
          </cell>
        </row>
        <row r="482">
          <cell r="A482">
            <v>94000523</v>
          </cell>
          <cell r="B482" t="str">
            <v>이마이 사키 시나리오 - 13_05</v>
          </cell>
        </row>
        <row r="483">
          <cell r="A483">
            <v>94000524</v>
          </cell>
          <cell r="B483" t="str">
            <v>이마이 사키 시나리오 - 13_07</v>
          </cell>
        </row>
        <row r="484">
          <cell r="A484">
            <v>94000525</v>
          </cell>
          <cell r="B484" t="str">
            <v>이마이 사키 시나리오 - 13_08</v>
          </cell>
        </row>
        <row r="485">
          <cell r="A485">
            <v>94000526</v>
          </cell>
          <cell r="B485" t="str">
            <v>이마이 사키 시나리오 - 14_06</v>
          </cell>
        </row>
        <row r="486">
          <cell r="A486">
            <v>94000527</v>
          </cell>
          <cell r="B486" t="str">
            <v>이마이 사키 시나리오 - 14_11</v>
          </cell>
        </row>
        <row r="487">
          <cell r="A487">
            <v>94000528</v>
          </cell>
          <cell r="B487" t="str">
            <v>이마이 사키 시나리오 - 15_04</v>
          </cell>
        </row>
        <row r="488">
          <cell r="A488">
            <v>94000529</v>
          </cell>
          <cell r="B488" t="str">
            <v>이마이 사키 시나리오 - 15_13</v>
          </cell>
        </row>
        <row r="489">
          <cell r="A489">
            <v>94000530</v>
          </cell>
          <cell r="B489" t="str">
            <v>이마이 사키 시나리오 - 16_02</v>
          </cell>
        </row>
        <row r="490">
          <cell r="A490">
            <v>94000531</v>
          </cell>
          <cell r="B490" t="str">
            <v>이마이 사키 시나리오 - 16_06</v>
          </cell>
        </row>
        <row r="491">
          <cell r="A491">
            <v>94000532</v>
          </cell>
          <cell r="B491" t="str">
            <v>옷토 스피노라 시나리오 - 타렛테 도면</v>
          </cell>
        </row>
        <row r="492">
          <cell r="A492">
            <v>94000533</v>
          </cell>
          <cell r="B492" t="str">
            <v>에르네스트 로페스 시나리오 - 한자 코그 도면과 가속권</v>
          </cell>
        </row>
        <row r="493">
          <cell r="A493">
            <v>94000534</v>
          </cell>
          <cell r="B493" t="str">
            <v>시나리오 공용 - 낚싯대 세트</v>
          </cell>
        </row>
        <row r="494">
          <cell r="A494">
            <v>94000535</v>
          </cell>
          <cell r="B494" t="str">
            <v>시나리오 공용 - 충각</v>
          </cell>
        </row>
        <row r="495">
          <cell r="A495">
            <v>94000536</v>
          </cell>
          <cell r="B495" t="str">
            <v>시나리오 공용 - 돛</v>
          </cell>
        </row>
        <row r="496">
          <cell r="A496">
            <v>94000537</v>
          </cell>
          <cell r="B496" t="str">
            <v>시나리오 공용 - 포</v>
          </cell>
        </row>
        <row r="497">
          <cell r="A497">
            <v>94000538</v>
          </cell>
          <cell r="B497" t="str">
            <v>시나리오 공용 - 장갑</v>
          </cell>
        </row>
        <row r="498">
          <cell r="A498">
            <v>94000539</v>
          </cell>
          <cell r="B498" t="str">
            <v>시나리오 공용 - 선수상</v>
          </cell>
        </row>
        <row r="499">
          <cell r="A499">
            <v>94000540</v>
          </cell>
          <cell r="B499" t="str">
            <v>옷토 스피노라 시나리오 - 거석군 발견 보상</v>
          </cell>
        </row>
        <row r="500">
          <cell r="A500">
            <v>94000541</v>
          </cell>
          <cell r="B500" t="str">
            <v>에르네스트 로페스 시나리오 - 새 박사의 무언가</v>
          </cell>
        </row>
        <row r="501">
          <cell r="A501">
            <v>94000542</v>
          </cell>
          <cell r="B501" t="str">
            <v>옷토 스피노라 시나리오 - 신형 선박과 대포</v>
          </cell>
        </row>
        <row r="502">
          <cell r="A502">
            <v>94000543</v>
          </cell>
          <cell r="B502" t="str">
            <v>앤 보니 시나리오_16_07</v>
          </cell>
        </row>
        <row r="503">
          <cell r="A503">
            <v>94000544</v>
          </cell>
          <cell r="B503" t="str">
            <v>에르네스트 로페스 시나리오 - 2티어 건조 재료</v>
          </cell>
        </row>
        <row r="504">
          <cell r="A504">
            <v>94000545</v>
          </cell>
          <cell r="B504" t="str">
            <v>에르네스트 로페스 시나리오 - 3티어 건조 재료</v>
          </cell>
        </row>
        <row r="505">
          <cell r="A505">
            <v>94000546</v>
          </cell>
          <cell r="B505" t="str">
            <v>에르네스트 로페스 시나리오 - 4티어 건조 재료</v>
          </cell>
        </row>
        <row r="506">
          <cell r="A506">
            <v>94000547</v>
          </cell>
          <cell r="B506" t="str">
            <v>에르네스트 로페스 시나리오 - 5티어 건조 재료</v>
          </cell>
        </row>
        <row r="507">
          <cell r="A507">
            <v>94000548</v>
          </cell>
          <cell r="B507" t="str">
            <v>에르네스트 로페스 시나리오 - 6티어 건조 재료</v>
          </cell>
        </row>
        <row r="508">
          <cell r="A508">
            <v>94000549</v>
          </cell>
          <cell r="B508" t="str">
            <v>그레이스 오말리 시나리오 - 01_02</v>
          </cell>
        </row>
        <row r="509">
          <cell r="A509">
            <v>94000550</v>
          </cell>
          <cell r="B509" t="str">
            <v>그레이스 오말리 시나리오 - 01_06</v>
          </cell>
        </row>
        <row r="510">
          <cell r="A510">
            <v>94000551</v>
          </cell>
          <cell r="B510" t="str">
            <v>그레이스 오말리 시나리오 - 02_02</v>
          </cell>
        </row>
        <row r="511">
          <cell r="A511">
            <v>94000552</v>
          </cell>
          <cell r="B511" t="str">
            <v>그레이스 오말리 시나리오 - 02_03</v>
          </cell>
        </row>
        <row r="512">
          <cell r="A512">
            <v>94000553</v>
          </cell>
          <cell r="B512" t="str">
            <v>그레이스 오말리 시나리오 - 02_05</v>
          </cell>
        </row>
        <row r="513">
          <cell r="A513">
            <v>94000554</v>
          </cell>
          <cell r="B513" t="str">
            <v>그레이스 오말리 시나리오 - 02_06</v>
          </cell>
        </row>
        <row r="514">
          <cell r="A514">
            <v>94000555</v>
          </cell>
          <cell r="B514" t="str">
            <v>그레이스 오말리 시나리오 - 02_08</v>
          </cell>
        </row>
        <row r="515">
          <cell r="A515">
            <v>94000556</v>
          </cell>
          <cell r="B515" t="str">
            <v>그레이스 오말리 시나리오 - 03_05</v>
          </cell>
        </row>
        <row r="516">
          <cell r="A516">
            <v>94000557</v>
          </cell>
          <cell r="B516" t="str">
            <v>그레이스 오말리 시나리오 - 04_05</v>
          </cell>
        </row>
        <row r="517">
          <cell r="A517">
            <v>94000558</v>
          </cell>
          <cell r="B517" t="str">
            <v>그레이스 오말리 시나리오 - 04_09</v>
          </cell>
        </row>
        <row r="518">
          <cell r="A518">
            <v>94000559</v>
          </cell>
          <cell r="B518" t="str">
            <v>그레이스 오말리 시나리오 - 05_07</v>
          </cell>
        </row>
        <row r="519">
          <cell r="A519">
            <v>94000560</v>
          </cell>
          <cell r="B519" t="str">
            <v>그레이스 오말리 시나리오 - 06_06</v>
          </cell>
        </row>
        <row r="520">
          <cell r="A520">
            <v>94000561</v>
          </cell>
          <cell r="B520" t="str">
            <v>그레이스 오말리 시나리오 - 07_07</v>
          </cell>
        </row>
        <row r="521">
          <cell r="A521">
            <v>94000562</v>
          </cell>
          <cell r="B521" t="str">
            <v>그레이스 오말리 시나리오 - 07_15</v>
          </cell>
        </row>
        <row r="522">
          <cell r="A522">
            <v>94000563</v>
          </cell>
          <cell r="B522" t="str">
            <v>그레이스 오말리 시나리오 - 08_06</v>
          </cell>
        </row>
        <row r="523">
          <cell r="A523">
            <v>94000564</v>
          </cell>
          <cell r="B523" t="str">
            <v>그레이스 오말리 시나리오 - 09_06</v>
          </cell>
        </row>
        <row r="524">
          <cell r="A524">
            <v>94000565</v>
          </cell>
          <cell r="B524" t="str">
            <v>그레이스 오말리 시나리오 - 09_12</v>
          </cell>
        </row>
        <row r="525">
          <cell r="A525">
            <v>94000566</v>
          </cell>
          <cell r="B525" t="str">
            <v>그레이스 오말리 시나리오 - 10_04</v>
          </cell>
        </row>
        <row r="526">
          <cell r="A526">
            <v>94000567</v>
          </cell>
          <cell r="B526" t="str">
            <v>그레이스 오말리 시나리오 - 10_07</v>
          </cell>
        </row>
        <row r="527">
          <cell r="A527">
            <v>94000568</v>
          </cell>
          <cell r="B527" t="str">
            <v>그레이스 오말리 시나리오 - 11_04</v>
          </cell>
        </row>
        <row r="528">
          <cell r="A528">
            <v>94000569</v>
          </cell>
          <cell r="B528" t="str">
            <v>그레이스 오말리 시나리오 - 11_10</v>
          </cell>
        </row>
        <row r="529">
          <cell r="A529">
            <v>94000570</v>
          </cell>
          <cell r="B529" t="str">
            <v>그레이스 오말리 시나리오 - 12_04</v>
          </cell>
        </row>
        <row r="530">
          <cell r="A530">
            <v>94000571</v>
          </cell>
          <cell r="B530" t="str">
            <v>그레이스 오말리 시나리오 - 13_03</v>
          </cell>
        </row>
        <row r="531">
          <cell r="A531">
            <v>94000572</v>
          </cell>
          <cell r="B531" t="str">
            <v>그레이스 오말리 시나리오 - 14_05</v>
          </cell>
        </row>
        <row r="532">
          <cell r="A532">
            <v>94000573</v>
          </cell>
          <cell r="B532" t="str">
            <v>그레이스 오말리 시나리오 - 15_07</v>
          </cell>
        </row>
        <row r="533">
          <cell r="A533">
            <v>94000574</v>
          </cell>
          <cell r="B533" t="str">
            <v>그레이스 오말리 시나리오 - 16_04</v>
          </cell>
        </row>
        <row r="534">
          <cell r="A534">
            <v>94000575</v>
          </cell>
          <cell r="B534" t="str">
            <v>피에트로 콘티 시나리오 - 챕터1 완료</v>
          </cell>
        </row>
        <row r="535">
          <cell r="A535">
            <v>94000576</v>
          </cell>
          <cell r="B535" t="str">
            <v>피에트로 콘티 시나리오 - 챕터2 완료</v>
          </cell>
        </row>
        <row r="536">
          <cell r="A536">
            <v>94000577</v>
          </cell>
          <cell r="B536" t="str">
            <v>피에트로 콘티 시나리오 - 챕터3 완료</v>
          </cell>
        </row>
        <row r="537">
          <cell r="A537">
            <v>94000578</v>
          </cell>
          <cell r="B537" t="str">
            <v>피에트로 콘티 시나리오 - 챕터4 완료</v>
          </cell>
        </row>
        <row r="538">
          <cell r="A538">
            <v>94000579</v>
          </cell>
          <cell r="B538" t="str">
            <v>피에트로 콘티 시나리오 - 챕터5 완료</v>
          </cell>
        </row>
        <row r="539">
          <cell r="A539">
            <v>94000580</v>
          </cell>
          <cell r="B539" t="str">
            <v>피에트로 콘티 시나리오 - 챕터6 완료</v>
          </cell>
        </row>
        <row r="540">
          <cell r="A540">
            <v>94000581</v>
          </cell>
          <cell r="B540" t="str">
            <v>피에트로 콘티 시나리오 - 챕터7 완료</v>
          </cell>
        </row>
        <row r="541">
          <cell r="A541">
            <v>94000582</v>
          </cell>
          <cell r="B541" t="str">
            <v>피에트로 콘티 시나리오 - 챕터8 완료</v>
          </cell>
        </row>
        <row r="542">
          <cell r="A542">
            <v>94000583</v>
          </cell>
          <cell r="B542" t="str">
            <v>피에트로 콘티 시나리오 - 챕터9 완료</v>
          </cell>
        </row>
        <row r="543">
          <cell r="A543">
            <v>94000584</v>
          </cell>
          <cell r="B543" t="str">
            <v>피에트로 콘티 시나리오 - 챕터10 완료</v>
          </cell>
        </row>
        <row r="544">
          <cell r="A544">
            <v>94000585</v>
          </cell>
          <cell r="B544" t="str">
            <v>피에트로 콘티 시나리오 - 챕터11 완료</v>
          </cell>
        </row>
        <row r="545">
          <cell r="A545">
            <v>94000586</v>
          </cell>
          <cell r="B545" t="str">
            <v>피에트로 콘티 시나리오 - 챕터12 완료</v>
          </cell>
        </row>
        <row r="546">
          <cell r="A546">
            <v>94000587</v>
          </cell>
          <cell r="B546" t="str">
            <v>피에트로 콘티 시나리오 - 챕터13 완료</v>
          </cell>
        </row>
        <row r="547">
          <cell r="A547">
            <v>94000588</v>
          </cell>
          <cell r="B547" t="str">
            <v>피에트로 콘티 시나리오 - 챕터14 완료</v>
          </cell>
        </row>
        <row r="548">
          <cell r="A548">
            <v>94000589</v>
          </cell>
          <cell r="B548" t="str">
            <v>피에트로 콘티 시나리오 - 챕터15 완료</v>
          </cell>
        </row>
        <row r="549">
          <cell r="A549">
            <v>94000590</v>
          </cell>
          <cell r="B549" t="str">
            <v>피에트로 콘티 시나리오 - 챕터16 완료</v>
          </cell>
        </row>
        <row r="550">
          <cell r="A550">
            <v>94000591</v>
          </cell>
          <cell r="B550" t="str">
            <v>피에트로 콘티 시나리오 - 챕터1 침낭</v>
          </cell>
        </row>
        <row r="551">
          <cell r="A551">
            <v>94000592</v>
          </cell>
          <cell r="B551" t="str">
            <v>피에트로 콘티 시나리오 - 챕터2 후원자 지원</v>
          </cell>
        </row>
        <row r="552">
          <cell r="A552">
            <v>94000593</v>
          </cell>
          <cell r="B552" t="str">
            <v>피에트로 콘티 시나리오 - 챕터3 착수금</v>
          </cell>
        </row>
        <row r="553">
          <cell r="A553">
            <v>94000594</v>
          </cell>
          <cell r="B553" t="str">
            <v>피에트로 콘티 시나리오 - 챕터4 보수</v>
          </cell>
        </row>
        <row r="554">
          <cell r="A554">
            <v>94000595</v>
          </cell>
          <cell r="B554" t="str">
            <v>피에트로 콘티 시나리오 - 챕터5 침낭</v>
          </cell>
        </row>
        <row r="555">
          <cell r="A555">
            <v>94000596</v>
          </cell>
          <cell r="B555" t="str">
            <v>피에트로 콘티 시나리오 - 챕터8 보수</v>
          </cell>
        </row>
        <row r="556">
          <cell r="A556">
            <v>94000597</v>
          </cell>
          <cell r="B556" t="str">
            <v>피에트로 콘티 시나리오 - 챕터8 알베자스 삥</v>
          </cell>
        </row>
        <row r="557">
          <cell r="A557">
            <v>94000598</v>
          </cell>
          <cell r="B557" t="str">
            <v>피에트로 콘티 시나리오 - 챕터9 옷토 삥</v>
          </cell>
        </row>
        <row r="558">
          <cell r="A558">
            <v>94000599</v>
          </cell>
          <cell r="B558" t="str">
            <v>피에트로 콘티 시나리오 - 챕터10 선박</v>
          </cell>
        </row>
        <row r="559">
          <cell r="A559">
            <v>94010001</v>
          </cell>
          <cell r="B559" t="str">
            <v>업적 점수 보상 1</v>
          </cell>
        </row>
        <row r="560">
          <cell r="A560">
            <v>94010002</v>
          </cell>
          <cell r="B560" t="str">
            <v>업적 점수 보상 2</v>
          </cell>
        </row>
        <row r="561">
          <cell r="A561">
            <v>94010003</v>
          </cell>
          <cell r="B561" t="str">
            <v>업적 점수 보상 3</v>
          </cell>
        </row>
        <row r="562">
          <cell r="A562">
            <v>94010004</v>
          </cell>
          <cell r="B562" t="str">
            <v>업적 점수 보상 4</v>
          </cell>
        </row>
        <row r="563">
          <cell r="A563">
            <v>94010005</v>
          </cell>
          <cell r="B563" t="str">
            <v>업적 점수 보상 5</v>
          </cell>
        </row>
        <row r="564">
          <cell r="A564">
            <v>94010006</v>
          </cell>
          <cell r="B564" t="str">
            <v>업적 점수 보상 6</v>
          </cell>
        </row>
        <row r="565">
          <cell r="A565">
            <v>94010007</v>
          </cell>
          <cell r="B565" t="str">
            <v>업적 점수 보상 7</v>
          </cell>
        </row>
        <row r="566">
          <cell r="A566">
            <v>94010008</v>
          </cell>
          <cell r="B566" t="str">
            <v>업적 점수 보상 8</v>
          </cell>
        </row>
        <row r="567">
          <cell r="A567">
            <v>94010009</v>
          </cell>
          <cell r="B567" t="str">
            <v>업적 점수 보상 9</v>
          </cell>
        </row>
        <row r="568">
          <cell r="A568">
            <v>94010010</v>
          </cell>
          <cell r="B568" t="str">
            <v>업적 점수 보상 10</v>
          </cell>
        </row>
        <row r="569">
          <cell r="A569">
            <v>94010011</v>
          </cell>
          <cell r="B569" t="str">
            <v>업적 점수 보상 11</v>
          </cell>
        </row>
        <row r="570">
          <cell r="A570">
            <v>94010012</v>
          </cell>
          <cell r="B570" t="str">
            <v>업적 점수 보상 12</v>
          </cell>
        </row>
        <row r="571">
          <cell r="A571">
            <v>94010013</v>
          </cell>
          <cell r="B571" t="str">
            <v>업적 점수 보상 13</v>
          </cell>
        </row>
        <row r="572">
          <cell r="A572">
            <v>94010014</v>
          </cell>
          <cell r="B572" t="str">
            <v>업적 점수 보상 14</v>
          </cell>
        </row>
        <row r="573">
          <cell r="A573">
            <v>94010015</v>
          </cell>
          <cell r="B573" t="str">
            <v>업적 점수 보상 15</v>
          </cell>
        </row>
        <row r="574">
          <cell r="A574">
            <v>94010016</v>
          </cell>
          <cell r="B574" t="str">
            <v>업적 점수 보상 16</v>
          </cell>
        </row>
        <row r="575">
          <cell r="A575">
            <v>94010017</v>
          </cell>
          <cell r="B575" t="str">
            <v>업적 점수 보상 17</v>
          </cell>
        </row>
        <row r="576">
          <cell r="A576">
            <v>94010018</v>
          </cell>
          <cell r="B576" t="str">
            <v>업적 점수 보상 18</v>
          </cell>
        </row>
        <row r="577">
          <cell r="A577">
            <v>94010019</v>
          </cell>
          <cell r="B577" t="str">
            <v>업적 점수 보상 19</v>
          </cell>
        </row>
        <row r="578">
          <cell r="A578">
            <v>94010020</v>
          </cell>
          <cell r="B578" t="str">
            <v>업적 점수 보상 20</v>
          </cell>
        </row>
        <row r="579">
          <cell r="A579">
            <v>94010021</v>
          </cell>
          <cell r="B579" t="str">
            <v>업적 점수 보상 21</v>
          </cell>
        </row>
        <row r="580">
          <cell r="A580">
            <v>94010022</v>
          </cell>
          <cell r="B580" t="str">
            <v>업적 점수 보상 22</v>
          </cell>
        </row>
        <row r="581">
          <cell r="A581">
            <v>94010023</v>
          </cell>
          <cell r="B581" t="str">
            <v>업적 점수 보상 23</v>
          </cell>
        </row>
        <row r="582">
          <cell r="A582">
            <v>94010024</v>
          </cell>
          <cell r="B582" t="str">
            <v>업적 점수 보상 24</v>
          </cell>
        </row>
        <row r="583">
          <cell r="A583">
            <v>94010025</v>
          </cell>
          <cell r="B583" t="str">
            <v>업적 점수 보상 25</v>
          </cell>
        </row>
        <row r="584">
          <cell r="A584">
            <v>94010026</v>
          </cell>
          <cell r="B584" t="str">
            <v>업적 점수 보상 26</v>
          </cell>
        </row>
        <row r="585">
          <cell r="A585">
            <v>94010027</v>
          </cell>
          <cell r="B585" t="str">
            <v>업적 점수 보상 27</v>
          </cell>
        </row>
        <row r="586">
          <cell r="A586">
            <v>94010028</v>
          </cell>
          <cell r="B586" t="str">
            <v>업적 점수 보상 28</v>
          </cell>
        </row>
        <row r="587">
          <cell r="A587">
            <v>94010029</v>
          </cell>
          <cell r="B587" t="str">
            <v>업적 점수 보상 29</v>
          </cell>
        </row>
        <row r="588">
          <cell r="A588">
            <v>94010030</v>
          </cell>
          <cell r="B588" t="str">
            <v>업적 점수 보상 30</v>
          </cell>
        </row>
        <row r="589">
          <cell r="A589">
            <v>94010031</v>
          </cell>
          <cell r="B589" t="str">
            <v>업적 점수 보상 31</v>
          </cell>
        </row>
        <row r="590">
          <cell r="A590">
            <v>94010032</v>
          </cell>
          <cell r="B590" t="str">
            <v>업적 점수 보상 32</v>
          </cell>
        </row>
        <row r="591">
          <cell r="A591">
            <v>94010033</v>
          </cell>
          <cell r="B591" t="str">
            <v>업적 점수 보상 33</v>
          </cell>
        </row>
        <row r="592">
          <cell r="A592">
            <v>94010034</v>
          </cell>
          <cell r="B592" t="str">
            <v>업적 점수 보상 34</v>
          </cell>
        </row>
        <row r="593">
          <cell r="A593">
            <v>94010035</v>
          </cell>
          <cell r="B593" t="str">
            <v>업적 점수 보상 35</v>
          </cell>
        </row>
        <row r="594">
          <cell r="A594">
            <v>94010036</v>
          </cell>
          <cell r="B594" t="str">
            <v>업적 점수 보상 36</v>
          </cell>
        </row>
        <row r="595">
          <cell r="A595">
            <v>94010037</v>
          </cell>
          <cell r="B595" t="str">
            <v>업적 점수 보상 37</v>
          </cell>
        </row>
        <row r="596">
          <cell r="A596">
            <v>94010038</v>
          </cell>
          <cell r="B596" t="str">
            <v>업적 점수 보상 38</v>
          </cell>
        </row>
        <row r="597">
          <cell r="A597">
            <v>94010039</v>
          </cell>
          <cell r="B597" t="str">
            <v>업적 점수 보상 39</v>
          </cell>
        </row>
        <row r="598">
          <cell r="A598">
            <v>94010040</v>
          </cell>
          <cell r="B598" t="str">
            <v>업적 점수 보상 40</v>
          </cell>
        </row>
        <row r="599">
          <cell r="A599">
            <v>94010041</v>
          </cell>
          <cell r="B599" t="str">
            <v>업적 점수 보상 41</v>
          </cell>
        </row>
        <row r="600">
          <cell r="A600">
            <v>94010042</v>
          </cell>
          <cell r="B600" t="str">
            <v>업적 점수 보상 42</v>
          </cell>
        </row>
        <row r="601">
          <cell r="A601">
            <v>94010043</v>
          </cell>
          <cell r="B601" t="str">
            <v>업적 점수 보상 43</v>
          </cell>
        </row>
        <row r="602">
          <cell r="A602">
            <v>94010044</v>
          </cell>
          <cell r="B602" t="str">
            <v>업적 점수 보상 44</v>
          </cell>
        </row>
        <row r="603">
          <cell r="A603">
            <v>94010045</v>
          </cell>
          <cell r="B603" t="str">
            <v>업적 점수 보상 45</v>
          </cell>
        </row>
        <row r="604">
          <cell r="A604">
            <v>94010046</v>
          </cell>
          <cell r="B604" t="str">
            <v>업적 점수 보상 46</v>
          </cell>
        </row>
        <row r="605">
          <cell r="A605">
            <v>94010047</v>
          </cell>
          <cell r="B605" t="str">
            <v>업적 점수 보상 47</v>
          </cell>
        </row>
        <row r="606">
          <cell r="A606">
            <v>94010048</v>
          </cell>
          <cell r="B606" t="str">
            <v>업적 점수 보상 48</v>
          </cell>
        </row>
        <row r="607">
          <cell r="A607">
            <v>94010049</v>
          </cell>
          <cell r="B607" t="str">
            <v>업적 점수 보상 49</v>
          </cell>
        </row>
        <row r="608">
          <cell r="A608">
            <v>94010050</v>
          </cell>
          <cell r="B608" t="str">
            <v>업적 점수 보상 50</v>
          </cell>
        </row>
        <row r="609">
          <cell r="A609">
            <v>94011001</v>
          </cell>
          <cell r="B609" t="str">
            <v>업적 보상 단계1</v>
          </cell>
        </row>
        <row r="610">
          <cell r="A610">
            <v>94011002</v>
          </cell>
          <cell r="B610" t="str">
            <v>업적 보상 단계2</v>
          </cell>
        </row>
        <row r="611">
          <cell r="A611">
            <v>94011003</v>
          </cell>
          <cell r="B611" t="str">
            <v>업적 보상 단계3</v>
          </cell>
        </row>
        <row r="612">
          <cell r="A612">
            <v>94011004</v>
          </cell>
          <cell r="B612" t="str">
            <v>업적 보상 단계4</v>
          </cell>
        </row>
        <row r="613">
          <cell r="A613">
            <v>94011005</v>
          </cell>
          <cell r="B613" t="str">
            <v>업적 보상 단계5</v>
          </cell>
        </row>
        <row r="614">
          <cell r="A614">
            <v>94011006</v>
          </cell>
          <cell r="B614" t="str">
            <v>업적 보상 단계6</v>
          </cell>
        </row>
        <row r="615">
          <cell r="A615">
            <v>94011007</v>
          </cell>
          <cell r="B615" t="str">
            <v>업적 보상 단계7</v>
          </cell>
        </row>
        <row r="616">
          <cell r="A616">
            <v>94011008</v>
          </cell>
          <cell r="B616" t="str">
            <v>업적 보상 단계8</v>
          </cell>
        </row>
        <row r="617">
          <cell r="A617">
            <v>94011009</v>
          </cell>
          <cell r="B617" t="str">
            <v>업적 보상 단계9</v>
          </cell>
        </row>
        <row r="618">
          <cell r="A618">
            <v>94011010</v>
          </cell>
          <cell r="B618" t="str">
            <v>업적 보상 단계10</v>
          </cell>
        </row>
        <row r="619">
          <cell r="A619">
            <v>94011501</v>
          </cell>
          <cell r="B619" t="str">
            <v>서장 프롤로그 완료 보상</v>
          </cell>
        </row>
        <row r="620">
          <cell r="A620">
            <v>94012001</v>
          </cell>
          <cell r="B620" t="str">
            <v>발견물 도감 보상 단계 1</v>
          </cell>
        </row>
        <row r="621">
          <cell r="A621">
            <v>94012002</v>
          </cell>
          <cell r="B621" t="str">
            <v>발견물 도감 보상 단계 2</v>
          </cell>
        </row>
        <row r="622">
          <cell r="A622">
            <v>94012003</v>
          </cell>
          <cell r="B622" t="str">
            <v>발견물 도감 보상 단계 3</v>
          </cell>
        </row>
        <row r="623">
          <cell r="A623">
            <v>94012004</v>
          </cell>
          <cell r="B623" t="str">
            <v>발견물 도감 보상 단계 4</v>
          </cell>
        </row>
        <row r="624">
          <cell r="A624">
            <v>94012005</v>
          </cell>
          <cell r="B624" t="str">
            <v>발견물 도감 보상 단계 5</v>
          </cell>
        </row>
        <row r="625">
          <cell r="A625">
            <v>94012006</v>
          </cell>
          <cell r="B625" t="str">
            <v>발견물 도감 보상 단계 6</v>
          </cell>
        </row>
        <row r="626">
          <cell r="A626">
            <v>94012007</v>
          </cell>
          <cell r="B626" t="str">
            <v>발견물 도감 보상 단계 7</v>
          </cell>
        </row>
        <row r="627">
          <cell r="A627">
            <v>94012008</v>
          </cell>
          <cell r="B627" t="str">
            <v>발견물 도감 보상 단계 8</v>
          </cell>
        </row>
        <row r="628">
          <cell r="A628">
            <v>94012009</v>
          </cell>
          <cell r="B628" t="str">
            <v>발견물 도감 보상 단계 9</v>
          </cell>
        </row>
        <row r="629">
          <cell r="A629">
            <v>94012101</v>
          </cell>
          <cell r="B629" t="str">
            <v>발견물 도감 항구 보상 단계 1</v>
          </cell>
        </row>
        <row r="630">
          <cell r="A630">
            <v>94012102</v>
          </cell>
          <cell r="B630" t="str">
            <v>발견물 도감 항구 보상 단계 2</v>
          </cell>
        </row>
        <row r="631">
          <cell r="A631">
            <v>94012103</v>
          </cell>
          <cell r="B631" t="str">
            <v>발견물 도감 항구 보상 단계 3</v>
          </cell>
        </row>
        <row r="632">
          <cell r="A632">
            <v>94012104</v>
          </cell>
          <cell r="B632" t="str">
            <v>발견물 도감 항구 보상 단계 4</v>
          </cell>
        </row>
        <row r="633">
          <cell r="A633">
            <v>94012105</v>
          </cell>
          <cell r="B633" t="str">
            <v>발견물 도감 항구 보상 단계 5</v>
          </cell>
        </row>
        <row r="634">
          <cell r="A634">
            <v>94012106</v>
          </cell>
          <cell r="B634" t="str">
            <v>발견물 도감 항구 보상 단계 6</v>
          </cell>
        </row>
        <row r="635">
          <cell r="A635">
            <v>94012107</v>
          </cell>
          <cell r="B635" t="str">
            <v>발견물 도감 항구 보상 단계 7</v>
          </cell>
        </row>
        <row r="636">
          <cell r="A636">
            <v>94012108</v>
          </cell>
          <cell r="B636" t="str">
            <v>발견물 도감 항구 보상 단계 8</v>
          </cell>
        </row>
        <row r="637">
          <cell r="A637">
            <v>94012109</v>
          </cell>
          <cell r="B637" t="str">
            <v>발견물 도감 항구 보상 단계 9</v>
          </cell>
        </row>
        <row r="638">
          <cell r="A638">
            <v>94012201</v>
          </cell>
          <cell r="B638" t="str">
            <v>발견물 도감 부락 보상 단계 1</v>
          </cell>
        </row>
        <row r="639">
          <cell r="A639">
            <v>94012202</v>
          </cell>
          <cell r="B639" t="str">
            <v>발견물 도감 부락 보상 단계 2</v>
          </cell>
        </row>
        <row r="640">
          <cell r="A640">
            <v>94012203</v>
          </cell>
          <cell r="B640" t="str">
            <v>발견물 도감 부락 보상 단계 3</v>
          </cell>
        </row>
        <row r="641">
          <cell r="A641">
            <v>94012204</v>
          </cell>
          <cell r="B641" t="str">
            <v>발견물 도감 부락 보상 단계 4</v>
          </cell>
        </row>
        <row r="642">
          <cell r="A642">
            <v>94012205</v>
          </cell>
          <cell r="B642" t="str">
            <v>발견물 도감 부락 보상 단계 5</v>
          </cell>
        </row>
        <row r="643">
          <cell r="A643">
            <v>94012206</v>
          </cell>
          <cell r="B643" t="str">
            <v>발견물 도감 부락 보상 단계 6</v>
          </cell>
        </row>
        <row r="644">
          <cell r="A644">
            <v>94012207</v>
          </cell>
          <cell r="B644" t="str">
            <v>발견물 도감 부락 보상 단계 7</v>
          </cell>
        </row>
        <row r="645">
          <cell r="A645">
            <v>94012208</v>
          </cell>
          <cell r="B645" t="str">
            <v>발견물 도감 부락 보상 단계 8</v>
          </cell>
        </row>
        <row r="646">
          <cell r="A646">
            <v>94012209</v>
          </cell>
          <cell r="B646" t="str">
            <v>발견물 도감 부락 보상 단계 9</v>
          </cell>
        </row>
        <row r="647">
          <cell r="A647">
            <v>94013001</v>
          </cell>
          <cell r="B647" t="str">
            <v>상회상점_커터 도면</v>
          </cell>
        </row>
        <row r="648">
          <cell r="A648">
            <v>94013002</v>
          </cell>
          <cell r="B648" t="str">
            <v>상회상점_핀네스 도면</v>
          </cell>
        </row>
        <row r="649">
          <cell r="A649">
            <v>94013003</v>
          </cell>
          <cell r="B649" t="str">
            <v>상회상점_프류트 도면</v>
          </cell>
        </row>
        <row r="650">
          <cell r="A650">
            <v>94013004</v>
          </cell>
          <cell r="B650" t="str">
            <v>상회상점_프로아 도면</v>
          </cell>
        </row>
        <row r="651">
          <cell r="A651">
            <v>94013005</v>
          </cell>
          <cell r="B651" t="str">
            <v>상회상점_주가 도면</v>
          </cell>
        </row>
        <row r="652">
          <cell r="A652">
            <v>94013006</v>
          </cell>
          <cell r="B652" t="str">
            <v>상회상점_나오 도면</v>
          </cell>
        </row>
        <row r="653">
          <cell r="A653">
            <v>94013007</v>
          </cell>
          <cell r="B653" t="str">
            <v>상회상점_갤리 도면</v>
          </cell>
        </row>
        <row r="654">
          <cell r="A654">
            <v>94013008</v>
          </cell>
          <cell r="B654" t="str">
            <v>상회상점_삼부크 도면</v>
          </cell>
        </row>
        <row r="655">
          <cell r="A655">
            <v>94013009</v>
          </cell>
          <cell r="B655" t="str">
            <v>상회상점_다우 도면</v>
          </cell>
        </row>
        <row r="656">
          <cell r="A656">
            <v>94013010</v>
          </cell>
          <cell r="B656" t="str">
            <v>상회상점_맹선 도면</v>
          </cell>
        </row>
        <row r="657">
          <cell r="A657">
            <v>94013011</v>
          </cell>
          <cell r="B657" t="str">
            <v>상회상점_중 갤리 도면</v>
          </cell>
        </row>
        <row r="658">
          <cell r="A658">
            <v>94013012</v>
          </cell>
          <cell r="B658" t="str">
            <v>상회상점_중 캐러벨 도면</v>
          </cell>
        </row>
        <row r="659">
          <cell r="A659">
            <v>94013013</v>
          </cell>
          <cell r="B659" t="str">
            <v>상회상점_스쿠너 도면</v>
          </cell>
        </row>
        <row r="660">
          <cell r="A660">
            <v>94013014</v>
          </cell>
          <cell r="B660" t="str">
            <v>상회상점_탄작 도면</v>
          </cell>
        </row>
        <row r="661">
          <cell r="A661">
            <v>94013015</v>
          </cell>
          <cell r="B661" t="str">
            <v>상회상점_경량형 사선 도면</v>
          </cell>
        </row>
        <row r="662">
          <cell r="A662">
            <v>94013016</v>
          </cell>
          <cell r="B662" t="str">
            <v>상회상점_카락 도면</v>
          </cell>
        </row>
        <row r="663">
          <cell r="A663">
            <v>94013017</v>
          </cell>
          <cell r="B663" t="str">
            <v>상회상점_지벡 도면</v>
          </cell>
        </row>
        <row r="664">
          <cell r="A664">
            <v>94013018</v>
          </cell>
          <cell r="B664" t="str">
            <v>상회상점_프리깃 도면</v>
          </cell>
        </row>
        <row r="665">
          <cell r="A665">
            <v>94013019</v>
          </cell>
          <cell r="B665" t="str">
            <v>상회상점_카라코아 도면</v>
          </cell>
        </row>
        <row r="666">
          <cell r="A666">
            <v>94013020</v>
          </cell>
          <cell r="B666" t="str">
            <v>상회상점_몽충 도면</v>
          </cell>
        </row>
        <row r="667">
          <cell r="A667">
            <v>94013021</v>
          </cell>
          <cell r="B667" t="str">
            <v>상회상점_갤리온 도면</v>
          </cell>
        </row>
        <row r="668">
          <cell r="A668">
            <v>94013022</v>
          </cell>
          <cell r="B668" t="str">
            <v>상회상점_빅토리아 도면</v>
          </cell>
        </row>
        <row r="669">
          <cell r="A669">
            <v>94013023</v>
          </cell>
          <cell r="B669" t="str">
            <v>상회상점_바스 도면</v>
          </cell>
        </row>
        <row r="670">
          <cell r="A670">
            <v>94013024</v>
          </cell>
          <cell r="B670" t="str">
            <v>상회상점_복선 도면</v>
          </cell>
        </row>
        <row r="671">
          <cell r="A671">
            <v>94013025</v>
          </cell>
          <cell r="B671" t="str">
            <v>상회상점_조운선 도면</v>
          </cell>
        </row>
        <row r="672">
          <cell r="A672">
            <v>94013026</v>
          </cell>
          <cell r="B672" t="str">
            <v>상회상점_오스만 갤리 도면</v>
          </cell>
        </row>
        <row r="673">
          <cell r="A673">
            <v>94013027</v>
          </cell>
          <cell r="B673" t="str">
            <v>상회상점_스페르베르 도면</v>
          </cell>
        </row>
        <row r="674">
          <cell r="A674">
            <v>94013028</v>
          </cell>
          <cell r="B674" t="str">
            <v>상회상점_메이플라워 도면</v>
          </cell>
        </row>
        <row r="675">
          <cell r="A675">
            <v>94013029</v>
          </cell>
          <cell r="B675" t="str">
            <v>상회상점_사선 도면</v>
          </cell>
        </row>
        <row r="676">
          <cell r="A676">
            <v>94013030</v>
          </cell>
          <cell r="B676" t="str">
            <v>상회상점_관선 도면</v>
          </cell>
        </row>
        <row r="677">
          <cell r="A677">
            <v>94013031</v>
          </cell>
          <cell r="B677" t="str">
            <v>상회상점_고용 가속권 10분</v>
          </cell>
        </row>
        <row r="678">
          <cell r="A678">
            <v>94013032</v>
          </cell>
          <cell r="B678" t="str">
            <v>상회상점_고용 가속권 30분</v>
          </cell>
        </row>
        <row r="679">
          <cell r="A679">
            <v>94013033</v>
          </cell>
          <cell r="B679" t="str">
            <v>상회상점_고용 가속권 1시간</v>
          </cell>
        </row>
        <row r="680">
          <cell r="A680">
            <v>94013034</v>
          </cell>
          <cell r="B680" t="str">
            <v>상회상점_격려 가속권 10분</v>
          </cell>
        </row>
        <row r="681">
          <cell r="A681">
            <v>94013035</v>
          </cell>
          <cell r="B681" t="str">
            <v>상회상점_격려 가속권 30분</v>
          </cell>
        </row>
        <row r="682">
          <cell r="A682">
            <v>94013036</v>
          </cell>
          <cell r="B682" t="str">
            <v>상회상점_격려 가속권 1시간</v>
          </cell>
        </row>
        <row r="683">
          <cell r="A683">
            <v>94013037</v>
          </cell>
          <cell r="B683" t="str">
            <v>상회상점_건조 가속권 10분</v>
          </cell>
        </row>
        <row r="684">
          <cell r="A684">
            <v>94013038</v>
          </cell>
          <cell r="B684" t="str">
            <v>상회상점_건조 가속권 30분</v>
          </cell>
        </row>
        <row r="685">
          <cell r="A685">
            <v>94013039</v>
          </cell>
          <cell r="B685" t="str">
            <v>상회상점_건조 가속권 1시간</v>
          </cell>
        </row>
        <row r="686">
          <cell r="A686">
            <v>94013040</v>
          </cell>
          <cell r="B686" t="str">
            <v>상회상점_승급 가속권 10분</v>
          </cell>
        </row>
        <row r="687">
          <cell r="A687">
            <v>94013041</v>
          </cell>
          <cell r="B687" t="str">
            <v>상회상점_승급 가속권 30분</v>
          </cell>
        </row>
        <row r="688">
          <cell r="A688">
            <v>94013042</v>
          </cell>
          <cell r="B688" t="str">
            <v>상회상점_승급 가속권 1시간</v>
          </cell>
        </row>
        <row r="689">
          <cell r="A689">
            <v>94013043</v>
          </cell>
          <cell r="B689" t="str">
            <v>상회상점_학습 가속권 10분</v>
          </cell>
        </row>
        <row r="690">
          <cell r="A690">
            <v>94013044</v>
          </cell>
          <cell r="B690" t="str">
            <v>상회상점_학습 가속권 30분</v>
          </cell>
        </row>
        <row r="691">
          <cell r="A691">
            <v>94013045</v>
          </cell>
          <cell r="B691" t="str">
            <v>상회상점_학습 가속권 1시간</v>
          </cell>
        </row>
        <row r="692">
          <cell r="A692">
            <v>94013046</v>
          </cell>
          <cell r="B692" t="str">
            <v>상회상점_C급 장비 의뢰서</v>
          </cell>
        </row>
        <row r="693">
          <cell r="A693">
            <v>94013047</v>
          </cell>
          <cell r="B693" t="str">
            <v>상회상점_C급 녹색 광석</v>
          </cell>
        </row>
        <row r="694">
          <cell r="A694">
            <v>94013048</v>
          </cell>
          <cell r="B694" t="str">
            <v>상회상점_C급 푸른색 광석</v>
          </cell>
        </row>
        <row r="695">
          <cell r="A695">
            <v>94013049</v>
          </cell>
          <cell r="B695" t="str">
            <v>상회상점_C급 붉은색 광석</v>
          </cell>
        </row>
        <row r="696">
          <cell r="A696">
            <v>94013050</v>
          </cell>
          <cell r="B696" t="str">
            <v>상회상점_B급 장비 의뢰서</v>
          </cell>
        </row>
        <row r="697">
          <cell r="A697">
            <v>94013051</v>
          </cell>
          <cell r="B697" t="str">
            <v>상회상점_B급 녹색 광석</v>
          </cell>
        </row>
        <row r="698">
          <cell r="A698">
            <v>94013052</v>
          </cell>
          <cell r="B698" t="str">
            <v>상회상점_B급 푸른색 광석</v>
          </cell>
        </row>
        <row r="699">
          <cell r="A699">
            <v>94013053</v>
          </cell>
          <cell r="B699" t="str">
            <v>상회상점_B급 붉은색 광석</v>
          </cell>
        </row>
        <row r="700">
          <cell r="A700">
            <v>94013054</v>
          </cell>
          <cell r="B700" t="str">
            <v>상회상점_C급 부품 의뢰서</v>
          </cell>
        </row>
        <row r="701">
          <cell r="A701">
            <v>94013055</v>
          </cell>
          <cell r="B701" t="str">
            <v>상회상점_C급 가공 금속</v>
          </cell>
        </row>
        <row r="702">
          <cell r="A702">
            <v>94013056</v>
          </cell>
          <cell r="B702" t="str">
            <v>상회상점_C급 가공 철재</v>
          </cell>
        </row>
        <row r="703">
          <cell r="A703">
            <v>94013057</v>
          </cell>
          <cell r="B703" t="str">
            <v>상회상점_C급 가공 목재</v>
          </cell>
        </row>
        <row r="704">
          <cell r="A704">
            <v>94013058</v>
          </cell>
          <cell r="B704" t="str">
            <v>상회상점_B급 부품 의뢰서</v>
          </cell>
        </row>
        <row r="705">
          <cell r="A705">
            <v>94013059</v>
          </cell>
          <cell r="B705" t="str">
            <v>상회상점_B급 가공 금속</v>
          </cell>
        </row>
        <row r="706">
          <cell r="A706">
            <v>94013060</v>
          </cell>
          <cell r="B706" t="str">
            <v>상회상점_B급 가공 철재</v>
          </cell>
        </row>
        <row r="707">
          <cell r="A707">
            <v>94013061</v>
          </cell>
          <cell r="B707" t="str">
            <v>상회상점_B급 가공 목재</v>
          </cell>
        </row>
        <row r="708">
          <cell r="A708">
            <v>94050000</v>
          </cell>
          <cell r="B708" t="str">
            <v>CBT1 참여쿠폰</v>
          </cell>
        </row>
        <row r="709">
          <cell r="A709">
            <v>94050001</v>
          </cell>
          <cell r="B709" t="str">
            <v>무료 레드젬 테스트</v>
          </cell>
        </row>
        <row r="710">
          <cell r="A710">
            <v>94050002</v>
          </cell>
          <cell r="B710" t="str">
            <v>CBT 참가 감사 쿠폰</v>
          </cell>
        </row>
        <row r="711">
          <cell r="A711">
            <v>94050003</v>
          </cell>
          <cell r="B711" t="str">
            <v>FLOOR 사전 등록 쿠폰</v>
          </cell>
        </row>
        <row r="712">
          <cell r="A712">
            <v>94050004</v>
          </cell>
          <cell r="B712" t="str">
            <v>VIP 쿠폰</v>
          </cell>
        </row>
        <row r="713">
          <cell r="A713">
            <v>94050005</v>
          </cell>
          <cell r="B713" t="str">
            <v>홈페이지 사전 등록 보상</v>
          </cell>
        </row>
        <row r="714">
          <cell r="A714">
            <v>94050006</v>
          </cell>
          <cell r="B714" t="str">
            <v>구글 플레이 사전 등록 보상</v>
          </cell>
        </row>
        <row r="715">
          <cell r="A715">
            <v>94050007</v>
          </cell>
          <cell r="B715" t="str">
            <v>홈페이지 WWF 누적 포인트 보상</v>
          </cell>
        </row>
        <row r="716">
          <cell r="A716">
            <v>94050008</v>
          </cell>
          <cell r="B716" t="str">
            <v>온라인 간담회 감사 쿠폰</v>
          </cell>
        </row>
        <row r="717">
          <cell r="A717">
            <v>94050009</v>
          </cell>
          <cell r="B717" t="str">
            <v>동영상 쿠폰1</v>
          </cell>
        </row>
        <row r="718">
          <cell r="A718">
            <v>94050010</v>
          </cell>
          <cell r="B718" t="str">
            <v>동영상 쿠폰_221026</v>
          </cell>
        </row>
        <row r="719">
          <cell r="A719">
            <v>94050011</v>
          </cell>
          <cell r="B719" t="str">
            <v>할로윈 쿠폰</v>
          </cell>
        </row>
        <row r="720">
          <cell r="A720">
            <v>94100000</v>
          </cell>
          <cell r="B720" t="str">
            <v>권역 기여도 보상 - 지브롤터 근처</v>
          </cell>
        </row>
        <row r="721">
          <cell r="A721">
            <v>94100001</v>
          </cell>
          <cell r="B721" t="str">
            <v>권역 기여도 보상 - 서남아시아</v>
          </cell>
        </row>
        <row r="722">
          <cell r="A722">
            <v>94100002</v>
          </cell>
          <cell r="B722" t="str">
            <v>권역 기여도 보상 - 이탈리아반도</v>
          </cell>
        </row>
        <row r="723">
          <cell r="A723">
            <v>94100003</v>
          </cell>
          <cell r="B723" t="str">
            <v>권역 기여도 보상 - 극동아시아</v>
          </cell>
        </row>
        <row r="724">
          <cell r="A724">
            <v>94100004</v>
          </cell>
          <cell r="B724" t="str">
            <v>권역 기여도 보상 - 흑해 인근</v>
          </cell>
        </row>
        <row r="725">
          <cell r="A725">
            <v>94100005</v>
          </cell>
          <cell r="B725" t="str">
            <v>권역 기여도 보상 - 잉글랜드 서쪽</v>
          </cell>
        </row>
        <row r="726">
          <cell r="A726">
            <v>94100006</v>
          </cell>
          <cell r="B726" t="str">
            <v>권역 기여도 보상 - 남미</v>
          </cell>
        </row>
        <row r="727">
          <cell r="A727">
            <v>94100007</v>
          </cell>
          <cell r="B727" t="str">
            <v>권역 기여도 보상 - 스칸디나비아반도</v>
          </cell>
        </row>
        <row r="728">
          <cell r="A728">
            <v>94100008</v>
          </cell>
          <cell r="B728" t="str">
            <v>권역 기여도 보상 - 동아시아</v>
          </cell>
        </row>
        <row r="729">
          <cell r="A729">
            <v>94100009</v>
          </cell>
          <cell r="B729" t="str">
            <v>권역 기여도 보상 - 서아프리카</v>
          </cell>
        </row>
        <row r="730">
          <cell r="A730">
            <v>94100010</v>
          </cell>
          <cell r="B730" t="str">
            <v>권역 기여도 보상 - 지중해</v>
          </cell>
        </row>
        <row r="731">
          <cell r="A731">
            <v>94100011</v>
          </cell>
          <cell r="B731" t="str">
            <v>권역 기여도 보상 - 남인도양</v>
          </cell>
        </row>
        <row r="732">
          <cell r="A732">
            <v>94100012</v>
          </cell>
          <cell r="B732" t="str">
            <v>권역 기여도 보상 - 북해</v>
          </cell>
        </row>
        <row r="733">
          <cell r="A733">
            <v>94100013</v>
          </cell>
          <cell r="B733" t="str">
            <v>권역 기여도 보상 - 북미</v>
          </cell>
        </row>
        <row r="734">
          <cell r="A734">
            <v>94100014</v>
          </cell>
          <cell r="B734" t="str">
            <v>권역 기여도 보상 - 동남아시아</v>
          </cell>
        </row>
        <row r="735">
          <cell r="A735">
            <v>94100015</v>
          </cell>
          <cell r="B735" t="str">
            <v>권역 기여도 보상 - 북극해</v>
          </cell>
        </row>
        <row r="736">
          <cell r="A736">
            <v>94100016</v>
          </cell>
          <cell r="B736" t="str">
            <v>권역 기여도 보상 - 동지중해</v>
          </cell>
        </row>
        <row r="737">
          <cell r="A737">
            <v>94100017</v>
          </cell>
          <cell r="B737" t="str">
            <v>권역 기여도 보상 - 태평양</v>
          </cell>
        </row>
        <row r="738">
          <cell r="A738">
            <v>94100018</v>
          </cell>
          <cell r="B738" t="str">
            <v>권역 기여도 보상 - 남아프리카</v>
          </cell>
        </row>
        <row r="739">
          <cell r="A739">
            <v>94100019</v>
          </cell>
          <cell r="B739" t="str">
            <v>권역 기여도 보상 - 중미</v>
          </cell>
        </row>
        <row r="740">
          <cell r="A740">
            <v>94100020</v>
          </cell>
          <cell r="B740" t="str">
            <v>권역 기여도 보상 - 동인도양</v>
          </cell>
        </row>
        <row r="741">
          <cell r="A741">
            <v>94100021</v>
          </cell>
          <cell r="B741" t="str">
            <v>권역 기여도 보상 - 극동서아시아</v>
          </cell>
        </row>
        <row r="742">
          <cell r="A742">
            <v>94100022</v>
          </cell>
          <cell r="B742" t="str">
            <v>권역 기여도 보상 - 극동남아시아</v>
          </cell>
        </row>
        <row r="743">
          <cell r="A743">
            <v>95000001</v>
          </cell>
          <cell r="B743" t="str">
            <v>두카트1000</v>
          </cell>
        </row>
        <row r="744">
          <cell r="A744">
            <v>95000002</v>
          </cell>
          <cell r="B744" t="str">
            <v>두카트2000</v>
          </cell>
        </row>
        <row r="745">
          <cell r="A745">
            <v>95000003</v>
          </cell>
          <cell r="B745" t="str">
            <v>두카트3000</v>
          </cell>
        </row>
        <row r="746">
          <cell r="A746">
            <v>95000004</v>
          </cell>
          <cell r="B746" t="str">
            <v>두카트4000</v>
          </cell>
        </row>
        <row r="747">
          <cell r="A747">
            <v>95000005</v>
          </cell>
          <cell r="B747" t="str">
            <v>두카트5000</v>
          </cell>
        </row>
        <row r="748">
          <cell r="A748">
            <v>95000006</v>
          </cell>
          <cell r="B748" t="str">
            <v>두카트6000</v>
          </cell>
        </row>
        <row r="749">
          <cell r="A749">
            <v>95000007</v>
          </cell>
          <cell r="B749" t="str">
            <v>두카트7000</v>
          </cell>
        </row>
        <row r="750">
          <cell r="A750">
            <v>95000008</v>
          </cell>
          <cell r="B750" t="str">
            <v>두카트8000</v>
          </cell>
        </row>
        <row r="751">
          <cell r="A751">
            <v>95000009</v>
          </cell>
          <cell r="B751" t="str">
            <v>두카트9000</v>
          </cell>
        </row>
        <row r="752">
          <cell r="A752">
            <v>95000010</v>
          </cell>
          <cell r="B752" t="str">
            <v>두카트10000</v>
          </cell>
        </row>
        <row r="753">
          <cell r="A753">
            <v>95000011</v>
          </cell>
          <cell r="B753" t="str">
            <v>두카트11000</v>
          </cell>
        </row>
        <row r="754">
          <cell r="A754">
            <v>95000012</v>
          </cell>
          <cell r="B754" t="str">
            <v>두카트12000</v>
          </cell>
        </row>
        <row r="755">
          <cell r="A755">
            <v>95000013</v>
          </cell>
          <cell r="B755" t="str">
            <v>두카트13000</v>
          </cell>
        </row>
        <row r="756">
          <cell r="A756">
            <v>95000014</v>
          </cell>
          <cell r="B756" t="str">
            <v>두카트14000</v>
          </cell>
        </row>
        <row r="757">
          <cell r="A757">
            <v>95000015</v>
          </cell>
          <cell r="B757" t="str">
            <v>두카트15000</v>
          </cell>
        </row>
        <row r="758">
          <cell r="A758">
            <v>95000016</v>
          </cell>
          <cell r="B758" t="str">
            <v>두카트16000</v>
          </cell>
        </row>
        <row r="759">
          <cell r="A759">
            <v>95000017</v>
          </cell>
          <cell r="B759" t="str">
            <v>두카트17000</v>
          </cell>
        </row>
        <row r="760">
          <cell r="A760">
            <v>95000018</v>
          </cell>
          <cell r="B760" t="str">
            <v>두카트18000</v>
          </cell>
        </row>
        <row r="761">
          <cell r="A761">
            <v>95000019</v>
          </cell>
          <cell r="B761" t="str">
            <v>두카트19000</v>
          </cell>
        </row>
        <row r="762">
          <cell r="A762">
            <v>95000020</v>
          </cell>
          <cell r="B762" t="str">
            <v>두카트20000</v>
          </cell>
        </row>
        <row r="763">
          <cell r="A763">
            <v>95000021</v>
          </cell>
          <cell r="B763" t="str">
            <v>두카트21000</v>
          </cell>
        </row>
        <row r="764">
          <cell r="A764">
            <v>95000022</v>
          </cell>
          <cell r="B764" t="str">
            <v>두카트22000</v>
          </cell>
        </row>
        <row r="765">
          <cell r="A765">
            <v>95000023</v>
          </cell>
          <cell r="B765" t="str">
            <v>두카트23000</v>
          </cell>
        </row>
        <row r="766">
          <cell r="A766">
            <v>95000024</v>
          </cell>
          <cell r="B766" t="str">
            <v>두카트24000</v>
          </cell>
        </row>
        <row r="767">
          <cell r="A767">
            <v>95000025</v>
          </cell>
          <cell r="B767" t="str">
            <v>두카트25000</v>
          </cell>
        </row>
        <row r="768">
          <cell r="A768">
            <v>95000026</v>
          </cell>
          <cell r="B768" t="str">
            <v>두카트26000</v>
          </cell>
        </row>
        <row r="769">
          <cell r="A769">
            <v>95000027</v>
          </cell>
          <cell r="B769" t="str">
            <v>두카트27000</v>
          </cell>
        </row>
        <row r="770">
          <cell r="A770">
            <v>95000028</v>
          </cell>
          <cell r="B770" t="str">
            <v>두카트28000</v>
          </cell>
        </row>
        <row r="771">
          <cell r="A771">
            <v>95000029</v>
          </cell>
          <cell r="B771" t="str">
            <v>두카트29000</v>
          </cell>
        </row>
        <row r="772">
          <cell r="A772">
            <v>95000030</v>
          </cell>
          <cell r="B772" t="str">
            <v>두카트30000</v>
          </cell>
        </row>
        <row r="773">
          <cell r="A773">
            <v>95000031</v>
          </cell>
          <cell r="B773" t="str">
            <v>두카트31000</v>
          </cell>
        </row>
        <row r="774">
          <cell r="A774">
            <v>95000032</v>
          </cell>
          <cell r="B774" t="str">
            <v>두카트32000</v>
          </cell>
        </row>
        <row r="775">
          <cell r="A775">
            <v>95000033</v>
          </cell>
          <cell r="B775" t="str">
            <v>두카트33000</v>
          </cell>
        </row>
        <row r="776">
          <cell r="A776">
            <v>95000034</v>
          </cell>
          <cell r="B776" t="str">
            <v>두카트34000</v>
          </cell>
        </row>
        <row r="777">
          <cell r="A777">
            <v>95000035</v>
          </cell>
          <cell r="B777" t="str">
            <v>두카트35000</v>
          </cell>
        </row>
        <row r="778">
          <cell r="A778">
            <v>95000036</v>
          </cell>
          <cell r="B778" t="str">
            <v>두카트36000</v>
          </cell>
        </row>
        <row r="779">
          <cell r="A779">
            <v>95000037</v>
          </cell>
          <cell r="B779" t="str">
            <v>두카트37000</v>
          </cell>
        </row>
        <row r="780">
          <cell r="A780">
            <v>95000038</v>
          </cell>
          <cell r="B780" t="str">
            <v>두카트38000</v>
          </cell>
        </row>
        <row r="781">
          <cell r="A781">
            <v>95000039</v>
          </cell>
          <cell r="B781" t="str">
            <v>두카트39000</v>
          </cell>
        </row>
        <row r="782">
          <cell r="A782">
            <v>95000040</v>
          </cell>
          <cell r="B782" t="str">
            <v>두카트40000</v>
          </cell>
        </row>
        <row r="783">
          <cell r="A783">
            <v>95000041</v>
          </cell>
          <cell r="B783" t="str">
            <v>두카트41000</v>
          </cell>
        </row>
        <row r="784">
          <cell r="A784">
            <v>95000042</v>
          </cell>
          <cell r="B784" t="str">
            <v>두카트42000</v>
          </cell>
        </row>
        <row r="785">
          <cell r="A785">
            <v>95000043</v>
          </cell>
          <cell r="B785" t="str">
            <v>두카트43000</v>
          </cell>
        </row>
        <row r="786">
          <cell r="A786">
            <v>95000044</v>
          </cell>
          <cell r="B786" t="str">
            <v>두카트44000</v>
          </cell>
        </row>
        <row r="787">
          <cell r="A787">
            <v>95000045</v>
          </cell>
          <cell r="B787" t="str">
            <v>두카트45000</v>
          </cell>
        </row>
        <row r="788">
          <cell r="A788">
            <v>95000046</v>
          </cell>
          <cell r="B788" t="str">
            <v>두카트46000</v>
          </cell>
        </row>
        <row r="789">
          <cell r="A789">
            <v>95000047</v>
          </cell>
          <cell r="B789" t="str">
            <v>두카트47000</v>
          </cell>
        </row>
        <row r="790">
          <cell r="A790">
            <v>95000048</v>
          </cell>
          <cell r="B790" t="str">
            <v>두카트48000</v>
          </cell>
        </row>
        <row r="791">
          <cell r="A791">
            <v>95000049</v>
          </cell>
          <cell r="B791" t="str">
            <v>두카트49000</v>
          </cell>
        </row>
        <row r="792">
          <cell r="A792">
            <v>95000050</v>
          </cell>
          <cell r="B792" t="str">
            <v>두카트50000</v>
          </cell>
        </row>
        <row r="793">
          <cell r="A793">
            <v>95000051</v>
          </cell>
          <cell r="B793" t="str">
            <v>두카트51000</v>
          </cell>
        </row>
        <row r="794">
          <cell r="A794">
            <v>95000052</v>
          </cell>
          <cell r="B794" t="str">
            <v>두카트52000</v>
          </cell>
        </row>
        <row r="795">
          <cell r="A795">
            <v>95000053</v>
          </cell>
          <cell r="B795" t="str">
            <v>두카트53000</v>
          </cell>
        </row>
        <row r="796">
          <cell r="A796">
            <v>95000054</v>
          </cell>
          <cell r="B796" t="str">
            <v>두카트54000</v>
          </cell>
        </row>
        <row r="797">
          <cell r="A797">
            <v>95000055</v>
          </cell>
          <cell r="B797" t="str">
            <v>두카트55000</v>
          </cell>
        </row>
        <row r="798">
          <cell r="A798">
            <v>95000056</v>
          </cell>
          <cell r="B798" t="str">
            <v>두카트56000</v>
          </cell>
        </row>
        <row r="799">
          <cell r="A799">
            <v>95000057</v>
          </cell>
          <cell r="B799" t="str">
            <v>두카트57000</v>
          </cell>
        </row>
        <row r="800">
          <cell r="A800">
            <v>95000058</v>
          </cell>
          <cell r="B800" t="str">
            <v>두카트58000</v>
          </cell>
        </row>
        <row r="801">
          <cell r="A801">
            <v>95000059</v>
          </cell>
          <cell r="B801" t="str">
            <v>두카트59000</v>
          </cell>
        </row>
        <row r="802">
          <cell r="A802">
            <v>95000060</v>
          </cell>
          <cell r="B802" t="str">
            <v>두카트60000</v>
          </cell>
        </row>
        <row r="803">
          <cell r="A803">
            <v>95000061</v>
          </cell>
          <cell r="B803" t="str">
            <v>두카트61000</v>
          </cell>
        </row>
        <row r="804">
          <cell r="A804">
            <v>95000062</v>
          </cell>
          <cell r="B804" t="str">
            <v>두카트62000</v>
          </cell>
        </row>
        <row r="805">
          <cell r="A805">
            <v>95000063</v>
          </cell>
          <cell r="B805" t="str">
            <v>두카트63000</v>
          </cell>
        </row>
        <row r="806">
          <cell r="A806">
            <v>95000064</v>
          </cell>
          <cell r="B806" t="str">
            <v>두카트64000</v>
          </cell>
        </row>
        <row r="807">
          <cell r="A807">
            <v>95000065</v>
          </cell>
          <cell r="B807" t="str">
            <v>두카트65000</v>
          </cell>
        </row>
        <row r="808">
          <cell r="A808">
            <v>95000066</v>
          </cell>
          <cell r="B808" t="str">
            <v>두카트66000</v>
          </cell>
        </row>
        <row r="809">
          <cell r="A809">
            <v>95000067</v>
          </cell>
          <cell r="B809" t="str">
            <v>두카트67000</v>
          </cell>
        </row>
        <row r="810">
          <cell r="A810">
            <v>95000068</v>
          </cell>
          <cell r="B810" t="str">
            <v>두카트68000</v>
          </cell>
        </row>
        <row r="811">
          <cell r="A811">
            <v>95000069</v>
          </cell>
          <cell r="B811" t="str">
            <v>두카트69000</v>
          </cell>
        </row>
        <row r="812">
          <cell r="A812">
            <v>95000070</v>
          </cell>
          <cell r="B812" t="str">
            <v>두카트70000</v>
          </cell>
        </row>
        <row r="813">
          <cell r="A813">
            <v>95000071</v>
          </cell>
          <cell r="B813" t="str">
            <v>두카트71000</v>
          </cell>
        </row>
        <row r="814">
          <cell r="A814">
            <v>95000072</v>
          </cell>
          <cell r="B814" t="str">
            <v>두카트72000</v>
          </cell>
        </row>
        <row r="815">
          <cell r="A815">
            <v>95000073</v>
          </cell>
          <cell r="B815" t="str">
            <v>두카트73000</v>
          </cell>
        </row>
        <row r="816">
          <cell r="A816">
            <v>95000074</v>
          </cell>
          <cell r="B816" t="str">
            <v>두카트74000</v>
          </cell>
        </row>
        <row r="817">
          <cell r="A817">
            <v>95000075</v>
          </cell>
          <cell r="B817" t="str">
            <v>두카트75000</v>
          </cell>
        </row>
        <row r="818">
          <cell r="A818">
            <v>95000076</v>
          </cell>
          <cell r="B818" t="str">
            <v>두카트76000</v>
          </cell>
        </row>
        <row r="819">
          <cell r="A819">
            <v>95000077</v>
          </cell>
          <cell r="B819" t="str">
            <v>두카트77000</v>
          </cell>
        </row>
        <row r="820">
          <cell r="A820">
            <v>95000078</v>
          </cell>
          <cell r="B820" t="str">
            <v>두카트78000</v>
          </cell>
        </row>
        <row r="821">
          <cell r="A821">
            <v>95000079</v>
          </cell>
          <cell r="B821" t="str">
            <v>두카트79000</v>
          </cell>
        </row>
        <row r="822">
          <cell r="A822">
            <v>95000080</v>
          </cell>
          <cell r="B822" t="str">
            <v>두카트80000</v>
          </cell>
        </row>
        <row r="823">
          <cell r="A823">
            <v>95000081</v>
          </cell>
          <cell r="B823" t="str">
            <v>두카트81000</v>
          </cell>
        </row>
        <row r="824">
          <cell r="A824">
            <v>95000082</v>
          </cell>
          <cell r="B824" t="str">
            <v>두카트82000</v>
          </cell>
        </row>
        <row r="825">
          <cell r="A825">
            <v>95000083</v>
          </cell>
          <cell r="B825" t="str">
            <v>두카트83000</v>
          </cell>
        </row>
        <row r="826">
          <cell r="A826">
            <v>95000084</v>
          </cell>
          <cell r="B826" t="str">
            <v>두카트84000</v>
          </cell>
        </row>
        <row r="827">
          <cell r="A827">
            <v>95000085</v>
          </cell>
          <cell r="B827" t="str">
            <v>두카트85000</v>
          </cell>
        </row>
        <row r="828">
          <cell r="A828">
            <v>95000086</v>
          </cell>
          <cell r="B828" t="str">
            <v>두카트86000</v>
          </cell>
        </row>
        <row r="829">
          <cell r="A829">
            <v>95000087</v>
          </cell>
          <cell r="B829" t="str">
            <v>두카트87000</v>
          </cell>
        </row>
        <row r="830">
          <cell r="A830">
            <v>95000088</v>
          </cell>
          <cell r="B830" t="str">
            <v>두카트88000</v>
          </cell>
        </row>
        <row r="831">
          <cell r="A831">
            <v>95000089</v>
          </cell>
          <cell r="B831" t="str">
            <v>두카트89000</v>
          </cell>
        </row>
        <row r="832">
          <cell r="A832">
            <v>95000090</v>
          </cell>
          <cell r="B832" t="str">
            <v>두카트90000</v>
          </cell>
        </row>
        <row r="833">
          <cell r="A833">
            <v>95000091</v>
          </cell>
          <cell r="B833" t="str">
            <v>두카트91000</v>
          </cell>
        </row>
        <row r="834">
          <cell r="A834">
            <v>95000092</v>
          </cell>
          <cell r="B834" t="str">
            <v>두카트92000</v>
          </cell>
        </row>
        <row r="835">
          <cell r="A835">
            <v>95000093</v>
          </cell>
          <cell r="B835" t="str">
            <v>두카트93000</v>
          </cell>
        </row>
        <row r="836">
          <cell r="A836">
            <v>95000094</v>
          </cell>
          <cell r="B836" t="str">
            <v>두카트94000</v>
          </cell>
        </row>
        <row r="837">
          <cell r="A837">
            <v>95000095</v>
          </cell>
          <cell r="B837" t="str">
            <v>두카트95000</v>
          </cell>
        </row>
        <row r="838">
          <cell r="A838">
            <v>95000096</v>
          </cell>
          <cell r="B838" t="str">
            <v>두카트96000</v>
          </cell>
        </row>
        <row r="839">
          <cell r="A839">
            <v>95000097</v>
          </cell>
          <cell r="B839" t="str">
            <v>두카트97000</v>
          </cell>
        </row>
        <row r="840">
          <cell r="A840">
            <v>95000098</v>
          </cell>
          <cell r="B840" t="str">
            <v>두카트98000</v>
          </cell>
        </row>
        <row r="841">
          <cell r="A841">
            <v>95000099</v>
          </cell>
          <cell r="B841" t="str">
            <v>두카트99000</v>
          </cell>
        </row>
        <row r="842">
          <cell r="A842">
            <v>95000100</v>
          </cell>
          <cell r="B842" t="str">
            <v>두카트100000</v>
          </cell>
        </row>
        <row r="843">
          <cell r="A843">
            <v>95000101</v>
          </cell>
          <cell r="B843" t="str">
            <v>두카트101000</v>
          </cell>
        </row>
        <row r="844">
          <cell r="A844">
            <v>95000102</v>
          </cell>
          <cell r="B844" t="str">
            <v>두카트102000</v>
          </cell>
        </row>
        <row r="845">
          <cell r="A845">
            <v>95000103</v>
          </cell>
          <cell r="B845" t="str">
            <v>두카트103000</v>
          </cell>
        </row>
        <row r="846">
          <cell r="A846">
            <v>95000104</v>
          </cell>
          <cell r="B846" t="str">
            <v>두카트104000</v>
          </cell>
        </row>
        <row r="847">
          <cell r="A847">
            <v>95000105</v>
          </cell>
          <cell r="B847" t="str">
            <v>두카트105000</v>
          </cell>
        </row>
        <row r="848">
          <cell r="A848">
            <v>95000106</v>
          </cell>
          <cell r="B848" t="str">
            <v>두카트106000</v>
          </cell>
        </row>
        <row r="849">
          <cell r="A849">
            <v>95000107</v>
          </cell>
          <cell r="B849" t="str">
            <v>두카트107000</v>
          </cell>
        </row>
        <row r="850">
          <cell r="A850">
            <v>95000108</v>
          </cell>
          <cell r="B850" t="str">
            <v>두카트108000</v>
          </cell>
        </row>
        <row r="851">
          <cell r="A851">
            <v>95000109</v>
          </cell>
          <cell r="B851" t="str">
            <v>두카트109000</v>
          </cell>
        </row>
        <row r="852">
          <cell r="A852">
            <v>95000110</v>
          </cell>
          <cell r="B852" t="str">
            <v>두카트110000</v>
          </cell>
        </row>
        <row r="853">
          <cell r="A853">
            <v>95000111</v>
          </cell>
          <cell r="B853" t="str">
            <v>두카트111000</v>
          </cell>
        </row>
        <row r="854">
          <cell r="A854">
            <v>95000112</v>
          </cell>
          <cell r="B854" t="str">
            <v>두카트112000</v>
          </cell>
        </row>
        <row r="855">
          <cell r="A855">
            <v>95000113</v>
          </cell>
          <cell r="B855" t="str">
            <v>두카트113000</v>
          </cell>
        </row>
        <row r="856">
          <cell r="A856">
            <v>95000114</v>
          </cell>
          <cell r="B856" t="str">
            <v>두카트114000</v>
          </cell>
        </row>
        <row r="857">
          <cell r="A857">
            <v>95000115</v>
          </cell>
          <cell r="B857" t="str">
            <v>두카트115000</v>
          </cell>
        </row>
        <row r="858">
          <cell r="A858">
            <v>95000116</v>
          </cell>
          <cell r="B858" t="str">
            <v>두카트116000</v>
          </cell>
        </row>
        <row r="859">
          <cell r="A859">
            <v>95000117</v>
          </cell>
          <cell r="B859" t="str">
            <v>두카트117000</v>
          </cell>
        </row>
        <row r="860">
          <cell r="A860">
            <v>95000118</v>
          </cell>
          <cell r="B860" t="str">
            <v>두카트118000</v>
          </cell>
        </row>
        <row r="861">
          <cell r="A861">
            <v>95000119</v>
          </cell>
          <cell r="B861" t="str">
            <v>두카트119000</v>
          </cell>
        </row>
        <row r="862">
          <cell r="A862">
            <v>95000120</v>
          </cell>
          <cell r="B862" t="str">
            <v>두카트120000</v>
          </cell>
        </row>
        <row r="863">
          <cell r="A863">
            <v>95000121</v>
          </cell>
          <cell r="B863" t="str">
            <v>두카트121000</v>
          </cell>
        </row>
        <row r="864">
          <cell r="A864">
            <v>95000122</v>
          </cell>
          <cell r="B864" t="str">
            <v>두카트122000</v>
          </cell>
        </row>
        <row r="865">
          <cell r="A865">
            <v>95000123</v>
          </cell>
          <cell r="B865" t="str">
            <v>두카트123000</v>
          </cell>
        </row>
        <row r="866">
          <cell r="A866">
            <v>95000124</v>
          </cell>
          <cell r="B866" t="str">
            <v>두카트124000</v>
          </cell>
        </row>
        <row r="867">
          <cell r="A867">
            <v>95000125</v>
          </cell>
          <cell r="B867" t="str">
            <v>두카트125000</v>
          </cell>
        </row>
        <row r="868">
          <cell r="A868">
            <v>95000126</v>
          </cell>
          <cell r="B868" t="str">
            <v>두카트126000</v>
          </cell>
        </row>
        <row r="869">
          <cell r="A869">
            <v>95000127</v>
          </cell>
          <cell r="B869" t="str">
            <v>두카트127000</v>
          </cell>
        </row>
        <row r="870">
          <cell r="A870">
            <v>95000128</v>
          </cell>
          <cell r="B870" t="str">
            <v>두카트128000</v>
          </cell>
        </row>
        <row r="871">
          <cell r="A871">
            <v>95000129</v>
          </cell>
          <cell r="B871" t="str">
            <v>두카트129000</v>
          </cell>
        </row>
        <row r="872">
          <cell r="A872">
            <v>95000130</v>
          </cell>
          <cell r="B872" t="str">
            <v>두카트130000</v>
          </cell>
        </row>
        <row r="873">
          <cell r="A873">
            <v>95000131</v>
          </cell>
          <cell r="B873" t="str">
            <v>두카트131000</v>
          </cell>
        </row>
        <row r="874">
          <cell r="A874">
            <v>95000132</v>
          </cell>
          <cell r="B874" t="str">
            <v>두카트132000</v>
          </cell>
        </row>
        <row r="875">
          <cell r="A875">
            <v>95000133</v>
          </cell>
          <cell r="B875" t="str">
            <v>두카트133000</v>
          </cell>
        </row>
        <row r="876">
          <cell r="A876">
            <v>95000134</v>
          </cell>
          <cell r="B876" t="str">
            <v>두카트134000</v>
          </cell>
        </row>
        <row r="877">
          <cell r="A877">
            <v>95000135</v>
          </cell>
          <cell r="B877" t="str">
            <v>두카트135000</v>
          </cell>
        </row>
        <row r="878">
          <cell r="A878">
            <v>95000136</v>
          </cell>
          <cell r="B878" t="str">
            <v>두카트136000</v>
          </cell>
        </row>
        <row r="879">
          <cell r="A879">
            <v>95000137</v>
          </cell>
          <cell r="B879" t="str">
            <v>두카트137000</v>
          </cell>
        </row>
        <row r="880">
          <cell r="A880">
            <v>95000138</v>
          </cell>
          <cell r="B880" t="str">
            <v>두카트138000</v>
          </cell>
        </row>
        <row r="881">
          <cell r="A881">
            <v>95000139</v>
          </cell>
          <cell r="B881" t="str">
            <v>두카트139000</v>
          </cell>
        </row>
        <row r="882">
          <cell r="A882">
            <v>95000140</v>
          </cell>
          <cell r="B882" t="str">
            <v>두카트140000</v>
          </cell>
        </row>
        <row r="883">
          <cell r="A883">
            <v>95000141</v>
          </cell>
          <cell r="B883" t="str">
            <v>두카트141000</v>
          </cell>
        </row>
        <row r="884">
          <cell r="A884">
            <v>95000142</v>
          </cell>
          <cell r="B884" t="str">
            <v>두카트142000</v>
          </cell>
        </row>
        <row r="885">
          <cell r="A885">
            <v>95000143</v>
          </cell>
          <cell r="B885" t="str">
            <v>두카트143000</v>
          </cell>
        </row>
        <row r="886">
          <cell r="A886">
            <v>95000144</v>
          </cell>
          <cell r="B886" t="str">
            <v>두카트144000</v>
          </cell>
        </row>
        <row r="887">
          <cell r="A887">
            <v>95000145</v>
          </cell>
          <cell r="B887" t="str">
            <v>두카트145000</v>
          </cell>
        </row>
        <row r="888">
          <cell r="A888">
            <v>95000146</v>
          </cell>
          <cell r="B888" t="str">
            <v>두카트146000</v>
          </cell>
        </row>
        <row r="889">
          <cell r="A889">
            <v>95000147</v>
          </cell>
          <cell r="B889" t="str">
            <v>두카트147000</v>
          </cell>
        </row>
        <row r="890">
          <cell r="A890">
            <v>95000148</v>
          </cell>
          <cell r="B890" t="str">
            <v>두카트148000</v>
          </cell>
        </row>
        <row r="891">
          <cell r="A891">
            <v>95000149</v>
          </cell>
          <cell r="B891" t="str">
            <v>두카트149000</v>
          </cell>
        </row>
        <row r="892">
          <cell r="A892">
            <v>95000150</v>
          </cell>
          <cell r="B892" t="str">
            <v>두카트150000</v>
          </cell>
        </row>
        <row r="893">
          <cell r="A893">
            <v>95000151</v>
          </cell>
          <cell r="B893" t="str">
            <v>두카트151000</v>
          </cell>
        </row>
        <row r="894">
          <cell r="A894">
            <v>95000152</v>
          </cell>
          <cell r="B894" t="str">
            <v>두카트152000</v>
          </cell>
        </row>
        <row r="895">
          <cell r="A895">
            <v>95000153</v>
          </cell>
          <cell r="B895" t="str">
            <v>두카트153000</v>
          </cell>
        </row>
        <row r="896">
          <cell r="A896">
            <v>95000154</v>
          </cell>
          <cell r="B896" t="str">
            <v>두카트154000</v>
          </cell>
        </row>
        <row r="897">
          <cell r="A897">
            <v>95000155</v>
          </cell>
          <cell r="B897" t="str">
            <v>두카트155000</v>
          </cell>
        </row>
        <row r="898">
          <cell r="A898">
            <v>95000156</v>
          </cell>
          <cell r="B898" t="str">
            <v>두카트156000</v>
          </cell>
        </row>
        <row r="899">
          <cell r="A899">
            <v>95000157</v>
          </cell>
          <cell r="B899" t="str">
            <v>두카트157000</v>
          </cell>
        </row>
        <row r="900">
          <cell r="A900">
            <v>95000158</v>
          </cell>
          <cell r="B900" t="str">
            <v>두카트158000</v>
          </cell>
        </row>
        <row r="901">
          <cell r="A901">
            <v>95000159</v>
          </cell>
          <cell r="B901" t="str">
            <v>두카트159000</v>
          </cell>
        </row>
        <row r="902">
          <cell r="A902">
            <v>95000160</v>
          </cell>
          <cell r="B902" t="str">
            <v>두카트160000</v>
          </cell>
        </row>
        <row r="903">
          <cell r="A903">
            <v>95000161</v>
          </cell>
          <cell r="B903" t="str">
            <v>두카트161000</v>
          </cell>
        </row>
        <row r="904">
          <cell r="A904">
            <v>95000162</v>
          </cell>
          <cell r="B904" t="str">
            <v>두카트162000</v>
          </cell>
        </row>
        <row r="905">
          <cell r="A905">
            <v>95000163</v>
          </cell>
          <cell r="B905" t="str">
            <v>두카트163000</v>
          </cell>
        </row>
        <row r="906">
          <cell r="A906">
            <v>95000164</v>
          </cell>
          <cell r="B906" t="str">
            <v>두카트164000</v>
          </cell>
        </row>
        <row r="907">
          <cell r="A907">
            <v>95000165</v>
          </cell>
          <cell r="B907" t="str">
            <v>두카트165000</v>
          </cell>
        </row>
        <row r="908">
          <cell r="A908">
            <v>95000166</v>
          </cell>
          <cell r="B908" t="str">
            <v>두카트166000</v>
          </cell>
        </row>
        <row r="909">
          <cell r="A909">
            <v>95000167</v>
          </cell>
          <cell r="B909" t="str">
            <v>두카트167000</v>
          </cell>
        </row>
        <row r="910">
          <cell r="A910">
            <v>95000168</v>
          </cell>
          <cell r="B910" t="str">
            <v>두카트168000</v>
          </cell>
        </row>
        <row r="911">
          <cell r="A911">
            <v>95000169</v>
          </cell>
          <cell r="B911" t="str">
            <v>두카트169000</v>
          </cell>
        </row>
        <row r="912">
          <cell r="A912">
            <v>95000170</v>
          </cell>
          <cell r="B912" t="str">
            <v>두카트170000</v>
          </cell>
        </row>
        <row r="913">
          <cell r="A913">
            <v>95000171</v>
          </cell>
          <cell r="B913" t="str">
            <v>두카트171000</v>
          </cell>
        </row>
        <row r="914">
          <cell r="A914">
            <v>95000172</v>
          </cell>
          <cell r="B914" t="str">
            <v>두카트172000</v>
          </cell>
        </row>
        <row r="915">
          <cell r="A915">
            <v>95000173</v>
          </cell>
          <cell r="B915" t="str">
            <v>두카트173000</v>
          </cell>
        </row>
        <row r="916">
          <cell r="A916">
            <v>95000174</v>
          </cell>
          <cell r="B916" t="str">
            <v>두카트174000</v>
          </cell>
        </row>
        <row r="917">
          <cell r="A917">
            <v>95000175</v>
          </cell>
          <cell r="B917" t="str">
            <v>두카트175000</v>
          </cell>
        </row>
        <row r="918">
          <cell r="A918">
            <v>95000176</v>
          </cell>
          <cell r="B918" t="str">
            <v>두카트176000</v>
          </cell>
        </row>
        <row r="919">
          <cell r="A919">
            <v>95000177</v>
          </cell>
          <cell r="B919" t="str">
            <v>두카트177000</v>
          </cell>
        </row>
        <row r="920">
          <cell r="A920">
            <v>95000178</v>
          </cell>
          <cell r="B920" t="str">
            <v>두카트178000</v>
          </cell>
        </row>
        <row r="921">
          <cell r="A921">
            <v>95000179</v>
          </cell>
          <cell r="B921" t="str">
            <v>두카트179000</v>
          </cell>
        </row>
        <row r="922">
          <cell r="A922">
            <v>95000180</v>
          </cell>
          <cell r="B922" t="str">
            <v>두카트180000</v>
          </cell>
        </row>
        <row r="923">
          <cell r="A923">
            <v>95000181</v>
          </cell>
          <cell r="B923" t="str">
            <v>두카트181000</v>
          </cell>
        </row>
        <row r="924">
          <cell r="A924">
            <v>95000182</v>
          </cell>
          <cell r="B924" t="str">
            <v>두카트182000</v>
          </cell>
        </row>
        <row r="925">
          <cell r="A925">
            <v>95000183</v>
          </cell>
          <cell r="B925" t="str">
            <v>두카트183000</v>
          </cell>
        </row>
        <row r="926">
          <cell r="A926">
            <v>95000184</v>
          </cell>
          <cell r="B926" t="str">
            <v>두카트184000</v>
          </cell>
        </row>
        <row r="927">
          <cell r="A927">
            <v>95000185</v>
          </cell>
          <cell r="B927" t="str">
            <v>두카트185000</v>
          </cell>
        </row>
        <row r="928">
          <cell r="A928">
            <v>95000186</v>
          </cell>
          <cell r="B928" t="str">
            <v>두카트186000</v>
          </cell>
        </row>
        <row r="929">
          <cell r="A929">
            <v>95000187</v>
          </cell>
          <cell r="B929" t="str">
            <v>두카트187000</v>
          </cell>
        </row>
        <row r="930">
          <cell r="A930">
            <v>95000188</v>
          </cell>
          <cell r="B930" t="str">
            <v>두카트188000</v>
          </cell>
        </row>
        <row r="931">
          <cell r="A931">
            <v>95000189</v>
          </cell>
          <cell r="B931" t="str">
            <v>두카트189000</v>
          </cell>
        </row>
        <row r="932">
          <cell r="A932">
            <v>95000190</v>
          </cell>
          <cell r="B932" t="str">
            <v>두카트190000</v>
          </cell>
        </row>
        <row r="933">
          <cell r="A933">
            <v>95000191</v>
          </cell>
          <cell r="B933" t="str">
            <v>두카트191000</v>
          </cell>
        </row>
        <row r="934">
          <cell r="A934">
            <v>95000192</v>
          </cell>
          <cell r="B934" t="str">
            <v>두카트192000</v>
          </cell>
        </row>
        <row r="935">
          <cell r="A935">
            <v>95000193</v>
          </cell>
          <cell r="B935" t="str">
            <v>두카트193000</v>
          </cell>
        </row>
        <row r="936">
          <cell r="A936">
            <v>95000194</v>
          </cell>
          <cell r="B936" t="str">
            <v>두카트194000</v>
          </cell>
        </row>
        <row r="937">
          <cell r="A937">
            <v>95000195</v>
          </cell>
          <cell r="B937" t="str">
            <v>두카트195000</v>
          </cell>
        </row>
        <row r="938">
          <cell r="A938">
            <v>95000196</v>
          </cell>
          <cell r="B938" t="str">
            <v>두카트196000</v>
          </cell>
        </row>
        <row r="939">
          <cell r="A939">
            <v>95000197</v>
          </cell>
          <cell r="B939" t="str">
            <v>두카트197000</v>
          </cell>
        </row>
        <row r="940">
          <cell r="A940">
            <v>95000198</v>
          </cell>
          <cell r="B940" t="str">
            <v>두카트198000</v>
          </cell>
        </row>
        <row r="941">
          <cell r="A941">
            <v>95000199</v>
          </cell>
          <cell r="B941" t="str">
            <v>두카트199000</v>
          </cell>
        </row>
        <row r="942">
          <cell r="A942">
            <v>95000200</v>
          </cell>
          <cell r="B942" t="str">
            <v>두카트200000</v>
          </cell>
        </row>
        <row r="943">
          <cell r="A943">
            <v>95000201</v>
          </cell>
          <cell r="B943" t="str">
            <v>두카트201000</v>
          </cell>
        </row>
        <row r="944">
          <cell r="A944">
            <v>95000202</v>
          </cell>
          <cell r="B944" t="str">
            <v>두카트202000</v>
          </cell>
        </row>
        <row r="945">
          <cell r="A945">
            <v>95000203</v>
          </cell>
          <cell r="B945" t="str">
            <v>두카트203000</v>
          </cell>
        </row>
        <row r="946">
          <cell r="A946">
            <v>95000204</v>
          </cell>
          <cell r="B946" t="str">
            <v>두카트204000</v>
          </cell>
        </row>
        <row r="947">
          <cell r="A947">
            <v>95000205</v>
          </cell>
          <cell r="B947" t="str">
            <v>두카트205000</v>
          </cell>
        </row>
        <row r="948">
          <cell r="A948">
            <v>95000206</v>
          </cell>
          <cell r="B948" t="str">
            <v>두카트206000</v>
          </cell>
        </row>
        <row r="949">
          <cell r="A949">
            <v>95000207</v>
          </cell>
          <cell r="B949" t="str">
            <v>두카트207000</v>
          </cell>
        </row>
        <row r="950">
          <cell r="A950">
            <v>95000208</v>
          </cell>
          <cell r="B950" t="str">
            <v>두카트208000</v>
          </cell>
        </row>
        <row r="951">
          <cell r="A951">
            <v>95000209</v>
          </cell>
          <cell r="B951" t="str">
            <v>두카트209000</v>
          </cell>
        </row>
        <row r="952">
          <cell r="A952">
            <v>95000210</v>
          </cell>
          <cell r="B952" t="str">
            <v>두카트210000</v>
          </cell>
        </row>
        <row r="953">
          <cell r="A953">
            <v>95000211</v>
          </cell>
          <cell r="B953" t="str">
            <v>두카트211000</v>
          </cell>
        </row>
        <row r="954">
          <cell r="A954">
            <v>95000212</v>
          </cell>
          <cell r="B954" t="str">
            <v>두카트212000</v>
          </cell>
        </row>
        <row r="955">
          <cell r="A955">
            <v>95000213</v>
          </cell>
          <cell r="B955" t="str">
            <v>두카트213000</v>
          </cell>
        </row>
        <row r="956">
          <cell r="A956">
            <v>95000214</v>
          </cell>
          <cell r="B956" t="str">
            <v>두카트214000</v>
          </cell>
        </row>
        <row r="957">
          <cell r="A957">
            <v>95000215</v>
          </cell>
          <cell r="B957" t="str">
            <v>두카트215000</v>
          </cell>
        </row>
        <row r="958">
          <cell r="A958">
            <v>95000216</v>
          </cell>
          <cell r="B958" t="str">
            <v>두카트216000</v>
          </cell>
        </row>
        <row r="959">
          <cell r="A959">
            <v>95000217</v>
          </cell>
          <cell r="B959" t="str">
            <v>두카트217000</v>
          </cell>
        </row>
        <row r="960">
          <cell r="A960">
            <v>95000218</v>
          </cell>
          <cell r="B960" t="str">
            <v>두카트218000</v>
          </cell>
        </row>
        <row r="961">
          <cell r="A961">
            <v>95000219</v>
          </cell>
          <cell r="B961" t="str">
            <v>두카트219000</v>
          </cell>
        </row>
        <row r="962">
          <cell r="A962">
            <v>95000220</v>
          </cell>
          <cell r="B962" t="str">
            <v>두카트220000</v>
          </cell>
        </row>
        <row r="963">
          <cell r="A963">
            <v>95000221</v>
          </cell>
          <cell r="B963" t="str">
            <v>두카트221000</v>
          </cell>
        </row>
        <row r="964">
          <cell r="A964">
            <v>95000222</v>
          </cell>
          <cell r="B964" t="str">
            <v>두카트222000</v>
          </cell>
        </row>
        <row r="965">
          <cell r="A965">
            <v>95000223</v>
          </cell>
          <cell r="B965" t="str">
            <v>두카트223000</v>
          </cell>
        </row>
        <row r="966">
          <cell r="A966">
            <v>95000224</v>
          </cell>
          <cell r="B966" t="str">
            <v>두카트224000</v>
          </cell>
        </row>
        <row r="967">
          <cell r="A967">
            <v>95000225</v>
          </cell>
          <cell r="B967" t="str">
            <v>두카트225000</v>
          </cell>
        </row>
        <row r="968">
          <cell r="A968">
            <v>95000226</v>
          </cell>
          <cell r="B968" t="str">
            <v>두카트226000</v>
          </cell>
        </row>
        <row r="969">
          <cell r="A969">
            <v>95000227</v>
          </cell>
          <cell r="B969" t="str">
            <v>두카트227000</v>
          </cell>
        </row>
        <row r="970">
          <cell r="A970">
            <v>95000228</v>
          </cell>
          <cell r="B970" t="str">
            <v>두카트228000</v>
          </cell>
        </row>
        <row r="971">
          <cell r="A971">
            <v>95000229</v>
          </cell>
          <cell r="B971" t="str">
            <v>두카트229000</v>
          </cell>
        </row>
        <row r="972">
          <cell r="A972">
            <v>95000230</v>
          </cell>
          <cell r="B972" t="str">
            <v>두카트230000</v>
          </cell>
        </row>
        <row r="973">
          <cell r="A973">
            <v>95000231</v>
          </cell>
          <cell r="B973" t="str">
            <v>두카트231000</v>
          </cell>
        </row>
        <row r="974">
          <cell r="A974">
            <v>95000232</v>
          </cell>
          <cell r="B974" t="str">
            <v>두카트232000</v>
          </cell>
        </row>
        <row r="975">
          <cell r="A975">
            <v>95000233</v>
          </cell>
          <cell r="B975" t="str">
            <v>두카트233000</v>
          </cell>
        </row>
        <row r="976">
          <cell r="A976">
            <v>95000234</v>
          </cell>
          <cell r="B976" t="str">
            <v>두카트234000</v>
          </cell>
        </row>
        <row r="977">
          <cell r="A977">
            <v>95000235</v>
          </cell>
          <cell r="B977" t="str">
            <v>두카트235000</v>
          </cell>
        </row>
        <row r="978">
          <cell r="A978">
            <v>95000236</v>
          </cell>
          <cell r="B978" t="str">
            <v>두카트236000</v>
          </cell>
        </row>
        <row r="979">
          <cell r="A979">
            <v>95000237</v>
          </cell>
          <cell r="B979" t="str">
            <v>두카트237000</v>
          </cell>
        </row>
        <row r="980">
          <cell r="A980">
            <v>95000238</v>
          </cell>
          <cell r="B980" t="str">
            <v>두카트238000</v>
          </cell>
        </row>
        <row r="981">
          <cell r="A981">
            <v>95000239</v>
          </cell>
          <cell r="B981" t="str">
            <v>두카트239000</v>
          </cell>
        </row>
        <row r="982">
          <cell r="A982">
            <v>95000240</v>
          </cell>
          <cell r="B982" t="str">
            <v>두카트240000</v>
          </cell>
        </row>
        <row r="983">
          <cell r="A983">
            <v>95000241</v>
          </cell>
          <cell r="B983" t="str">
            <v>두카트241000</v>
          </cell>
        </row>
        <row r="984">
          <cell r="A984">
            <v>95000242</v>
          </cell>
          <cell r="B984" t="str">
            <v>두카트242000</v>
          </cell>
        </row>
        <row r="985">
          <cell r="A985">
            <v>95000243</v>
          </cell>
          <cell r="B985" t="str">
            <v>두카트243000</v>
          </cell>
        </row>
        <row r="986">
          <cell r="A986">
            <v>95000244</v>
          </cell>
          <cell r="B986" t="str">
            <v>두카트244000</v>
          </cell>
        </row>
        <row r="987">
          <cell r="A987">
            <v>95000245</v>
          </cell>
          <cell r="B987" t="str">
            <v>두카트245000</v>
          </cell>
        </row>
        <row r="988">
          <cell r="A988">
            <v>95000246</v>
          </cell>
          <cell r="B988" t="str">
            <v>두카트246000</v>
          </cell>
        </row>
        <row r="989">
          <cell r="A989">
            <v>95000247</v>
          </cell>
          <cell r="B989" t="str">
            <v>두카트247000</v>
          </cell>
        </row>
        <row r="990">
          <cell r="A990">
            <v>95000248</v>
          </cell>
          <cell r="B990" t="str">
            <v>두카트248000</v>
          </cell>
        </row>
        <row r="991">
          <cell r="A991">
            <v>95000249</v>
          </cell>
          <cell r="B991" t="str">
            <v>두카트249000</v>
          </cell>
        </row>
        <row r="992">
          <cell r="A992">
            <v>95000250</v>
          </cell>
          <cell r="B992" t="str">
            <v>두카트250000</v>
          </cell>
        </row>
        <row r="993">
          <cell r="A993">
            <v>95000251</v>
          </cell>
          <cell r="B993" t="str">
            <v>두카트251000</v>
          </cell>
        </row>
        <row r="994">
          <cell r="A994">
            <v>95000252</v>
          </cell>
          <cell r="B994" t="str">
            <v>두카트252000</v>
          </cell>
        </row>
        <row r="995">
          <cell r="A995">
            <v>95000253</v>
          </cell>
          <cell r="B995" t="str">
            <v>두카트253000</v>
          </cell>
        </row>
        <row r="996">
          <cell r="A996">
            <v>95000254</v>
          </cell>
          <cell r="B996" t="str">
            <v>두카트254000</v>
          </cell>
        </row>
        <row r="997">
          <cell r="A997">
            <v>95000255</v>
          </cell>
          <cell r="B997" t="str">
            <v>두카트255000</v>
          </cell>
        </row>
        <row r="998">
          <cell r="A998">
            <v>95000256</v>
          </cell>
          <cell r="B998" t="str">
            <v>두카트256000</v>
          </cell>
        </row>
        <row r="999">
          <cell r="A999">
            <v>95000257</v>
          </cell>
          <cell r="B999" t="str">
            <v>두카트257000</v>
          </cell>
        </row>
        <row r="1000">
          <cell r="A1000">
            <v>95000258</v>
          </cell>
          <cell r="B1000" t="str">
            <v>두카트258000</v>
          </cell>
        </row>
        <row r="1001">
          <cell r="A1001">
            <v>95000259</v>
          </cell>
          <cell r="B1001" t="str">
            <v>두카트259000</v>
          </cell>
        </row>
        <row r="1002">
          <cell r="A1002">
            <v>95000260</v>
          </cell>
          <cell r="B1002" t="str">
            <v>두카트260000</v>
          </cell>
        </row>
        <row r="1003">
          <cell r="A1003">
            <v>95000261</v>
          </cell>
          <cell r="B1003" t="str">
            <v>두카트261000</v>
          </cell>
        </row>
        <row r="1004">
          <cell r="A1004">
            <v>95000262</v>
          </cell>
          <cell r="B1004" t="str">
            <v>두카트262000</v>
          </cell>
        </row>
        <row r="1005">
          <cell r="A1005">
            <v>95000263</v>
          </cell>
          <cell r="B1005" t="str">
            <v>두카트263000</v>
          </cell>
        </row>
        <row r="1006">
          <cell r="A1006">
            <v>95000264</v>
          </cell>
          <cell r="B1006" t="str">
            <v>두카트264000</v>
          </cell>
        </row>
        <row r="1007">
          <cell r="A1007">
            <v>95000265</v>
          </cell>
          <cell r="B1007" t="str">
            <v>두카트265000</v>
          </cell>
        </row>
        <row r="1008">
          <cell r="A1008">
            <v>95000266</v>
          </cell>
          <cell r="B1008" t="str">
            <v>두카트266000</v>
          </cell>
        </row>
        <row r="1009">
          <cell r="A1009">
            <v>95000267</v>
          </cell>
          <cell r="B1009" t="str">
            <v>두카트267000</v>
          </cell>
        </row>
        <row r="1010">
          <cell r="A1010">
            <v>95000268</v>
          </cell>
          <cell r="B1010" t="str">
            <v>두카트268000</v>
          </cell>
        </row>
        <row r="1011">
          <cell r="A1011">
            <v>95000269</v>
          </cell>
          <cell r="B1011" t="str">
            <v>두카트269000</v>
          </cell>
        </row>
        <row r="1012">
          <cell r="A1012">
            <v>95000270</v>
          </cell>
          <cell r="B1012" t="str">
            <v>두카트270000</v>
          </cell>
        </row>
        <row r="1013">
          <cell r="A1013">
            <v>95000271</v>
          </cell>
          <cell r="B1013" t="str">
            <v>두카트271000</v>
          </cell>
        </row>
        <row r="1014">
          <cell r="A1014">
            <v>95000272</v>
          </cell>
          <cell r="B1014" t="str">
            <v>두카트272000</v>
          </cell>
        </row>
        <row r="1015">
          <cell r="A1015">
            <v>95000273</v>
          </cell>
          <cell r="B1015" t="str">
            <v>두카트273000</v>
          </cell>
        </row>
        <row r="1016">
          <cell r="A1016">
            <v>95000274</v>
          </cell>
          <cell r="B1016" t="str">
            <v>두카트274000</v>
          </cell>
        </row>
        <row r="1017">
          <cell r="A1017">
            <v>95000275</v>
          </cell>
          <cell r="B1017" t="str">
            <v>두카트275000</v>
          </cell>
        </row>
        <row r="1018">
          <cell r="A1018">
            <v>95000276</v>
          </cell>
          <cell r="B1018" t="str">
            <v>두카트276000</v>
          </cell>
        </row>
        <row r="1019">
          <cell r="A1019">
            <v>95000277</v>
          </cell>
          <cell r="B1019" t="str">
            <v>두카트277000</v>
          </cell>
        </row>
        <row r="1020">
          <cell r="A1020">
            <v>95000278</v>
          </cell>
          <cell r="B1020" t="str">
            <v>두카트278000</v>
          </cell>
        </row>
        <row r="1021">
          <cell r="A1021">
            <v>95000279</v>
          </cell>
          <cell r="B1021" t="str">
            <v>두카트279000</v>
          </cell>
        </row>
        <row r="1022">
          <cell r="A1022">
            <v>95000280</v>
          </cell>
          <cell r="B1022" t="str">
            <v>두카트280000</v>
          </cell>
        </row>
        <row r="1023">
          <cell r="A1023">
            <v>95000281</v>
          </cell>
          <cell r="B1023" t="str">
            <v>두카트281000</v>
          </cell>
        </row>
        <row r="1024">
          <cell r="A1024">
            <v>95000282</v>
          </cell>
          <cell r="B1024" t="str">
            <v>두카트282000</v>
          </cell>
        </row>
        <row r="1025">
          <cell r="A1025">
            <v>95000283</v>
          </cell>
          <cell r="B1025" t="str">
            <v>두카트283000</v>
          </cell>
        </row>
        <row r="1026">
          <cell r="A1026">
            <v>95000284</v>
          </cell>
          <cell r="B1026" t="str">
            <v>두카트284000</v>
          </cell>
        </row>
        <row r="1027">
          <cell r="A1027">
            <v>95000285</v>
          </cell>
          <cell r="B1027" t="str">
            <v>두카트285000</v>
          </cell>
        </row>
        <row r="1028">
          <cell r="A1028">
            <v>95000286</v>
          </cell>
          <cell r="B1028" t="str">
            <v>두카트286000</v>
          </cell>
        </row>
        <row r="1029">
          <cell r="A1029">
            <v>95000287</v>
          </cell>
          <cell r="B1029" t="str">
            <v>두카트287000</v>
          </cell>
        </row>
        <row r="1030">
          <cell r="A1030">
            <v>95000288</v>
          </cell>
          <cell r="B1030" t="str">
            <v>두카트288000</v>
          </cell>
        </row>
        <row r="1031">
          <cell r="A1031">
            <v>95000289</v>
          </cell>
          <cell r="B1031" t="str">
            <v>두카트289000</v>
          </cell>
        </row>
        <row r="1032">
          <cell r="A1032">
            <v>95000290</v>
          </cell>
          <cell r="B1032" t="str">
            <v>두카트290000</v>
          </cell>
        </row>
        <row r="1033">
          <cell r="A1033">
            <v>95000291</v>
          </cell>
          <cell r="B1033" t="str">
            <v>두카트291000</v>
          </cell>
        </row>
        <row r="1034">
          <cell r="A1034">
            <v>95000292</v>
          </cell>
          <cell r="B1034" t="str">
            <v>두카트292000</v>
          </cell>
        </row>
        <row r="1035">
          <cell r="A1035">
            <v>95000293</v>
          </cell>
          <cell r="B1035" t="str">
            <v>두카트293000</v>
          </cell>
        </row>
        <row r="1036">
          <cell r="A1036">
            <v>95000294</v>
          </cell>
          <cell r="B1036" t="str">
            <v>두카트294000</v>
          </cell>
        </row>
        <row r="1037">
          <cell r="A1037">
            <v>95000295</v>
          </cell>
          <cell r="B1037" t="str">
            <v>두카트295000</v>
          </cell>
        </row>
        <row r="1038">
          <cell r="A1038">
            <v>95000296</v>
          </cell>
          <cell r="B1038" t="str">
            <v>두카트296000</v>
          </cell>
        </row>
        <row r="1039">
          <cell r="A1039">
            <v>95000297</v>
          </cell>
          <cell r="B1039" t="str">
            <v>두카트297000</v>
          </cell>
        </row>
        <row r="1040">
          <cell r="A1040">
            <v>95000298</v>
          </cell>
          <cell r="B1040" t="str">
            <v>두카트298000</v>
          </cell>
        </row>
        <row r="1041">
          <cell r="A1041">
            <v>95000299</v>
          </cell>
          <cell r="B1041" t="str">
            <v>두카트299000</v>
          </cell>
        </row>
        <row r="1042">
          <cell r="A1042">
            <v>95000300</v>
          </cell>
          <cell r="B1042" t="str">
            <v>두카트300000</v>
          </cell>
        </row>
        <row r="1043">
          <cell r="A1043">
            <v>95000301</v>
          </cell>
          <cell r="B1043" t="str">
            <v>두카트400000</v>
          </cell>
        </row>
        <row r="1044">
          <cell r="A1044">
            <v>95000302</v>
          </cell>
          <cell r="B1044" t="str">
            <v>두카트500000</v>
          </cell>
        </row>
        <row r="1045">
          <cell r="A1045">
            <v>95000303</v>
          </cell>
          <cell r="B1045" t="str">
            <v>두카트600000</v>
          </cell>
        </row>
        <row r="1046">
          <cell r="A1046">
            <v>95000304</v>
          </cell>
          <cell r="B1046" t="str">
            <v>두카트700000</v>
          </cell>
        </row>
        <row r="1047">
          <cell r="A1047">
            <v>95000305</v>
          </cell>
          <cell r="B1047" t="str">
            <v>두카트800000</v>
          </cell>
        </row>
        <row r="1048">
          <cell r="A1048">
            <v>95000306</v>
          </cell>
          <cell r="B1048" t="str">
            <v>두카트900000</v>
          </cell>
        </row>
        <row r="1049">
          <cell r="A1049">
            <v>95000307</v>
          </cell>
          <cell r="B1049" t="str">
            <v>두카트1000000</v>
          </cell>
        </row>
        <row r="1050">
          <cell r="A1050">
            <v>95000308</v>
          </cell>
          <cell r="B1050" t="str">
            <v>두카트1100000</v>
          </cell>
        </row>
        <row r="1051">
          <cell r="A1051">
            <v>95000309</v>
          </cell>
          <cell r="B1051" t="str">
            <v>두카트1200000</v>
          </cell>
        </row>
        <row r="1052">
          <cell r="A1052">
            <v>95000310</v>
          </cell>
          <cell r="B1052" t="str">
            <v>두카트1300000</v>
          </cell>
        </row>
        <row r="1053">
          <cell r="A1053">
            <v>95010001</v>
          </cell>
          <cell r="B1053" t="str">
            <v>두카트1000_전투</v>
          </cell>
        </row>
        <row r="1054">
          <cell r="A1054">
            <v>95010002</v>
          </cell>
          <cell r="B1054" t="str">
            <v>두카트2000_전투</v>
          </cell>
        </row>
        <row r="1055">
          <cell r="A1055">
            <v>95010003</v>
          </cell>
          <cell r="B1055" t="str">
            <v>두카트3000_전투</v>
          </cell>
        </row>
        <row r="1056">
          <cell r="A1056">
            <v>95010004</v>
          </cell>
          <cell r="B1056" t="str">
            <v>두카트4000_전투</v>
          </cell>
        </row>
        <row r="1057">
          <cell r="A1057">
            <v>95010005</v>
          </cell>
          <cell r="B1057" t="str">
            <v>두카트5000_전투</v>
          </cell>
        </row>
        <row r="1058">
          <cell r="A1058">
            <v>95010006</v>
          </cell>
          <cell r="B1058" t="str">
            <v>두카트6000_전투</v>
          </cell>
        </row>
        <row r="1059">
          <cell r="A1059">
            <v>95010007</v>
          </cell>
          <cell r="B1059" t="str">
            <v>두카트7000_전투</v>
          </cell>
        </row>
        <row r="1060">
          <cell r="A1060">
            <v>95010008</v>
          </cell>
          <cell r="B1060" t="str">
            <v>두카트8000_전투</v>
          </cell>
        </row>
        <row r="1061">
          <cell r="A1061">
            <v>95010009</v>
          </cell>
          <cell r="B1061" t="str">
            <v>두카트9000_전투</v>
          </cell>
        </row>
        <row r="1062">
          <cell r="A1062">
            <v>95010010</v>
          </cell>
          <cell r="B1062" t="str">
            <v>두카트10000_전투</v>
          </cell>
        </row>
        <row r="1063">
          <cell r="A1063">
            <v>95010011</v>
          </cell>
          <cell r="B1063" t="str">
            <v>두카트11000_전투</v>
          </cell>
        </row>
        <row r="1064">
          <cell r="A1064">
            <v>95010012</v>
          </cell>
          <cell r="B1064" t="str">
            <v>두카트12000_전투</v>
          </cell>
        </row>
        <row r="1065">
          <cell r="A1065">
            <v>95010013</v>
          </cell>
          <cell r="B1065" t="str">
            <v>두카트13000_전투</v>
          </cell>
        </row>
        <row r="1066">
          <cell r="A1066">
            <v>95010014</v>
          </cell>
          <cell r="B1066" t="str">
            <v>두카트14000_전투</v>
          </cell>
        </row>
        <row r="1067">
          <cell r="A1067">
            <v>95010015</v>
          </cell>
          <cell r="B1067" t="str">
            <v>두카트15000_전투</v>
          </cell>
        </row>
        <row r="1068">
          <cell r="A1068">
            <v>95010016</v>
          </cell>
          <cell r="B1068" t="str">
            <v>두카트16000_전투</v>
          </cell>
        </row>
        <row r="1069">
          <cell r="A1069">
            <v>95010017</v>
          </cell>
          <cell r="B1069" t="str">
            <v>두카트17000_전투</v>
          </cell>
        </row>
        <row r="1070">
          <cell r="A1070">
            <v>95010018</v>
          </cell>
          <cell r="B1070" t="str">
            <v>두카트18000_전투</v>
          </cell>
        </row>
        <row r="1071">
          <cell r="A1071">
            <v>95010019</v>
          </cell>
          <cell r="B1071" t="str">
            <v>두카트19000_전투</v>
          </cell>
        </row>
        <row r="1072">
          <cell r="A1072">
            <v>95010020</v>
          </cell>
          <cell r="B1072" t="str">
            <v>두카트20000_전투</v>
          </cell>
        </row>
        <row r="1073">
          <cell r="A1073">
            <v>95010021</v>
          </cell>
          <cell r="B1073" t="str">
            <v>두카트21000_전투</v>
          </cell>
        </row>
        <row r="1074">
          <cell r="A1074">
            <v>95010022</v>
          </cell>
          <cell r="B1074" t="str">
            <v>두카트22000_전투</v>
          </cell>
        </row>
        <row r="1075">
          <cell r="A1075">
            <v>95010023</v>
          </cell>
          <cell r="B1075" t="str">
            <v>두카트23000_전투</v>
          </cell>
        </row>
        <row r="1076">
          <cell r="A1076">
            <v>95010024</v>
          </cell>
          <cell r="B1076" t="str">
            <v>두카트24000_전투</v>
          </cell>
        </row>
        <row r="1077">
          <cell r="A1077">
            <v>95010025</v>
          </cell>
          <cell r="B1077" t="str">
            <v>두카트25000_전투</v>
          </cell>
        </row>
        <row r="1078">
          <cell r="A1078">
            <v>95010026</v>
          </cell>
          <cell r="B1078" t="str">
            <v>두카트26000_전투</v>
          </cell>
        </row>
        <row r="1079">
          <cell r="A1079">
            <v>95010027</v>
          </cell>
          <cell r="B1079" t="str">
            <v>두카트27000_전투</v>
          </cell>
        </row>
        <row r="1080">
          <cell r="A1080">
            <v>95010028</v>
          </cell>
          <cell r="B1080" t="str">
            <v>두카트28000_전투</v>
          </cell>
        </row>
        <row r="1081">
          <cell r="A1081">
            <v>95010029</v>
          </cell>
          <cell r="B1081" t="str">
            <v>두카트29000_전투</v>
          </cell>
        </row>
        <row r="1082">
          <cell r="A1082">
            <v>95010030</v>
          </cell>
          <cell r="B1082" t="str">
            <v>두카트30000_전투</v>
          </cell>
        </row>
        <row r="1083">
          <cell r="A1083">
            <v>95010031</v>
          </cell>
          <cell r="B1083" t="str">
            <v>두카트31000_전투</v>
          </cell>
        </row>
        <row r="1084">
          <cell r="A1084">
            <v>95010032</v>
          </cell>
          <cell r="B1084" t="str">
            <v>두카트32000_전투</v>
          </cell>
        </row>
        <row r="1085">
          <cell r="A1085">
            <v>95010033</v>
          </cell>
          <cell r="B1085" t="str">
            <v>두카트33000_전투</v>
          </cell>
        </row>
        <row r="1086">
          <cell r="A1086">
            <v>95010034</v>
          </cell>
          <cell r="B1086" t="str">
            <v>두카트34000_전투</v>
          </cell>
        </row>
        <row r="1087">
          <cell r="A1087">
            <v>95010035</v>
          </cell>
          <cell r="B1087" t="str">
            <v>두카트35000_전투</v>
          </cell>
        </row>
        <row r="1088">
          <cell r="A1088">
            <v>95010036</v>
          </cell>
          <cell r="B1088" t="str">
            <v>두카트36000_전투</v>
          </cell>
        </row>
        <row r="1089">
          <cell r="A1089">
            <v>95010037</v>
          </cell>
          <cell r="B1089" t="str">
            <v>두카트37000_전투</v>
          </cell>
        </row>
        <row r="1090">
          <cell r="A1090">
            <v>95010038</v>
          </cell>
          <cell r="B1090" t="str">
            <v>두카트38000_전투</v>
          </cell>
        </row>
        <row r="1091">
          <cell r="A1091">
            <v>95010039</v>
          </cell>
          <cell r="B1091" t="str">
            <v>두카트39000_전투</v>
          </cell>
        </row>
        <row r="1092">
          <cell r="A1092">
            <v>95010040</v>
          </cell>
          <cell r="B1092" t="str">
            <v>두카트40000_전투</v>
          </cell>
        </row>
        <row r="1093">
          <cell r="A1093">
            <v>95010041</v>
          </cell>
          <cell r="B1093" t="str">
            <v>두카트41000_전투</v>
          </cell>
        </row>
        <row r="1094">
          <cell r="A1094">
            <v>95010042</v>
          </cell>
          <cell r="B1094" t="str">
            <v>두카트42000_전투</v>
          </cell>
        </row>
        <row r="1095">
          <cell r="A1095">
            <v>95010043</v>
          </cell>
          <cell r="B1095" t="str">
            <v>두카트43000_전투</v>
          </cell>
        </row>
        <row r="1096">
          <cell r="A1096">
            <v>95010044</v>
          </cell>
          <cell r="B1096" t="str">
            <v>두카트44000_전투</v>
          </cell>
        </row>
        <row r="1097">
          <cell r="A1097">
            <v>95010045</v>
          </cell>
          <cell r="B1097" t="str">
            <v>두카트45000_전투</v>
          </cell>
        </row>
        <row r="1098">
          <cell r="A1098">
            <v>95010046</v>
          </cell>
          <cell r="B1098" t="str">
            <v>두카트46000_전투</v>
          </cell>
        </row>
        <row r="1099">
          <cell r="A1099">
            <v>95010047</v>
          </cell>
          <cell r="B1099" t="str">
            <v>두카트47000_전투</v>
          </cell>
        </row>
        <row r="1100">
          <cell r="A1100">
            <v>95010048</v>
          </cell>
          <cell r="B1100" t="str">
            <v>두카트48000_전투</v>
          </cell>
        </row>
        <row r="1101">
          <cell r="A1101">
            <v>95010049</v>
          </cell>
          <cell r="B1101" t="str">
            <v>두카트49000_전투</v>
          </cell>
        </row>
        <row r="1102">
          <cell r="A1102">
            <v>95010050</v>
          </cell>
          <cell r="B1102" t="str">
            <v>두카트50000_전투</v>
          </cell>
        </row>
        <row r="1103">
          <cell r="A1103">
            <v>95010051</v>
          </cell>
          <cell r="B1103" t="str">
            <v>두카트51000_전투</v>
          </cell>
        </row>
        <row r="1104">
          <cell r="A1104">
            <v>95010052</v>
          </cell>
          <cell r="B1104" t="str">
            <v>두카트52000_전투</v>
          </cell>
        </row>
        <row r="1105">
          <cell r="A1105">
            <v>95010053</v>
          </cell>
          <cell r="B1105" t="str">
            <v>두카트53000_전투</v>
          </cell>
        </row>
        <row r="1106">
          <cell r="A1106">
            <v>95010054</v>
          </cell>
          <cell r="B1106" t="str">
            <v>두카트54000_전투</v>
          </cell>
        </row>
        <row r="1107">
          <cell r="A1107">
            <v>95010055</v>
          </cell>
          <cell r="B1107" t="str">
            <v>두카트55000_전투</v>
          </cell>
        </row>
        <row r="1108">
          <cell r="A1108">
            <v>95010056</v>
          </cell>
          <cell r="B1108" t="str">
            <v>두카트56000_전투</v>
          </cell>
        </row>
        <row r="1109">
          <cell r="A1109">
            <v>95010057</v>
          </cell>
          <cell r="B1109" t="str">
            <v>두카트57000_전투</v>
          </cell>
        </row>
        <row r="1110">
          <cell r="A1110">
            <v>95010058</v>
          </cell>
          <cell r="B1110" t="str">
            <v>두카트58000_전투</v>
          </cell>
        </row>
        <row r="1111">
          <cell r="A1111">
            <v>95010059</v>
          </cell>
          <cell r="B1111" t="str">
            <v>두카트59000_전투</v>
          </cell>
        </row>
        <row r="1112">
          <cell r="A1112">
            <v>95010060</v>
          </cell>
          <cell r="B1112" t="str">
            <v>두카트60000_전투</v>
          </cell>
        </row>
        <row r="1113">
          <cell r="A1113">
            <v>95010061</v>
          </cell>
          <cell r="B1113" t="str">
            <v>두카트61000_전투</v>
          </cell>
        </row>
        <row r="1114">
          <cell r="A1114">
            <v>95010062</v>
          </cell>
          <cell r="B1114" t="str">
            <v>두카트62000_전투</v>
          </cell>
        </row>
        <row r="1115">
          <cell r="A1115">
            <v>95010063</v>
          </cell>
          <cell r="B1115" t="str">
            <v>두카트63000_전투</v>
          </cell>
        </row>
        <row r="1116">
          <cell r="A1116">
            <v>95010064</v>
          </cell>
          <cell r="B1116" t="str">
            <v>두카트64000_전투</v>
          </cell>
        </row>
        <row r="1117">
          <cell r="A1117">
            <v>95010065</v>
          </cell>
          <cell r="B1117" t="str">
            <v>두카트65000_전투</v>
          </cell>
        </row>
        <row r="1118">
          <cell r="A1118">
            <v>95010066</v>
          </cell>
          <cell r="B1118" t="str">
            <v>두카트66000_전투</v>
          </cell>
        </row>
        <row r="1119">
          <cell r="A1119">
            <v>95010067</v>
          </cell>
          <cell r="B1119" t="str">
            <v>두카트67000_전투</v>
          </cell>
        </row>
        <row r="1120">
          <cell r="A1120">
            <v>95010068</v>
          </cell>
          <cell r="B1120" t="str">
            <v>두카트68000_전투</v>
          </cell>
        </row>
        <row r="1121">
          <cell r="A1121">
            <v>95010069</v>
          </cell>
          <cell r="B1121" t="str">
            <v>두카트69000_전투</v>
          </cell>
        </row>
        <row r="1122">
          <cell r="A1122">
            <v>95010070</v>
          </cell>
          <cell r="B1122" t="str">
            <v>두카트70000_전투</v>
          </cell>
        </row>
        <row r="1123">
          <cell r="A1123">
            <v>95010071</v>
          </cell>
          <cell r="B1123" t="str">
            <v>두카트71000_전투</v>
          </cell>
        </row>
        <row r="1124">
          <cell r="A1124">
            <v>95010072</v>
          </cell>
          <cell r="B1124" t="str">
            <v>두카트72000_전투</v>
          </cell>
        </row>
        <row r="1125">
          <cell r="A1125">
            <v>95010073</v>
          </cell>
          <cell r="B1125" t="str">
            <v>두카트73000_전투</v>
          </cell>
        </row>
        <row r="1126">
          <cell r="A1126">
            <v>95010074</v>
          </cell>
          <cell r="B1126" t="str">
            <v>두카트74000_전투</v>
          </cell>
        </row>
        <row r="1127">
          <cell r="A1127">
            <v>95010075</v>
          </cell>
          <cell r="B1127" t="str">
            <v>두카트75000_전투</v>
          </cell>
        </row>
        <row r="1128">
          <cell r="A1128">
            <v>95010076</v>
          </cell>
          <cell r="B1128" t="str">
            <v>두카트76000_전투</v>
          </cell>
        </row>
        <row r="1129">
          <cell r="A1129">
            <v>95010077</v>
          </cell>
          <cell r="B1129" t="str">
            <v>두카트77000_전투</v>
          </cell>
        </row>
        <row r="1130">
          <cell r="A1130">
            <v>95010078</v>
          </cell>
          <cell r="B1130" t="str">
            <v>두카트78000_전투</v>
          </cell>
        </row>
        <row r="1131">
          <cell r="A1131">
            <v>95010079</v>
          </cell>
          <cell r="B1131" t="str">
            <v>두카트79000_전투</v>
          </cell>
        </row>
        <row r="1132">
          <cell r="A1132">
            <v>95010080</v>
          </cell>
          <cell r="B1132" t="str">
            <v>두카트80000_전투</v>
          </cell>
        </row>
        <row r="1133">
          <cell r="A1133">
            <v>95010081</v>
          </cell>
          <cell r="B1133" t="str">
            <v>두카트81000_전투</v>
          </cell>
        </row>
        <row r="1134">
          <cell r="A1134">
            <v>95010082</v>
          </cell>
          <cell r="B1134" t="str">
            <v>두카트82000_전투</v>
          </cell>
        </row>
        <row r="1135">
          <cell r="A1135">
            <v>95010083</v>
          </cell>
          <cell r="B1135" t="str">
            <v>두카트83000_전투</v>
          </cell>
        </row>
        <row r="1136">
          <cell r="A1136">
            <v>95010084</v>
          </cell>
          <cell r="B1136" t="str">
            <v>두카트84000_전투</v>
          </cell>
        </row>
        <row r="1137">
          <cell r="A1137">
            <v>95010085</v>
          </cell>
          <cell r="B1137" t="str">
            <v>두카트85000_전투</v>
          </cell>
        </row>
        <row r="1138">
          <cell r="A1138">
            <v>95010086</v>
          </cell>
          <cell r="B1138" t="str">
            <v>두카트86000_전투</v>
          </cell>
        </row>
        <row r="1139">
          <cell r="A1139">
            <v>95010087</v>
          </cell>
          <cell r="B1139" t="str">
            <v>두카트87000_전투</v>
          </cell>
        </row>
        <row r="1140">
          <cell r="A1140">
            <v>95010088</v>
          </cell>
          <cell r="B1140" t="str">
            <v>두카트88000_전투</v>
          </cell>
        </row>
        <row r="1141">
          <cell r="A1141">
            <v>95010089</v>
          </cell>
          <cell r="B1141" t="str">
            <v>두카트89000_전투</v>
          </cell>
        </row>
        <row r="1142">
          <cell r="A1142">
            <v>95010090</v>
          </cell>
          <cell r="B1142" t="str">
            <v>두카트90000_전투</v>
          </cell>
        </row>
        <row r="1143">
          <cell r="A1143">
            <v>95010091</v>
          </cell>
          <cell r="B1143" t="str">
            <v>두카트91000_전투</v>
          </cell>
        </row>
        <row r="1144">
          <cell r="A1144">
            <v>95010092</v>
          </cell>
          <cell r="B1144" t="str">
            <v>두카트92000_전투</v>
          </cell>
        </row>
        <row r="1145">
          <cell r="A1145">
            <v>95010093</v>
          </cell>
          <cell r="B1145" t="str">
            <v>두카트93000_전투</v>
          </cell>
        </row>
        <row r="1146">
          <cell r="A1146">
            <v>95010094</v>
          </cell>
          <cell r="B1146" t="str">
            <v>두카트94000_전투</v>
          </cell>
        </row>
        <row r="1147">
          <cell r="A1147">
            <v>95010095</v>
          </cell>
          <cell r="B1147" t="str">
            <v>두카트95000_전투</v>
          </cell>
        </row>
        <row r="1148">
          <cell r="A1148">
            <v>95010096</v>
          </cell>
          <cell r="B1148" t="str">
            <v>두카트96000_전투</v>
          </cell>
        </row>
        <row r="1149">
          <cell r="A1149">
            <v>95010097</v>
          </cell>
          <cell r="B1149" t="str">
            <v>두카트97000_전투</v>
          </cell>
        </row>
        <row r="1150">
          <cell r="A1150">
            <v>95010098</v>
          </cell>
          <cell r="B1150" t="str">
            <v>두카트98000_전투</v>
          </cell>
        </row>
        <row r="1151">
          <cell r="A1151">
            <v>95010099</v>
          </cell>
          <cell r="B1151" t="str">
            <v>두카트99000_전투</v>
          </cell>
        </row>
        <row r="1152">
          <cell r="A1152">
            <v>95010100</v>
          </cell>
          <cell r="B1152" t="str">
            <v>두카트100000_전투</v>
          </cell>
        </row>
        <row r="1153">
          <cell r="A1153">
            <v>95010101</v>
          </cell>
          <cell r="B1153" t="str">
            <v>두카트101000_전투</v>
          </cell>
        </row>
        <row r="1154">
          <cell r="A1154">
            <v>95010102</v>
          </cell>
          <cell r="B1154" t="str">
            <v>두카트102000_전투</v>
          </cell>
        </row>
        <row r="1155">
          <cell r="A1155">
            <v>95010103</v>
          </cell>
          <cell r="B1155" t="str">
            <v>두카트103000_전투</v>
          </cell>
        </row>
        <row r="1156">
          <cell r="A1156">
            <v>95010104</v>
          </cell>
          <cell r="B1156" t="str">
            <v>두카트104000_전투</v>
          </cell>
        </row>
        <row r="1157">
          <cell r="A1157">
            <v>95010105</v>
          </cell>
          <cell r="B1157" t="str">
            <v>두카트105000_전투</v>
          </cell>
        </row>
        <row r="1158">
          <cell r="A1158">
            <v>95010106</v>
          </cell>
          <cell r="B1158" t="str">
            <v>두카트106000_전투</v>
          </cell>
        </row>
        <row r="1159">
          <cell r="A1159">
            <v>95010107</v>
          </cell>
          <cell r="B1159" t="str">
            <v>두카트107000_전투</v>
          </cell>
        </row>
        <row r="1160">
          <cell r="A1160">
            <v>95010108</v>
          </cell>
          <cell r="B1160" t="str">
            <v>두카트108000_전투</v>
          </cell>
        </row>
        <row r="1161">
          <cell r="A1161">
            <v>95010109</v>
          </cell>
          <cell r="B1161" t="str">
            <v>두카트109000_전투</v>
          </cell>
        </row>
        <row r="1162">
          <cell r="A1162">
            <v>95010110</v>
          </cell>
          <cell r="B1162" t="str">
            <v>두카트110000_전투</v>
          </cell>
        </row>
        <row r="1163">
          <cell r="A1163">
            <v>95010111</v>
          </cell>
          <cell r="B1163" t="str">
            <v>두카트111000_전투</v>
          </cell>
        </row>
        <row r="1164">
          <cell r="A1164">
            <v>95010112</v>
          </cell>
          <cell r="B1164" t="str">
            <v>두카트112000_전투</v>
          </cell>
        </row>
        <row r="1165">
          <cell r="A1165">
            <v>95010113</v>
          </cell>
          <cell r="B1165" t="str">
            <v>두카트113000_전투</v>
          </cell>
        </row>
        <row r="1166">
          <cell r="A1166">
            <v>95010114</v>
          </cell>
          <cell r="B1166" t="str">
            <v>두카트114000_전투</v>
          </cell>
        </row>
        <row r="1167">
          <cell r="A1167">
            <v>95010115</v>
          </cell>
          <cell r="B1167" t="str">
            <v>두카트115000_전투</v>
          </cell>
        </row>
        <row r="1168">
          <cell r="A1168">
            <v>95010116</v>
          </cell>
          <cell r="B1168" t="str">
            <v>두카트116000_전투</v>
          </cell>
        </row>
        <row r="1169">
          <cell r="A1169">
            <v>95010117</v>
          </cell>
          <cell r="B1169" t="str">
            <v>두카트117000_전투</v>
          </cell>
        </row>
        <row r="1170">
          <cell r="A1170">
            <v>95010118</v>
          </cell>
          <cell r="B1170" t="str">
            <v>두카트118000_전투</v>
          </cell>
        </row>
        <row r="1171">
          <cell r="A1171">
            <v>95010119</v>
          </cell>
          <cell r="B1171" t="str">
            <v>두카트119000_전투</v>
          </cell>
        </row>
        <row r="1172">
          <cell r="A1172">
            <v>95010120</v>
          </cell>
          <cell r="B1172" t="str">
            <v>두카트120000_전투</v>
          </cell>
        </row>
        <row r="1173">
          <cell r="A1173">
            <v>95010121</v>
          </cell>
          <cell r="B1173" t="str">
            <v>두카트121000_전투</v>
          </cell>
        </row>
        <row r="1174">
          <cell r="A1174">
            <v>95010122</v>
          </cell>
          <cell r="B1174" t="str">
            <v>두카트122000_전투</v>
          </cell>
        </row>
        <row r="1175">
          <cell r="A1175">
            <v>95010123</v>
          </cell>
          <cell r="B1175" t="str">
            <v>두카트123000_전투</v>
          </cell>
        </row>
        <row r="1176">
          <cell r="A1176">
            <v>95010124</v>
          </cell>
          <cell r="B1176" t="str">
            <v>두카트124000_전투</v>
          </cell>
        </row>
        <row r="1177">
          <cell r="A1177">
            <v>95010125</v>
          </cell>
          <cell r="B1177" t="str">
            <v>두카트125000_전투</v>
          </cell>
        </row>
        <row r="1178">
          <cell r="A1178">
            <v>95010126</v>
          </cell>
          <cell r="B1178" t="str">
            <v>두카트126000_전투</v>
          </cell>
        </row>
        <row r="1179">
          <cell r="A1179">
            <v>95010127</v>
          </cell>
          <cell r="B1179" t="str">
            <v>두카트127000_전투</v>
          </cell>
        </row>
        <row r="1180">
          <cell r="A1180">
            <v>95010128</v>
          </cell>
          <cell r="B1180" t="str">
            <v>두카트128000_전투</v>
          </cell>
        </row>
        <row r="1181">
          <cell r="A1181">
            <v>95010129</v>
          </cell>
          <cell r="B1181" t="str">
            <v>두카트129000_전투</v>
          </cell>
        </row>
        <row r="1182">
          <cell r="A1182">
            <v>95010130</v>
          </cell>
          <cell r="B1182" t="str">
            <v>두카트130000_전투</v>
          </cell>
        </row>
        <row r="1183">
          <cell r="A1183">
            <v>95010131</v>
          </cell>
          <cell r="B1183" t="str">
            <v>두카트131000_전투</v>
          </cell>
        </row>
        <row r="1184">
          <cell r="A1184">
            <v>95010132</v>
          </cell>
          <cell r="B1184" t="str">
            <v>두카트132000_전투</v>
          </cell>
        </row>
        <row r="1185">
          <cell r="A1185">
            <v>95010133</v>
          </cell>
          <cell r="B1185" t="str">
            <v>두카트133000_전투</v>
          </cell>
        </row>
        <row r="1186">
          <cell r="A1186">
            <v>95010134</v>
          </cell>
          <cell r="B1186" t="str">
            <v>두카트134000_전투</v>
          </cell>
        </row>
        <row r="1187">
          <cell r="A1187">
            <v>95010135</v>
          </cell>
          <cell r="B1187" t="str">
            <v>두카트135000_전투</v>
          </cell>
        </row>
        <row r="1188">
          <cell r="A1188">
            <v>95010136</v>
          </cell>
          <cell r="B1188" t="str">
            <v>두카트136000_전투</v>
          </cell>
        </row>
        <row r="1189">
          <cell r="A1189">
            <v>95010137</v>
          </cell>
          <cell r="B1189" t="str">
            <v>두카트137000_전투</v>
          </cell>
        </row>
        <row r="1190">
          <cell r="A1190">
            <v>95010138</v>
          </cell>
          <cell r="B1190" t="str">
            <v>두카트138000_전투</v>
          </cell>
        </row>
        <row r="1191">
          <cell r="A1191">
            <v>95010139</v>
          </cell>
          <cell r="B1191" t="str">
            <v>두카트139000_전투</v>
          </cell>
        </row>
        <row r="1192">
          <cell r="A1192">
            <v>95010140</v>
          </cell>
          <cell r="B1192" t="str">
            <v>두카트140000_전투</v>
          </cell>
        </row>
        <row r="1193">
          <cell r="A1193">
            <v>95010141</v>
          </cell>
          <cell r="B1193" t="str">
            <v>두카트141000_전투</v>
          </cell>
        </row>
        <row r="1194">
          <cell r="A1194">
            <v>95010142</v>
          </cell>
          <cell r="B1194" t="str">
            <v>두카트142000_전투</v>
          </cell>
        </row>
        <row r="1195">
          <cell r="A1195">
            <v>95010143</v>
          </cell>
          <cell r="B1195" t="str">
            <v>두카트143000_전투</v>
          </cell>
        </row>
        <row r="1196">
          <cell r="A1196">
            <v>95010144</v>
          </cell>
          <cell r="B1196" t="str">
            <v>두카트144000_전투</v>
          </cell>
        </row>
        <row r="1197">
          <cell r="A1197">
            <v>95010145</v>
          </cell>
          <cell r="B1197" t="str">
            <v>두카트145000_전투</v>
          </cell>
        </row>
        <row r="1198">
          <cell r="A1198">
            <v>95010146</v>
          </cell>
          <cell r="B1198" t="str">
            <v>두카트146000_전투</v>
          </cell>
        </row>
        <row r="1199">
          <cell r="A1199">
            <v>95010147</v>
          </cell>
          <cell r="B1199" t="str">
            <v>두카트147000_전투</v>
          </cell>
        </row>
        <row r="1200">
          <cell r="A1200">
            <v>95010148</v>
          </cell>
          <cell r="B1200" t="str">
            <v>두카트148000_전투</v>
          </cell>
        </row>
        <row r="1201">
          <cell r="A1201">
            <v>95010149</v>
          </cell>
          <cell r="B1201" t="str">
            <v>두카트149000_전투</v>
          </cell>
        </row>
        <row r="1202">
          <cell r="A1202">
            <v>95010150</v>
          </cell>
          <cell r="B1202" t="str">
            <v>두카트150000_전투</v>
          </cell>
        </row>
        <row r="1203">
          <cell r="A1203">
            <v>95010151</v>
          </cell>
          <cell r="B1203" t="str">
            <v>두카트151000_전투</v>
          </cell>
        </row>
        <row r="1204">
          <cell r="A1204">
            <v>95010152</v>
          </cell>
          <cell r="B1204" t="str">
            <v>두카트152000_전투</v>
          </cell>
        </row>
        <row r="1205">
          <cell r="A1205">
            <v>95010153</v>
          </cell>
          <cell r="B1205" t="str">
            <v>두카트153000_전투</v>
          </cell>
        </row>
        <row r="1206">
          <cell r="A1206">
            <v>95010154</v>
          </cell>
          <cell r="B1206" t="str">
            <v>두카트154000_전투</v>
          </cell>
        </row>
        <row r="1207">
          <cell r="A1207">
            <v>95010155</v>
          </cell>
          <cell r="B1207" t="str">
            <v>두카트155000_전투</v>
          </cell>
        </row>
        <row r="1208">
          <cell r="A1208">
            <v>95010156</v>
          </cell>
          <cell r="B1208" t="str">
            <v>두카트156000_전투</v>
          </cell>
        </row>
        <row r="1209">
          <cell r="A1209">
            <v>95010157</v>
          </cell>
          <cell r="B1209" t="str">
            <v>두카트157000_전투</v>
          </cell>
        </row>
        <row r="1210">
          <cell r="A1210">
            <v>95010158</v>
          </cell>
          <cell r="B1210" t="str">
            <v>두카트158000_전투</v>
          </cell>
        </row>
        <row r="1211">
          <cell r="A1211">
            <v>95010159</v>
          </cell>
          <cell r="B1211" t="str">
            <v>두카트159000_전투</v>
          </cell>
        </row>
        <row r="1212">
          <cell r="A1212">
            <v>95010160</v>
          </cell>
          <cell r="B1212" t="str">
            <v>두카트160000_전투</v>
          </cell>
        </row>
        <row r="1213">
          <cell r="A1213">
            <v>95010161</v>
          </cell>
          <cell r="B1213" t="str">
            <v>두카트161000_전투</v>
          </cell>
        </row>
        <row r="1214">
          <cell r="A1214">
            <v>95010162</v>
          </cell>
          <cell r="B1214" t="str">
            <v>두카트162000_전투</v>
          </cell>
        </row>
        <row r="1215">
          <cell r="A1215">
            <v>95010163</v>
          </cell>
          <cell r="B1215" t="str">
            <v>두카트163000_전투</v>
          </cell>
        </row>
        <row r="1216">
          <cell r="A1216">
            <v>95010164</v>
          </cell>
          <cell r="B1216" t="str">
            <v>두카트164000_전투</v>
          </cell>
        </row>
        <row r="1217">
          <cell r="A1217">
            <v>95010165</v>
          </cell>
          <cell r="B1217" t="str">
            <v>두카트165000_전투</v>
          </cell>
        </row>
        <row r="1218">
          <cell r="A1218">
            <v>95010166</v>
          </cell>
          <cell r="B1218" t="str">
            <v>두카트166000_전투</v>
          </cell>
        </row>
        <row r="1219">
          <cell r="A1219">
            <v>95010167</v>
          </cell>
          <cell r="B1219" t="str">
            <v>두카트167000_전투</v>
          </cell>
        </row>
        <row r="1220">
          <cell r="A1220">
            <v>95010168</v>
          </cell>
          <cell r="B1220" t="str">
            <v>두카트168000_전투</v>
          </cell>
        </row>
        <row r="1221">
          <cell r="A1221">
            <v>95010169</v>
          </cell>
          <cell r="B1221" t="str">
            <v>두카트169000_전투</v>
          </cell>
        </row>
        <row r="1222">
          <cell r="A1222">
            <v>95010170</v>
          </cell>
          <cell r="B1222" t="str">
            <v>두카트170000_전투</v>
          </cell>
        </row>
        <row r="1223">
          <cell r="A1223">
            <v>95010171</v>
          </cell>
          <cell r="B1223" t="str">
            <v>두카트171000_전투</v>
          </cell>
        </row>
        <row r="1224">
          <cell r="A1224">
            <v>95010172</v>
          </cell>
          <cell r="B1224" t="str">
            <v>두카트172000_전투</v>
          </cell>
        </row>
        <row r="1225">
          <cell r="A1225">
            <v>95010173</v>
          </cell>
          <cell r="B1225" t="str">
            <v>두카트173000_전투</v>
          </cell>
        </row>
        <row r="1226">
          <cell r="A1226">
            <v>95010174</v>
          </cell>
          <cell r="B1226" t="str">
            <v>두카트174000_전투</v>
          </cell>
        </row>
        <row r="1227">
          <cell r="A1227">
            <v>95010175</v>
          </cell>
          <cell r="B1227" t="str">
            <v>두카트175000_전투</v>
          </cell>
        </row>
        <row r="1228">
          <cell r="A1228">
            <v>95010176</v>
          </cell>
          <cell r="B1228" t="str">
            <v>두카트176000_전투</v>
          </cell>
        </row>
        <row r="1229">
          <cell r="A1229">
            <v>95010177</v>
          </cell>
          <cell r="B1229" t="str">
            <v>두카트177000_전투</v>
          </cell>
        </row>
        <row r="1230">
          <cell r="A1230">
            <v>95010178</v>
          </cell>
          <cell r="B1230" t="str">
            <v>두카트178000_전투</v>
          </cell>
        </row>
        <row r="1231">
          <cell r="A1231">
            <v>95010179</v>
          </cell>
          <cell r="B1231" t="str">
            <v>두카트179000_전투</v>
          </cell>
        </row>
        <row r="1232">
          <cell r="A1232">
            <v>95010180</v>
          </cell>
          <cell r="B1232" t="str">
            <v>두카트180000_전투</v>
          </cell>
        </row>
        <row r="1233">
          <cell r="A1233">
            <v>95010181</v>
          </cell>
          <cell r="B1233" t="str">
            <v>두카트181000_전투</v>
          </cell>
        </row>
        <row r="1234">
          <cell r="A1234">
            <v>95010182</v>
          </cell>
          <cell r="B1234" t="str">
            <v>두카트182000_전투</v>
          </cell>
        </row>
        <row r="1235">
          <cell r="A1235">
            <v>95010183</v>
          </cell>
          <cell r="B1235" t="str">
            <v>두카트183000_전투</v>
          </cell>
        </row>
        <row r="1236">
          <cell r="A1236">
            <v>95010184</v>
          </cell>
          <cell r="B1236" t="str">
            <v>두카트184000_전투</v>
          </cell>
        </row>
        <row r="1237">
          <cell r="A1237">
            <v>95010185</v>
          </cell>
          <cell r="B1237" t="str">
            <v>두카트185000_전투</v>
          </cell>
        </row>
        <row r="1238">
          <cell r="A1238">
            <v>95010186</v>
          </cell>
          <cell r="B1238" t="str">
            <v>두카트186000_전투</v>
          </cell>
        </row>
        <row r="1239">
          <cell r="A1239">
            <v>95010187</v>
          </cell>
          <cell r="B1239" t="str">
            <v>두카트187000_전투</v>
          </cell>
        </row>
        <row r="1240">
          <cell r="A1240">
            <v>95010188</v>
          </cell>
          <cell r="B1240" t="str">
            <v>두카트188000_전투</v>
          </cell>
        </row>
        <row r="1241">
          <cell r="A1241">
            <v>95010189</v>
          </cell>
          <cell r="B1241" t="str">
            <v>두카트189000_전투</v>
          </cell>
        </row>
        <row r="1242">
          <cell r="A1242">
            <v>95010190</v>
          </cell>
          <cell r="B1242" t="str">
            <v>두카트190000_전투</v>
          </cell>
        </row>
        <row r="1243">
          <cell r="A1243">
            <v>95010191</v>
          </cell>
          <cell r="B1243" t="str">
            <v>두카트191000_전투</v>
          </cell>
        </row>
        <row r="1244">
          <cell r="A1244">
            <v>95010192</v>
          </cell>
          <cell r="B1244" t="str">
            <v>두카트192000_전투</v>
          </cell>
        </row>
        <row r="1245">
          <cell r="A1245">
            <v>95010193</v>
          </cell>
          <cell r="B1245" t="str">
            <v>두카트193000_전투</v>
          </cell>
        </row>
        <row r="1246">
          <cell r="A1246">
            <v>95010194</v>
          </cell>
          <cell r="B1246" t="str">
            <v>두카트194000_전투</v>
          </cell>
        </row>
        <row r="1247">
          <cell r="A1247">
            <v>95010195</v>
          </cell>
          <cell r="B1247" t="str">
            <v>두카트195000_전투</v>
          </cell>
        </row>
        <row r="1248">
          <cell r="A1248">
            <v>95010196</v>
          </cell>
          <cell r="B1248" t="str">
            <v>두카트196000_전투</v>
          </cell>
        </row>
        <row r="1249">
          <cell r="A1249">
            <v>95010197</v>
          </cell>
          <cell r="B1249" t="str">
            <v>두카트197000_전투</v>
          </cell>
        </row>
        <row r="1250">
          <cell r="A1250">
            <v>95010198</v>
          </cell>
          <cell r="B1250" t="str">
            <v>두카트198000_전투</v>
          </cell>
        </row>
        <row r="1251">
          <cell r="A1251">
            <v>95010199</v>
          </cell>
          <cell r="B1251" t="str">
            <v>두카트199000_전투</v>
          </cell>
        </row>
        <row r="1252">
          <cell r="A1252">
            <v>95010200</v>
          </cell>
          <cell r="B1252" t="str">
            <v>두카트200000_전투</v>
          </cell>
        </row>
        <row r="1253">
          <cell r="A1253">
            <v>95010201</v>
          </cell>
          <cell r="B1253" t="str">
            <v>두카트201000_전투</v>
          </cell>
        </row>
        <row r="1254">
          <cell r="A1254">
            <v>95010202</v>
          </cell>
          <cell r="B1254" t="str">
            <v>두카트202000_전투</v>
          </cell>
        </row>
        <row r="1255">
          <cell r="A1255">
            <v>95010203</v>
          </cell>
          <cell r="B1255" t="str">
            <v>두카트203000_전투</v>
          </cell>
        </row>
        <row r="1256">
          <cell r="A1256">
            <v>95010204</v>
          </cell>
          <cell r="B1256" t="str">
            <v>두카트204000_전투</v>
          </cell>
        </row>
        <row r="1257">
          <cell r="A1257">
            <v>95010205</v>
          </cell>
          <cell r="B1257" t="str">
            <v>두카트205000_전투</v>
          </cell>
        </row>
        <row r="1258">
          <cell r="A1258">
            <v>95010206</v>
          </cell>
          <cell r="B1258" t="str">
            <v>두카트206000_전투</v>
          </cell>
        </row>
        <row r="1259">
          <cell r="A1259">
            <v>95010207</v>
          </cell>
          <cell r="B1259" t="str">
            <v>두카트207000_전투</v>
          </cell>
        </row>
        <row r="1260">
          <cell r="A1260">
            <v>95010208</v>
          </cell>
          <cell r="B1260" t="str">
            <v>두카트208000_전투</v>
          </cell>
        </row>
        <row r="1261">
          <cell r="A1261">
            <v>95010209</v>
          </cell>
          <cell r="B1261" t="str">
            <v>두카트209000_전투</v>
          </cell>
        </row>
        <row r="1262">
          <cell r="A1262">
            <v>95010210</v>
          </cell>
          <cell r="B1262" t="str">
            <v>두카트210000_전투</v>
          </cell>
        </row>
        <row r="1263">
          <cell r="A1263">
            <v>95010211</v>
          </cell>
          <cell r="B1263" t="str">
            <v>두카트211000_전투</v>
          </cell>
        </row>
        <row r="1264">
          <cell r="A1264">
            <v>95010212</v>
          </cell>
          <cell r="B1264" t="str">
            <v>두카트212000_전투</v>
          </cell>
        </row>
        <row r="1265">
          <cell r="A1265">
            <v>95010213</v>
          </cell>
          <cell r="B1265" t="str">
            <v>두카트213000_전투</v>
          </cell>
        </row>
        <row r="1266">
          <cell r="A1266">
            <v>95010214</v>
          </cell>
          <cell r="B1266" t="str">
            <v>두카트214000_전투</v>
          </cell>
        </row>
        <row r="1267">
          <cell r="A1267">
            <v>95010215</v>
          </cell>
          <cell r="B1267" t="str">
            <v>두카트215000_전투</v>
          </cell>
        </row>
        <row r="1268">
          <cell r="A1268">
            <v>95010216</v>
          </cell>
          <cell r="B1268" t="str">
            <v>두카트216000_전투</v>
          </cell>
        </row>
        <row r="1269">
          <cell r="A1269">
            <v>95010217</v>
          </cell>
          <cell r="B1269" t="str">
            <v>두카트217000_전투</v>
          </cell>
        </row>
        <row r="1270">
          <cell r="A1270">
            <v>95010218</v>
          </cell>
          <cell r="B1270" t="str">
            <v>두카트218000_전투</v>
          </cell>
        </row>
        <row r="1271">
          <cell r="A1271">
            <v>95010219</v>
          </cell>
          <cell r="B1271" t="str">
            <v>두카트219000_전투</v>
          </cell>
        </row>
        <row r="1272">
          <cell r="A1272">
            <v>95010220</v>
          </cell>
          <cell r="B1272" t="str">
            <v>두카트220000_전투</v>
          </cell>
        </row>
        <row r="1273">
          <cell r="A1273">
            <v>95010221</v>
          </cell>
          <cell r="B1273" t="str">
            <v>두카트221000_전투</v>
          </cell>
        </row>
        <row r="1274">
          <cell r="A1274">
            <v>95010222</v>
          </cell>
          <cell r="B1274" t="str">
            <v>두카트222000_전투</v>
          </cell>
        </row>
        <row r="1275">
          <cell r="A1275">
            <v>95010223</v>
          </cell>
          <cell r="B1275" t="str">
            <v>두카트223000_전투</v>
          </cell>
        </row>
        <row r="1276">
          <cell r="A1276">
            <v>95010224</v>
          </cell>
          <cell r="B1276" t="str">
            <v>두카트224000_전투</v>
          </cell>
        </row>
        <row r="1277">
          <cell r="A1277">
            <v>95010225</v>
          </cell>
          <cell r="B1277" t="str">
            <v>두카트225000_전투</v>
          </cell>
        </row>
        <row r="1278">
          <cell r="A1278">
            <v>95010226</v>
          </cell>
          <cell r="B1278" t="str">
            <v>두카트226000_전투</v>
          </cell>
        </row>
        <row r="1279">
          <cell r="A1279">
            <v>95010227</v>
          </cell>
          <cell r="B1279" t="str">
            <v>두카트227000_전투</v>
          </cell>
        </row>
        <row r="1280">
          <cell r="A1280">
            <v>95010228</v>
          </cell>
          <cell r="B1280" t="str">
            <v>두카트228000_전투</v>
          </cell>
        </row>
        <row r="1281">
          <cell r="A1281">
            <v>95010229</v>
          </cell>
          <cell r="B1281" t="str">
            <v>두카트229000_전투</v>
          </cell>
        </row>
        <row r="1282">
          <cell r="A1282">
            <v>95010230</v>
          </cell>
          <cell r="B1282" t="str">
            <v>두카트230000_전투</v>
          </cell>
        </row>
        <row r="1283">
          <cell r="A1283">
            <v>95010231</v>
          </cell>
          <cell r="B1283" t="str">
            <v>두카트231000_전투</v>
          </cell>
        </row>
        <row r="1284">
          <cell r="A1284">
            <v>95010232</v>
          </cell>
          <cell r="B1284" t="str">
            <v>두카트232000_전투</v>
          </cell>
        </row>
        <row r="1285">
          <cell r="A1285">
            <v>95010233</v>
          </cell>
          <cell r="B1285" t="str">
            <v>두카트233000_전투</v>
          </cell>
        </row>
        <row r="1286">
          <cell r="A1286">
            <v>95010234</v>
          </cell>
          <cell r="B1286" t="str">
            <v>두카트234000_전투</v>
          </cell>
        </row>
        <row r="1287">
          <cell r="A1287">
            <v>95010235</v>
          </cell>
          <cell r="B1287" t="str">
            <v>두카트235000_전투</v>
          </cell>
        </row>
        <row r="1288">
          <cell r="A1288">
            <v>95010236</v>
          </cell>
          <cell r="B1288" t="str">
            <v>두카트236000_전투</v>
          </cell>
        </row>
        <row r="1289">
          <cell r="A1289">
            <v>95010237</v>
          </cell>
          <cell r="B1289" t="str">
            <v>두카트237000_전투</v>
          </cell>
        </row>
        <row r="1290">
          <cell r="A1290">
            <v>95010238</v>
          </cell>
          <cell r="B1290" t="str">
            <v>두카트238000_전투</v>
          </cell>
        </row>
        <row r="1291">
          <cell r="A1291">
            <v>95010239</v>
          </cell>
          <cell r="B1291" t="str">
            <v>두카트239000_전투</v>
          </cell>
        </row>
        <row r="1292">
          <cell r="A1292">
            <v>95010240</v>
          </cell>
          <cell r="B1292" t="str">
            <v>두카트240000_전투</v>
          </cell>
        </row>
        <row r="1293">
          <cell r="A1293">
            <v>95010241</v>
          </cell>
          <cell r="B1293" t="str">
            <v>두카트241000_전투</v>
          </cell>
        </row>
        <row r="1294">
          <cell r="A1294">
            <v>95010242</v>
          </cell>
          <cell r="B1294" t="str">
            <v>두카트242000_전투</v>
          </cell>
        </row>
        <row r="1295">
          <cell r="A1295">
            <v>95010243</v>
          </cell>
          <cell r="B1295" t="str">
            <v>두카트243000_전투</v>
          </cell>
        </row>
        <row r="1296">
          <cell r="A1296">
            <v>95010244</v>
          </cell>
          <cell r="B1296" t="str">
            <v>두카트244000_전투</v>
          </cell>
        </row>
        <row r="1297">
          <cell r="A1297">
            <v>95010245</v>
          </cell>
          <cell r="B1297" t="str">
            <v>두카트245000_전투</v>
          </cell>
        </row>
        <row r="1298">
          <cell r="A1298">
            <v>95010246</v>
          </cell>
          <cell r="B1298" t="str">
            <v>두카트246000_전투</v>
          </cell>
        </row>
        <row r="1299">
          <cell r="A1299">
            <v>95010247</v>
          </cell>
          <cell r="B1299" t="str">
            <v>두카트247000_전투</v>
          </cell>
        </row>
        <row r="1300">
          <cell r="A1300">
            <v>95010248</v>
          </cell>
          <cell r="B1300" t="str">
            <v>두카트248000_전투</v>
          </cell>
        </row>
        <row r="1301">
          <cell r="A1301">
            <v>95010249</v>
          </cell>
          <cell r="B1301" t="str">
            <v>두카트249000_전투</v>
          </cell>
        </row>
        <row r="1302">
          <cell r="A1302">
            <v>95010250</v>
          </cell>
          <cell r="B1302" t="str">
            <v>두카트250000_전투</v>
          </cell>
        </row>
        <row r="1303">
          <cell r="A1303">
            <v>95010251</v>
          </cell>
          <cell r="B1303" t="str">
            <v>두카트251000_전투</v>
          </cell>
        </row>
        <row r="1304">
          <cell r="A1304">
            <v>95010252</v>
          </cell>
          <cell r="B1304" t="str">
            <v>두카트252000_전투</v>
          </cell>
        </row>
        <row r="1305">
          <cell r="A1305">
            <v>95010253</v>
          </cell>
          <cell r="B1305" t="str">
            <v>두카트253000_전투</v>
          </cell>
        </row>
        <row r="1306">
          <cell r="A1306">
            <v>95010254</v>
          </cell>
          <cell r="B1306" t="str">
            <v>두카트254000_전투</v>
          </cell>
        </row>
        <row r="1307">
          <cell r="A1307">
            <v>95010255</v>
          </cell>
          <cell r="B1307" t="str">
            <v>두카트255000_전투</v>
          </cell>
        </row>
        <row r="1308">
          <cell r="A1308">
            <v>95010256</v>
          </cell>
          <cell r="B1308" t="str">
            <v>두카트256000_전투</v>
          </cell>
        </row>
        <row r="1309">
          <cell r="A1309">
            <v>95010257</v>
          </cell>
          <cell r="B1309" t="str">
            <v>두카트257000_전투</v>
          </cell>
        </row>
        <row r="1310">
          <cell r="A1310">
            <v>95010258</v>
          </cell>
          <cell r="B1310" t="str">
            <v>두카트258000_전투</v>
          </cell>
        </row>
        <row r="1311">
          <cell r="A1311">
            <v>95010259</v>
          </cell>
          <cell r="B1311" t="str">
            <v>두카트259000_전투</v>
          </cell>
        </row>
        <row r="1312">
          <cell r="A1312">
            <v>95010260</v>
          </cell>
          <cell r="B1312" t="str">
            <v>두카트260000_전투</v>
          </cell>
        </row>
        <row r="1313">
          <cell r="A1313">
            <v>95010261</v>
          </cell>
          <cell r="B1313" t="str">
            <v>두카트261000_전투</v>
          </cell>
        </row>
        <row r="1314">
          <cell r="A1314">
            <v>95010262</v>
          </cell>
          <cell r="B1314" t="str">
            <v>두카트262000_전투</v>
          </cell>
        </row>
        <row r="1315">
          <cell r="A1315">
            <v>95010263</v>
          </cell>
          <cell r="B1315" t="str">
            <v>두카트263000_전투</v>
          </cell>
        </row>
        <row r="1316">
          <cell r="A1316">
            <v>95010264</v>
          </cell>
          <cell r="B1316" t="str">
            <v>두카트264000_전투</v>
          </cell>
        </row>
        <row r="1317">
          <cell r="A1317">
            <v>95010265</v>
          </cell>
          <cell r="B1317" t="str">
            <v>두카트265000_전투</v>
          </cell>
        </row>
        <row r="1318">
          <cell r="A1318">
            <v>95010266</v>
          </cell>
          <cell r="B1318" t="str">
            <v>두카트266000_전투</v>
          </cell>
        </row>
        <row r="1319">
          <cell r="A1319">
            <v>95010267</v>
          </cell>
          <cell r="B1319" t="str">
            <v>두카트267000_전투</v>
          </cell>
        </row>
        <row r="1320">
          <cell r="A1320">
            <v>95010268</v>
          </cell>
          <cell r="B1320" t="str">
            <v>두카트268000_전투</v>
          </cell>
        </row>
        <row r="1321">
          <cell r="A1321">
            <v>95010269</v>
          </cell>
          <cell r="B1321" t="str">
            <v>두카트269000_전투</v>
          </cell>
        </row>
        <row r="1322">
          <cell r="A1322">
            <v>95010270</v>
          </cell>
          <cell r="B1322" t="str">
            <v>두카트270000_전투</v>
          </cell>
        </row>
        <row r="1323">
          <cell r="A1323">
            <v>95010271</v>
          </cell>
          <cell r="B1323" t="str">
            <v>두카트271000_전투</v>
          </cell>
        </row>
        <row r="1324">
          <cell r="A1324">
            <v>95010272</v>
          </cell>
          <cell r="B1324" t="str">
            <v>두카트272000_전투</v>
          </cell>
        </row>
        <row r="1325">
          <cell r="A1325">
            <v>95010273</v>
          </cell>
          <cell r="B1325" t="str">
            <v>두카트273000_전투</v>
          </cell>
        </row>
        <row r="1326">
          <cell r="A1326">
            <v>95010274</v>
          </cell>
          <cell r="B1326" t="str">
            <v>두카트274000_전투</v>
          </cell>
        </row>
        <row r="1327">
          <cell r="A1327">
            <v>95010275</v>
          </cell>
          <cell r="B1327" t="str">
            <v>두카트275000_전투</v>
          </cell>
        </row>
        <row r="1328">
          <cell r="A1328">
            <v>95010276</v>
          </cell>
          <cell r="B1328" t="str">
            <v>두카트276000_전투</v>
          </cell>
        </row>
        <row r="1329">
          <cell r="A1329">
            <v>95010277</v>
          </cell>
          <cell r="B1329" t="str">
            <v>두카트277000_전투</v>
          </cell>
        </row>
        <row r="1330">
          <cell r="A1330">
            <v>95010278</v>
          </cell>
          <cell r="B1330" t="str">
            <v>두카트278000_전투</v>
          </cell>
        </row>
        <row r="1331">
          <cell r="A1331">
            <v>95010279</v>
          </cell>
          <cell r="B1331" t="str">
            <v>두카트279000_전투</v>
          </cell>
        </row>
        <row r="1332">
          <cell r="A1332">
            <v>95010280</v>
          </cell>
          <cell r="B1332" t="str">
            <v>두카트280000_전투</v>
          </cell>
        </row>
        <row r="1333">
          <cell r="A1333">
            <v>95010281</v>
          </cell>
          <cell r="B1333" t="str">
            <v>두카트281000_전투</v>
          </cell>
        </row>
        <row r="1334">
          <cell r="A1334">
            <v>95010282</v>
          </cell>
          <cell r="B1334" t="str">
            <v>두카트282000_전투</v>
          </cell>
        </row>
        <row r="1335">
          <cell r="A1335">
            <v>95010283</v>
          </cell>
          <cell r="B1335" t="str">
            <v>두카트283000_전투</v>
          </cell>
        </row>
        <row r="1336">
          <cell r="A1336">
            <v>95010284</v>
          </cell>
          <cell r="B1336" t="str">
            <v>두카트284000_전투</v>
          </cell>
        </row>
        <row r="1337">
          <cell r="A1337">
            <v>95010285</v>
          </cell>
          <cell r="B1337" t="str">
            <v>두카트285000_전투</v>
          </cell>
        </row>
        <row r="1338">
          <cell r="A1338">
            <v>95010286</v>
          </cell>
          <cell r="B1338" t="str">
            <v>두카트286000_전투</v>
          </cell>
        </row>
        <row r="1339">
          <cell r="A1339">
            <v>95010287</v>
          </cell>
          <cell r="B1339" t="str">
            <v>두카트287000_전투</v>
          </cell>
        </row>
        <row r="1340">
          <cell r="A1340">
            <v>95010288</v>
          </cell>
          <cell r="B1340" t="str">
            <v>두카트288000_전투</v>
          </cell>
        </row>
        <row r="1341">
          <cell r="A1341">
            <v>95010289</v>
          </cell>
          <cell r="B1341" t="str">
            <v>두카트289000_전투</v>
          </cell>
        </row>
        <row r="1342">
          <cell r="A1342">
            <v>95010290</v>
          </cell>
          <cell r="B1342" t="str">
            <v>두카트290000_전투</v>
          </cell>
        </row>
        <row r="1343">
          <cell r="A1343">
            <v>95010291</v>
          </cell>
          <cell r="B1343" t="str">
            <v>두카트291000_전투</v>
          </cell>
        </row>
        <row r="1344">
          <cell r="A1344">
            <v>95010292</v>
          </cell>
          <cell r="B1344" t="str">
            <v>두카트292000_전투</v>
          </cell>
        </row>
        <row r="1345">
          <cell r="A1345">
            <v>95010293</v>
          </cell>
          <cell r="B1345" t="str">
            <v>두카트293000_전투</v>
          </cell>
        </row>
        <row r="1346">
          <cell r="A1346">
            <v>95010294</v>
          </cell>
          <cell r="B1346" t="str">
            <v>두카트294000_전투</v>
          </cell>
        </row>
        <row r="1347">
          <cell r="A1347">
            <v>95010295</v>
          </cell>
          <cell r="B1347" t="str">
            <v>두카트295000_전투</v>
          </cell>
        </row>
        <row r="1348">
          <cell r="A1348">
            <v>95010296</v>
          </cell>
          <cell r="B1348" t="str">
            <v>두카트296000_전투</v>
          </cell>
        </row>
        <row r="1349">
          <cell r="A1349">
            <v>95010297</v>
          </cell>
          <cell r="B1349" t="str">
            <v>두카트297000_전투</v>
          </cell>
        </row>
        <row r="1350">
          <cell r="A1350">
            <v>95010298</v>
          </cell>
          <cell r="B1350" t="str">
            <v>두카트298000_전투</v>
          </cell>
        </row>
        <row r="1351">
          <cell r="A1351">
            <v>95010299</v>
          </cell>
          <cell r="B1351" t="str">
            <v>두카트299000_전투</v>
          </cell>
        </row>
        <row r="1352">
          <cell r="A1352">
            <v>95010300</v>
          </cell>
          <cell r="B1352" t="str">
            <v>두카트300000_전투</v>
          </cell>
        </row>
        <row r="1353">
          <cell r="A1353">
            <v>95010301</v>
          </cell>
          <cell r="B1353" t="str">
            <v>두카트301000_전투</v>
          </cell>
        </row>
        <row r="1354">
          <cell r="A1354">
            <v>95010302</v>
          </cell>
          <cell r="B1354" t="str">
            <v>두카트302000_전투</v>
          </cell>
        </row>
        <row r="1355">
          <cell r="A1355">
            <v>95010303</v>
          </cell>
          <cell r="B1355" t="str">
            <v>두카트303000_전투</v>
          </cell>
        </row>
        <row r="1356">
          <cell r="A1356">
            <v>95010304</v>
          </cell>
          <cell r="B1356" t="str">
            <v>두카트304000_전투</v>
          </cell>
        </row>
        <row r="1357">
          <cell r="A1357">
            <v>95010305</v>
          </cell>
          <cell r="B1357" t="str">
            <v>두카트305000_전투</v>
          </cell>
        </row>
        <row r="1358">
          <cell r="A1358">
            <v>95010306</v>
          </cell>
          <cell r="B1358" t="str">
            <v>두카트306000_전투</v>
          </cell>
        </row>
        <row r="1359">
          <cell r="A1359">
            <v>95010307</v>
          </cell>
          <cell r="B1359" t="str">
            <v>두카트307000_전투</v>
          </cell>
        </row>
        <row r="1360">
          <cell r="A1360">
            <v>95010308</v>
          </cell>
          <cell r="B1360" t="str">
            <v>두카트308000_전투</v>
          </cell>
        </row>
        <row r="1361">
          <cell r="A1361">
            <v>95010309</v>
          </cell>
          <cell r="B1361" t="str">
            <v>두카트309000_전투</v>
          </cell>
        </row>
        <row r="1362">
          <cell r="A1362">
            <v>95010310</v>
          </cell>
          <cell r="B1362" t="str">
            <v>두카트310000_전투</v>
          </cell>
        </row>
        <row r="1363">
          <cell r="A1363">
            <v>95010311</v>
          </cell>
          <cell r="B1363" t="str">
            <v>두카트311000_전투</v>
          </cell>
        </row>
        <row r="1364">
          <cell r="A1364">
            <v>95010312</v>
          </cell>
          <cell r="B1364" t="str">
            <v>두카트312000_전투</v>
          </cell>
        </row>
        <row r="1365">
          <cell r="A1365">
            <v>95010313</v>
          </cell>
          <cell r="B1365" t="str">
            <v>두카트313000_전투</v>
          </cell>
        </row>
        <row r="1366">
          <cell r="A1366">
            <v>95010314</v>
          </cell>
          <cell r="B1366" t="str">
            <v>두카트314000_전투</v>
          </cell>
        </row>
        <row r="1367">
          <cell r="A1367">
            <v>95010315</v>
          </cell>
          <cell r="B1367" t="str">
            <v>두카트315000_전투</v>
          </cell>
        </row>
        <row r="1368">
          <cell r="A1368">
            <v>95010316</v>
          </cell>
          <cell r="B1368" t="str">
            <v>두카트316000_전투</v>
          </cell>
        </row>
        <row r="1369">
          <cell r="A1369">
            <v>95010317</v>
          </cell>
          <cell r="B1369" t="str">
            <v>두카트317000_전투</v>
          </cell>
        </row>
        <row r="1370">
          <cell r="A1370">
            <v>95010318</v>
          </cell>
          <cell r="B1370" t="str">
            <v>두카트318000_전투</v>
          </cell>
        </row>
        <row r="1371">
          <cell r="A1371">
            <v>95010319</v>
          </cell>
          <cell r="B1371" t="str">
            <v>두카트319000_전투</v>
          </cell>
        </row>
        <row r="1372">
          <cell r="A1372">
            <v>95010320</v>
          </cell>
          <cell r="B1372" t="str">
            <v>두카트320000_전투</v>
          </cell>
        </row>
        <row r="1373">
          <cell r="A1373">
            <v>95010321</v>
          </cell>
          <cell r="B1373" t="str">
            <v>두카트321000_전투</v>
          </cell>
        </row>
        <row r="1374">
          <cell r="A1374">
            <v>95010322</v>
          </cell>
          <cell r="B1374" t="str">
            <v>두카트322000_전투</v>
          </cell>
        </row>
        <row r="1375">
          <cell r="A1375">
            <v>95010323</v>
          </cell>
          <cell r="B1375" t="str">
            <v>두카트323000_전투</v>
          </cell>
        </row>
        <row r="1376">
          <cell r="A1376">
            <v>95010324</v>
          </cell>
          <cell r="B1376" t="str">
            <v>두카트324000_전투</v>
          </cell>
        </row>
        <row r="1377">
          <cell r="A1377">
            <v>95010325</v>
          </cell>
          <cell r="B1377" t="str">
            <v>두카트325000_전투</v>
          </cell>
        </row>
        <row r="1378">
          <cell r="A1378">
            <v>95010326</v>
          </cell>
          <cell r="B1378" t="str">
            <v>두카트326000_전투</v>
          </cell>
        </row>
        <row r="1379">
          <cell r="A1379">
            <v>95010327</v>
          </cell>
          <cell r="B1379" t="str">
            <v>두카트327000_전투</v>
          </cell>
        </row>
        <row r="1380">
          <cell r="A1380">
            <v>95010328</v>
          </cell>
          <cell r="B1380" t="str">
            <v>두카트328000_전투</v>
          </cell>
        </row>
        <row r="1381">
          <cell r="A1381">
            <v>95010329</v>
          </cell>
          <cell r="B1381" t="str">
            <v>두카트329000_전투</v>
          </cell>
        </row>
        <row r="1382">
          <cell r="A1382">
            <v>95010330</v>
          </cell>
          <cell r="B1382" t="str">
            <v>두카트330000_전투</v>
          </cell>
        </row>
        <row r="1383">
          <cell r="A1383">
            <v>95010331</v>
          </cell>
          <cell r="B1383" t="str">
            <v>두카트331000_전투</v>
          </cell>
        </row>
        <row r="1384">
          <cell r="A1384">
            <v>95010332</v>
          </cell>
          <cell r="B1384" t="str">
            <v>두카트332000_전투</v>
          </cell>
        </row>
        <row r="1385">
          <cell r="A1385">
            <v>95010333</v>
          </cell>
          <cell r="B1385" t="str">
            <v>두카트333000_전투</v>
          </cell>
        </row>
        <row r="1386">
          <cell r="A1386">
            <v>95010334</v>
          </cell>
          <cell r="B1386" t="str">
            <v>두카트334000_전투</v>
          </cell>
        </row>
        <row r="1387">
          <cell r="A1387">
            <v>95010335</v>
          </cell>
          <cell r="B1387" t="str">
            <v>두카트335000_전투</v>
          </cell>
        </row>
        <row r="1388">
          <cell r="A1388">
            <v>95010336</v>
          </cell>
          <cell r="B1388" t="str">
            <v>두카트336000_전투</v>
          </cell>
        </row>
        <row r="1389">
          <cell r="A1389">
            <v>95010337</v>
          </cell>
          <cell r="B1389" t="str">
            <v>두카트337000_전투</v>
          </cell>
        </row>
        <row r="1390">
          <cell r="A1390">
            <v>95010338</v>
          </cell>
          <cell r="B1390" t="str">
            <v>두카트338000_전투</v>
          </cell>
        </row>
        <row r="1391">
          <cell r="A1391">
            <v>95010339</v>
          </cell>
          <cell r="B1391" t="str">
            <v>두카트339000_전투</v>
          </cell>
        </row>
        <row r="1392">
          <cell r="A1392">
            <v>95010340</v>
          </cell>
          <cell r="B1392" t="str">
            <v>두카트340000_전투</v>
          </cell>
        </row>
        <row r="1393">
          <cell r="A1393">
            <v>95010341</v>
          </cell>
          <cell r="B1393" t="str">
            <v>두카트341000_전투</v>
          </cell>
        </row>
        <row r="1394">
          <cell r="A1394">
            <v>95010342</v>
          </cell>
          <cell r="B1394" t="str">
            <v>두카트342000_전투</v>
          </cell>
        </row>
        <row r="1395">
          <cell r="A1395">
            <v>95010343</v>
          </cell>
          <cell r="B1395" t="str">
            <v>두카트343000_전투</v>
          </cell>
        </row>
        <row r="1396">
          <cell r="A1396">
            <v>95010344</v>
          </cell>
          <cell r="B1396" t="str">
            <v>두카트344000_전투</v>
          </cell>
        </row>
        <row r="1397">
          <cell r="A1397">
            <v>95010345</v>
          </cell>
          <cell r="B1397" t="str">
            <v>두카트345000_전투</v>
          </cell>
        </row>
        <row r="1398">
          <cell r="A1398">
            <v>95010346</v>
          </cell>
          <cell r="B1398" t="str">
            <v>두카트346000_전투</v>
          </cell>
        </row>
        <row r="1399">
          <cell r="A1399">
            <v>95010347</v>
          </cell>
          <cell r="B1399" t="str">
            <v>두카트347000_전투</v>
          </cell>
        </row>
        <row r="1400">
          <cell r="A1400">
            <v>95010348</v>
          </cell>
          <cell r="B1400" t="str">
            <v>두카트348000_전투</v>
          </cell>
        </row>
        <row r="1401">
          <cell r="A1401">
            <v>95010349</v>
          </cell>
          <cell r="B1401" t="str">
            <v>두카트349000_전투</v>
          </cell>
        </row>
        <row r="1402">
          <cell r="A1402">
            <v>95010350</v>
          </cell>
          <cell r="B1402" t="str">
            <v>두카트350000_전투</v>
          </cell>
        </row>
        <row r="1403">
          <cell r="A1403">
            <v>95010351</v>
          </cell>
          <cell r="B1403" t="str">
            <v>두카트351000_전투</v>
          </cell>
        </row>
        <row r="1404">
          <cell r="A1404">
            <v>95010352</v>
          </cell>
          <cell r="B1404" t="str">
            <v>두카트352000_전투</v>
          </cell>
        </row>
        <row r="1405">
          <cell r="A1405">
            <v>95010353</v>
          </cell>
          <cell r="B1405" t="str">
            <v>두카트353000_전투</v>
          </cell>
        </row>
        <row r="1406">
          <cell r="A1406">
            <v>95010354</v>
          </cell>
          <cell r="B1406" t="str">
            <v>두카트354000_전투</v>
          </cell>
        </row>
        <row r="1407">
          <cell r="A1407">
            <v>95010355</v>
          </cell>
          <cell r="B1407" t="str">
            <v>두카트355000_전투</v>
          </cell>
        </row>
        <row r="1408">
          <cell r="A1408">
            <v>95010356</v>
          </cell>
          <cell r="B1408" t="str">
            <v>두카트356000_전투</v>
          </cell>
        </row>
        <row r="1409">
          <cell r="A1409">
            <v>95010357</v>
          </cell>
          <cell r="B1409" t="str">
            <v>두카트357000_전투</v>
          </cell>
        </row>
        <row r="1410">
          <cell r="A1410">
            <v>95010358</v>
          </cell>
          <cell r="B1410" t="str">
            <v>두카트358000_전투</v>
          </cell>
        </row>
        <row r="1411">
          <cell r="A1411">
            <v>95010359</v>
          </cell>
          <cell r="B1411" t="str">
            <v>두카트359000_전투</v>
          </cell>
        </row>
        <row r="1412">
          <cell r="A1412">
            <v>95010360</v>
          </cell>
          <cell r="B1412" t="str">
            <v>두카트360000_전투</v>
          </cell>
        </row>
        <row r="1413">
          <cell r="A1413">
            <v>95010361</v>
          </cell>
          <cell r="B1413" t="str">
            <v>두카트361000_전투</v>
          </cell>
        </row>
        <row r="1414">
          <cell r="A1414">
            <v>95010362</v>
          </cell>
          <cell r="B1414" t="str">
            <v>두카트362000_전투</v>
          </cell>
        </row>
        <row r="1415">
          <cell r="A1415">
            <v>95010363</v>
          </cell>
          <cell r="B1415" t="str">
            <v>두카트363000_전투</v>
          </cell>
        </row>
        <row r="1416">
          <cell r="A1416">
            <v>95010364</v>
          </cell>
          <cell r="B1416" t="str">
            <v>두카트364000_전투</v>
          </cell>
        </row>
        <row r="1417">
          <cell r="A1417">
            <v>95010365</v>
          </cell>
          <cell r="B1417" t="str">
            <v>두카트365000_전투</v>
          </cell>
        </row>
        <row r="1418">
          <cell r="A1418">
            <v>95010366</v>
          </cell>
          <cell r="B1418" t="str">
            <v>두카트366000_전투</v>
          </cell>
        </row>
        <row r="1419">
          <cell r="A1419">
            <v>95010367</v>
          </cell>
          <cell r="B1419" t="str">
            <v>두카트367000_전투</v>
          </cell>
        </row>
        <row r="1420">
          <cell r="A1420">
            <v>95010368</v>
          </cell>
          <cell r="B1420" t="str">
            <v>두카트368000_전투</v>
          </cell>
        </row>
        <row r="1421">
          <cell r="A1421">
            <v>95010369</v>
          </cell>
          <cell r="B1421" t="str">
            <v>두카트369000_전투</v>
          </cell>
        </row>
        <row r="1422">
          <cell r="A1422">
            <v>95010370</v>
          </cell>
          <cell r="B1422" t="str">
            <v>두카트370000_전투</v>
          </cell>
        </row>
        <row r="1423">
          <cell r="A1423">
            <v>95010371</v>
          </cell>
          <cell r="B1423" t="str">
            <v>두카트371000_전투</v>
          </cell>
        </row>
        <row r="1424">
          <cell r="A1424">
            <v>95010372</v>
          </cell>
          <cell r="B1424" t="str">
            <v>두카트372000_전투</v>
          </cell>
        </row>
        <row r="1425">
          <cell r="A1425">
            <v>95010373</v>
          </cell>
          <cell r="B1425" t="str">
            <v>두카트373000_전투</v>
          </cell>
        </row>
        <row r="1426">
          <cell r="A1426">
            <v>95010374</v>
          </cell>
          <cell r="B1426" t="str">
            <v>두카트374000_전투</v>
          </cell>
        </row>
        <row r="1427">
          <cell r="A1427">
            <v>95010375</v>
          </cell>
          <cell r="B1427" t="str">
            <v>두카트375000_전투</v>
          </cell>
        </row>
        <row r="1428">
          <cell r="A1428">
            <v>95010376</v>
          </cell>
          <cell r="B1428" t="str">
            <v>두카트376000_전투</v>
          </cell>
        </row>
        <row r="1429">
          <cell r="A1429">
            <v>95010377</v>
          </cell>
          <cell r="B1429" t="str">
            <v>두카트377000_전투</v>
          </cell>
        </row>
        <row r="1430">
          <cell r="A1430">
            <v>95010378</v>
          </cell>
          <cell r="B1430" t="str">
            <v>두카트378000_전투</v>
          </cell>
        </row>
        <row r="1431">
          <cell r="A1431">
            <v>95010379</v>
          </cell>
          <cell r="B1431" t="str">
            <v>두카트379000_전투</v>
          </cell>
        </row>
        <row r="1432">
          <cell r="A1432">
            <v>95010380</v>
          </cell>
          <cell r="B1432" t="str">
            <v>두카트380000_전투</v>
          </cell>
        </row>
        <row r="1433">
          <cell r="A1433">
            <v>95010381</v>
          </cell>
          <cell r="B1433" t="str">
            <v>두카트381000_전투</v>
          </cell>
        </row>
        <row r="1434">
          <cell r="A1434">
            <v>95010382</v>
          </cell>
          <cell r="B1434" t="str">
            <v>두카트382000_전투</v>
          </cell>
        </row>
        <row r="1435">
          <cell r="A1435">
            <v>95010383</v>
          </cell>
          <cell r="B1435" t="str">
            <v>두카트383000_전투</v>
          </cell>
        </row>
        <row r="1436">
          <cell r="A1436">
            <v>95010384</v>
          </cell>
          <cell r="B1436" t="str">
            <v>두카트384000_전투</v>
          </cell>
        </row>
        <row r="1437">
          <cell r="A1437">
            <v>95010385</v>
          </cell>
          <cell r="B1437" t="str">
            <v>두카트385000_전투</v>
          </cell>
        </row>
        <row r="1438">
          <cell r="A1438">
            <v>95010386</v>
          </cell>
          <cell r="B1438" t="str">
            <v>두카트386000_전투</v>
          </cell>
        </row>
        <row r="1439">
          <cell r="A1439">
            <v>95010387</v>
          </cell>
          <cell r="B1439" t="str">
            <v>두카트387000_전투</v>
          </cell>
        </row>
        <row r="1440">
          <cell r="A1440">
            <v>95010388</v>
          </cell>
          <cell r="B1440" t="str">
            <v>두카트388000_전투</v>
          </cell>
        </row>
        <row r="1441">
          <cell r="A1441">
            <v>95010389</v>
          </cell>
          <cell r="B1441" t="str">
            <v>두카트389000_전투</v>
          </cell>
        </row>
        <row r="1442">
          <cell r="A1442">
            <v>95010390</v>
          </cell>
          <cell r="B1442" t="str">
            <v>두카트390000_전투</v>
          </cell>
        </row>
        <row r="1443">
          <cell r="A1443">
            <v>95010391</v>
          </cell>
          <cell r="B1443" t="str">
            <v>두카트391000_전투</v>
          </cell>
        </row>
        <row r="1444">
          <cell r="A1444">
            <v>95010392</v>
          </cell>
          <cell r="B1444" t="str">
            <v>두카트392000_전투</v>
          </cell>
        </row>
        <row r="1445">
          <cell r="A1445">
            <v>95010393</v>
          </cell>
          <cell r="B1445" t="str">
            <v>두카트393000_전투</v>
          </cell>
        </row>
        <row r="1446">
          <cell r="A1446">
            <v>95010394</v>
          </cell>
          <cell r="B1446" t="str">
            <v>두카트394000_전투</v>
          </cell>
        </row>
        <row r="1447">
          <cell r="A1447">
            <v>95010395</v>
          </cell>
          <cell r="B1447" t="str">
            <v>두카트395000_전투</v>
          </cell>
        </row>
        <row r="1448">
          <cell r="A1448">
            <v>95010396</v>
          </cell>
          <cell r="B1448" t="str">
            <v>두카트396000_전투</v>
          </cell>
        </row>
        <row r="1449">
          <cell r="A1449">
            <v>95010397</v>
          </cell>
          <cell r="B1449" t="str">
            <v>두카트397000_전투</v>
          </cell>
        </row>
        <row r="1450">
          <cell r="A1450">
            <v>95010398</v>
          </cell>
          <cell r="B1450" t="str">
            <v>두카트398000_전투</v>
          </cell>
        </row>
        <row r="1451">
          <cell r="A1451">
            <v>95010399</v>
          </cell>
          <cell r="B1451" t="str">
            <v>두카트399000_전투</v>
          </cell>
        </row>
        <row r="1452">
          <cell r="A1452">
            <v>95010400</v>
          </cell>
          <cell r="B1452" t="str">
            <v>두카트400000_전투</v>
          </cell>
        </row>
        <row r="1453">
          <cell r="A1453">
            <v>95010401</v>
          </cell>
          <cell r="B1453" t="str">
            <v>두카트401000_전투</v>
          </cell>
        </row>
        <row r="1454">
          <cell r="A1454">
            <v>95010402</v>
          </cell>
          <cell r="B1454" t="str">
            <v>두카트402000_전투</v>
          </cell>
        </row>
        <row r="1455">
          <cell r="A1455">
            <v>95010403</v>
          </cell>
          <cell r="B1455" t="str">
            <v>두카트403000_전투</v>
          </cell>
        </row>
        <row r="1456">
          <cell r="A1456">
            <v>95010404</v>
          </cell>
          <cell r="B1456" t="str">
            <v>두카트404000_전투</v>
          </cell>
        </row>
        <row r="1457">
          <cell r="A1457">
            <v>95010405</v>
          </cell>
          <cell r="B1457" t="str">
            <v>두카트405000_전투</v>
          </cell>
        </row>
        <row r="1458">
          <cell r="A1458">
            <v>95010406</v>
          </cell>
          <cell r="B1458" t="str">
            <v>두카트406000_전투</v>
          </cell>
        </row>
        <row r="1459">
          <cell r="A1459">
            <v>95010407</v>
          </cell>
          <cell r="B1459" t="str">
            <v>두카트407000_전투</v>
          </cell>
        </row>
        <row r="1460">
          <cell r="A1460">
            <v>95010408</v>
          </cell>
          <cell r="B1460" t="str">
            <v>두카트408000_전투</v>
          </cell>
        </row>
        <row r="1461">
          <cell r="A1461">
            <v>95010409</v>
          </cell>
          <cell r="B1461" t="str">
            <v>두카트409000_전투</v>
          </cell>
        </row>
        <row r="1462">
          <cell r="A1462">
            <v>95010410</v>
          </cell>
          <cell r="B1462" t="str">
            <v>두카트410000_전투</v>
          </cell>
        </row>
        <row r="1463">
          <cell r="A1463">
            <v>95010411</v>
          </cell>
          <cell r="B1463" t="str">
            <v>두카트411000_전투</v>
          </cell>
        </row>
        <row r="1464">
          <cell r="A1464">
            <v>95010412</v>
          </cell>
          <cell r="B1464" t="str">
            <v>두카트412000_전투</v>
          </cell>
        </row>
        <row r="1465">
          <cell r="A1465">
            <v>95010413</v>
          </cell>
          <cell r="B1465" t="str">
            <v>두카트413000_전투</v>
          </cell>
        </row>
        <row r="1466">
          <cell r="A1466">
            <v>95010414</v>
          </cell>
          <cell r="B1466" t="str">
            <v>두카트414000_전투</v>
          </cell>
        </row>
        <row r="1467">
          <cell r="A1467">
            <v>95010415</v>
          </cell>
          <cell r="B1467" t="str">
            <v>두카트415000_전투</v>
          </cell>
        </row>
        <row r="1468">
          <cell r="A1468">
            <v>95010416</v>
          </cell>
          <cell r="B1468" t="str">
            <v>두카트416000_전투</v>
          </cell>
        </row>
        <row r="1469">
          <cell r="A1469">
            <v>95010417</v>
          </cell>
          <cell r="B1469" t="str">
            <v>두카트417000_전투</v>
          </cell>
        </row>
        <row r="1470">
          <cell r="A1470">
            <v>95010418</v>
          </cell>
          <cell r="B1470" t="str">
            <v>두카트418000_전투</v>
          </cell>
        </row>
        <row r="1471">
          <cell r="A1471">
            <v>95010419</v>
          </cell>
          <cell r="B1471" t="str">
            <v>두카트419000_전투</v>
          </cell>
        </row>
        <row r="1472">
          <cell r="A1472">
            <v>95010420</v>
          </cell>
          <cell r="B1472" t="str">
            <v>두카트420000_전투</v>
          </cell>
        </row>
        <row r="1473">
          <cell r="A1473">
            <v>95010421</v>
          </cell>
          <cell r="B1473" t="str">
            <v>두카트421000_전투</v>
          </cell>
        </row>
        <row r="1474">
          <cell r="A1474">
            <v>95010422</v>
          </cell>
          <cell r="B1474" t="str">
            <v>두카트422000_전투</v>
          </cell>
        </row>
        <row r="1475">
          <cell r="A1475">
            <v>95010423</v>
          </cell>
          <cell r="B1475" t="str">
            <v>두카트423000_전투</v>
          </cell>
        </row>
        <row r="1476">
          <cell r="A1476">
            <v>95010424</v>
          </cell>
          <cell r="B1476" t="str">
            <v>두카트424000_전투</v>
          </cell>
        </row>
        <row r="1477">
          <cell r="A1477">
            <v>95010425</v>
          </cell>
          <cell r="B1477" t="str">
            <v>두카트425000_전투</v>
          </cell>
        </row>
        <row r="1478">
          <cell r="A1478">
            <v>95010426</v>
          </cell>
          <cell r="B1478" t="str">
            <v>두카트426000_전투</v>
          </cell>
        </row>
        <row r="1479">
          <cell r="A1479">
            <v>95010427</v>
          </cell>
          <cell r="B1479" t="str">
            <v>두카트427000_전투</v>
          </cell>
        </row>
        <row r="1480">
          <cell r="A1480">
            <v>95010428</v>
          </cell>
          <cell r="B1480" t="str">
            <v>두카트428000_전투</v>
          </cell>
        </row>
        <row r="1481">
          <cell r="A1481">
            <v>95010429</v>
          </cell>
          <cell r="B1481" t="str">
            <v>두카트429000_전투</v>
          </cell>
        </row>
        <row r="1482">
          <cell r="A1482">
            <v>95010430</v>
          </cell>
          <cell r="B1482" t="str">
            <v>두카트430000_전투</v>
          </cell>
        </row>
        <row r="1483">
          <cell r="A1483">
            <v>95010431</v>
          </cell>
          <cell r="B1483" t="str">
            <v>두카트431000_전투</v>
          </cell>
        </row>
        <row r="1484">
          <cell r="A1484">
            <v>95010432</v>
          </cell>
          <cell r="B1484" t="str">
            <v>두카트432000_전투</v>
          </cell>
        </row>
        <row r="1485">
          <cell r="A1485">
            <v>95010433</v>
          </cell>
          <cell r="B1485" t="str">
            <v>두카트433000_전투</v>
          </cell>
        </row>
        <row r="1486">
          <cell r="A1486">
            <v>95010434</v>
          </cell>
          <cell r="B1486" t="str">
            <v>두카트434000_전투</v>
          </cell>
        </row>
        <row r="1487">
          <cell r="A1487">
            <v>95010435</v>
          </cell>
          <cell r="B1487" t="str">
            <v>두카트435000_전투</v>
          </cell>
        </row>
        <row r="1488">
          <cell r="A1488">
            <v>95010436</v>
          </cell>
          <cell r="B1488" t="str">
            <v>두카트436000_전투</v>
          </cell>
        </row>
        <row r="1489">
          <cell r="A1489">
            <v>95010437</v>
          </cell>
          <cell r="B1489" t="str">
            <v>두카트437000_전투</v>
          </cell>
        </row>
        <row r="1490">
          <cell r="A1490">
            <v>95010438</v>
          </cell>
          <cell r="B1490" t="str">
            <v>두카트438000_전투</v>
          </cell>
        </row>
        <row r="1491">
          <cell r="A1491">
            <v>95010439</v>
          </cell>
          <cell r="B1491" t="str">
            <v>두카트439000_전투</v>
          </cell>
        </row>
        <row r="1492">
          <cell r="A1492">
            <v>95010440</v>
          </cell>
          <cell r="B1492" t="str">
            <v>두카트440000_전투</v>
          </cell>
        </row>
        <row r="1493">
          <cell r="A1493">
            <v>95010441</v>
          </cell>
          <cell r="B1493" t="str">
            <v>두카트441000_전투</v>
          </cell>
        </row>
        <row r="1494">
          <cell r="A1494">
            <v>95010442</v>
          </cell>
          <cell r="B1494" t="str">
            <v>두카트442000_전투</v>
          </cell>
        </row>
        <row r="1495">
          <cell r="A1495">
            <v>95010443</v>
          </cell>
          <cell r="B1495" t="str">
            <v>두카트443000_전투</v>
          </cell>
        </row>
        <row r="1496">
          <cell r="A1496">
            <v>95010444</v>
          </cell>
          <cell r="B1496" t="str">
            <v>두카트444000_전투</v>
          </cell>
        </row>
        <row r="1497">
          <cell r="A1497">
            <v>95010445</v>
          </cell>
          <cell r="B1497" t="str">
            <v>두카트445000_전투</v>
          </cell>
        </row>
        <row r="1498">
          <cell r="A1498">
            <v>95010446</v>
          </cell>
          <cell r="B1498" t="str">
            <v>두카트446000_전투</v>
          </cell>
        </row>
        <row r="1499">
          <cell r="A1499">
            <v>95010447</v>
          </cell>
          <cell r="B1499" t="str">
            <v>두카트447000_전투</v>
          </cell>
        </row>
        <row r="1500">
          <cell r="A1500">
            <v>95010448</v>
          </cell>
          <cell r="B1500" t="str">
            <v>두카트448000_전투</v>
          </cell>
        </row>
        <row r="1501">
          <cell r="A1501">
            <v>95010449</v>
          </cell>
          <cell r="B1501" t="str">
            <v>두카트449000_전투</v>
          </cell>
        </row>
        <row r="1502">
          <cell r="A1502">
            <v>95010450</v>
          </cell>
          <cell r="B1502" t="str">
            <v>두카트450000_전투</v>
          </cell>
        </row>
        <row r="1503">
          <cell r="A1503">
            <v>95010451</v>
          </cell>
          <cell r="B1503" t="str">
            <v>두카트451000_전투</v>
          </cell>
        </row>
        <row r="1504">
          <cell r="A1504">
            <v>95010452</v>
          </cell>
          <cell r="B1504" t="str">
            <v>두카트452000_전투</v>
          </cell>
        </row>
        <row r="1505">
          <cell r="A1505">
            <v>95010453</v>
          </cell>
          <cell r="B1505" t="str">
            <v>두카트453000_전투</v>
          </cell>
        </row>
        <row r="1506">
          <cell r="A1506">
            <v>95010454</v>
          </cell>
          <cell r="B1506" t="str">
            <v>두카트454000_전투</v>
          </cell>
        </row>
        <row r="1507">
          <cell r="A1507">
            <v>95010455</v>
          </cell>
          <cell r="B1507" t="str">
            <v>두카트455000_전투</v>
          </cell>
        </row>
        <row r="1508">
          <cell r="A1508">
            <v>95010456</v>
          </cell>
          <cell r="B1508" t="str">
            <v>두카트456000_전투</v>
          </cell>
        </row>
        <row r="1509">
          <cell r="A1509">
            <v>95010457</v>
          </cell>
          <cell r="B1509" t="str">
            <v>두카트457000_전투</v>
          </cell>
        </row>
        <row r="1510">
          <cell r="A1510">
            <v>95010458</v>
          </cell>
          <cell r="B1510" t="str">
            <v>두카트458000_전투</v>
          </cell>
        </row>
        <row r="1511">
          <cell r="A1511">
            <v>95010459</v>
          </cell>
          <cell r="B1511" t="str">
            <v>두카트459000_전투</v>
          </cell>
        </row>
        <row r="1512">
          <cell r="A1512">
            <v>95010460</v>
          </cell>
          <cell r="B1512" t="str">
            <v>두카트460000_전투</v>
          </cell>
        </row>
        <row r="1513">
          <cell r="A1513">
            <v>95010461</v>
          </cell>
          <cell r="B1513" t="str">
            <v>두카트461000_전투</v>
          </cell>
        </row>
        <row r="1514">
          <cell r="A1514">
            <v>95010462</v>
          </cell>
          <cell r="B1514" t="str">
            <v>두카트462000_전투</v>
          </cell>
        </row>
        <row r="1515">
          <cell r="A1515">
            <v>95010463</v>
          </cell>
          <cell r="B1515" t="str">
            <v>두카트463000_전투</v>
          </cell>
        </row>
        <row r="1516">
          <cell r="A1516">
            <v>95010464</v>
          </cell>
          <cell r="B1516" t="str">
            <v>두카트464000_전투</v>
          </cell>
        </row>
        <row r="1517">
          <cell r="A1517">
            <v>95010465</v>
          </cell>
          <cell r="B1517" t="str">
            <v>두카트465000_전투</v>
          </cell>
        </row>
        <row r="1518">
          <cell r="A1518">
            <v>95010466</v>
          </cell>
          <cell r="B1518" t="str">
            <v>두카트466000_전투</v>
          </cell>
        </row>
        <row r="1519">
          <cell r="A1519">
            <v>95010467</v>
          </cell>
          <cell r="B1519" t="str">
            <v>두카트467000_전투</v>
          </cell>
        </row>
        <row r="1520">
          <cell r="A1520">
            <v>95010468</v>
          </cell>
          <cell r="B1520" t="str">
            <v>두카트468000_전투</v>
          </cell>
        </row>
        <row r="1521">
          <cell r="A1521">
            <v>95010469</v>
          </cell>
          <cell r="B1521" t="str">
            <v>두카트469000_전투</v>
          </cell>
        </row>
        <row r="1522">
          <cell r="A1522">
            <v>95010470</v>
          </cell>
          <cell r="B1522" t="str">
            <v>두카트470000_전투</v>
          </cell>
        </row>
        <row r="1523">
          <cell r="A1523">
            <v>95010471</v>
          </cell>
          <cell r="B1523" t="str">
            <v>두카트471000_전투</v>
          </cell>
        </row>
        <row r="1524">
          <cell r="A1524">
            <v>95010472</v>
          </cell>
          <cell r="B1524" t="str">
            <v>두카트472000_전투</v>
          </cell>
        </row>
        <row r="1525">
          <cell r="A1525">
            <v>95010473</v>
          </cell>
          <cell r="B1525" t="str">
            <v>두카트473000_전투</v>
          </cell>
        </row>
        <row r="1526">
          <cell r="A1526">
            <v>95010474</v>
          </cell>
          <cell r="B1526" t="str">
            <v>두카트474000_전투</v>
          </cell>
        </row>
        <row r="1527">
          <cell r="A1527">
            <v>95010475</v>
          </cell>
          <cell r="B1527" t="str">
            <v>두카트475000_전투</v>
          </cell>
        </row>
        <row r="1528">
          <cell r="A1528">
            <v>95010476</v>
          </cell>
          <cell r="B1528" t="str">
            <v>두카트476000_전투</v>
          </cell>
        </row>
        <row r="1529">
          <cell r="A1529">
            <v>95010477</v>
          </cell>
          <cell r="B1529" t="str">
            <v>두카트477000_전투</v>
          </cell>
        </row>
        <row r="1530">
          <cell r="A1530">
            <v>95010478</v>
          </cell>
          <cell r="B1530" t="str">
            <v>두카트478000_전투</v>
          </cell>
        </row>
        <row r="1531">
          <cell r="A1531">
            <v>95010479</v>
          </cell>
          <cell r="B1531" t="str">
            <v>두카트479000_전투</v>
          </cell>
        </row>
        <row r="1532">
          <cell r="A1532">
            <v>95010480</v>
          </cell>
          <cell r="B1532" t="str">
            <v>두카트480000_전투</v>
          </cell>
        </row>
        <row r="1533">
          <cell r="A1533">
            <v>95010481</v>
          </cell>
          <cell r="B1533" t="str">
            <v>두카트481000_전투</v>
          </cell>
        </row>
        <row r="1534">
          <cell r="A1534">
            <v>95010482</v>
          </cell>
          <cell r="B1534" t="str">
            <v>두카트482000_전투</v>
          </cell>
        </row>
        <row r="1535">
          <cell r="A1535">
            <v>95010483</v>
          </cell>
          <cell r="B1535" t="str">
            <v>두카트483000_전투</v>
          </cell>
        </row>
        <row r="1536">
          <cell r="A1536">
            <v>95010484</v>
          </cell>
          <cell r="B1536" t="str">
            <v>두카트484000_전투</v>
          </cell>
        </row>
        <row r="1537">
          <cell r="A1537">
            <v>95010485</v>
          </cell>
          <cell r="B1537" t="str">
            <v>두카트485000_전투</v>
          </cell>
        </row>
        <row r="1538">
          <cell r="A1538">
            <v>95010486</v>
          </cell>
          <cell r="B1538" t="str">
            <v>두카트486000_전투</v>
          </cell>
        </row>
        <row r="1539">
          <cell r="A1539">
            <v>95010487</v>
          </cell>
          <cell r="B1539" t="str">
            <v>두카트487000_전투</v>
          </cell>
        </row>
        <row r="1540">
          <cell r="A1540">
            <v>95010488</v>
          </cell>
          <cell r="B1540" t="str">
            <v>두카트488000_전투</v>
          </cell>
        </row>
        <row r="1541">
          <cell r="A1541">
            <v>95010489</v>
          </cell>
          <cell r="B1541" t="str">
            <v>두카트489000_전투</v>
          </cell>
        </row>
        <row r="1542">
          <cell r="A1542">
            <v>95010490</v>
          </cell>
          <cell r="B1542" t="str">
            <v>두카트490000_전투</v>
          </cell>
        </row>
        <row r="1543">
          <cell r="A1543">
            <v>95010491</v>
          </cell>
          <cell r="B1543" t="str">
            <v>두카트491000_전투</v>
          </cell>
        </row>
        <row r="1544">
          <cell r="A1544">
            <v>95010492</v>
          </cell>
          <cell r="B1544" t="str">
            <v>두카트492000_전투</v>
          </cell>
        </row>
        <row r="1545">
          <cell r="A1545">
            <v>95010493</v>
          </cell>
          <cell r="B1545" t="str">
            <v>두카트493000_전투</v>
          </cell>
        </row>
        <row r="1546">
          <cell r="A1546">
            <v>95010494</v>
          </cell>
          <cell r="B1546" t="str">
            <v>두카트494000_전투</v>
          </cell>
        </row>
        <row r="1547">
          <cell r="A1547">
            <v>95010495</v>
          </cell>
          <cell r="B1547" t="str">
            <v>두카트495000_전투</v>
          </cell>
        </row>
        <row r="1548">
          <cell r="A1548">
            <v>95010496</v>
          </cell>
          <cell r="B1548" t="str">
            <v>두카트496000_전투</v>
          </cell>
        </row>
        <row r="1549">
          <cell r="A1549">
            <v>95010497</v>
          </cell>
          <cell r="B1549" t="str">
            <v>두카트497000_전투</v>
          </cell>
        </row>
        <row r="1550">
          <cell r="A1550">
            <v>95010498</v>
          </cell>
          <cell r="B1550" t="str">
            <v>두카트498000_전투</v>
          </cell>
        </row>
        <row r="1551">
          <cell r="A1551">
            <v>95010499</v>
          </cell>
          <cell r="B1551" t="str">
            <v>두카트499000_전투</v>
          </cell>
        </row>
        <row r="1552">
          <cell r="A1552">
            <v>95010500</v>
          </cell>
          <cell r="B1552" t="str">
            <v>두카트500000_전투</v>
          </cell>
        </row>
        <row r="1553">
          <cell r="A1553">
            <v>95010501</v>
          </cell>
          <cell r="B1553" t="str">
            <v>두카트501000_전투</v>
          </cell>
        </row>
        <row r="1554">
          <cell r="A1554">
            <v>95010502</v>
          </cell>
          <cell r="B1554" t="str">
            <v>두카트502000_전투</v>
          </cell>
        </row>
        <row r="1555">
          <cell r="A1555">
            <v>95010503</v>
          </cell>
          <cell r="B1555" t="str">
            <v>두카트503000_전투</v>
          </cell>
        </row>
        <row r="1556">
          <cell r="A1556">
            <v>95010504</v>
          </cell>
          <cell r="B1556" t="str">
            <v>두카트504000_전투</v>
          </cell>
        </row>
        <row r="1557">
          <cell r="A1557">
            <v>95010505</v>
          </cell>
          <cell r="B1557" t="str">
            <v>두카트505000_전투</v>
          </cell>
        </row>
        <row r="1558">
          <cell r="A1558">
            <v>95010506</v>
          </cell>
          <cell r="B1558" t="str">
            <v>두카트506000_전투</v>
          </cell>
        </row>
        <row r="1559">
          <cell r="A1559">
            <v>95010507</v>
          </cell>
          <cell r="B1559" t="str">
            <v>두카트507000_전투</v>
          </cell>
        </row>
        <row r="1560">
          <cell r="A1560">
            <v>95010508</v>
          </cell>
          <cell r="B1560" t="str">
            <v>두카트508000_전투</v>
          </cell>
        </row>
        <row r="1561">
          <cell r="A1561">
            <v>95010509</v>
          </cell>
          <cell r="B1561" t="str">
            <v>두카트509000_전투</v>
          </cell>
        </row>
        <row r="1562">
          <cell r="A1562">
            <v>95010510</v>
          </cell>
          <cell r="B1562" t="str">
            <v>두카트510000_전투</v>
          </cell>
        </row>
        <row r="1563">
          <cell r="A1563">
            <v>95010511</v>
          </cell>
          <cell r="B1563" t="str">
            <v>두카트511000_전투</v>
          </cell>
        </row>
        <row r="1564">
          <cell r="A1564">
            <v>95010512</v>
          </cell>
          <cell r="B1564" t="str">
            <v>두카트512000_전투</v>
          </cell>
        </row>
        <row r="1565">
          <cell r="A1565">
            <v>95010513</v>
          </cell>
          <cell r="B1565" t="str">
            <v>두카트513000_전투</v>
          </cell>
        </row>
        <row r="1566">
          <cell r="A1566">
            <v>95010514</v>
          </cell>
          <cell r="B1566" t="str">
            <v>두카트514000_전투</v>
          </cell>
        </row>
        <row r="1567">
          <cell r="A1567">
            <v>95010515</v>
          </cell>
          <cell r="B1567" t="str">
            <v>두카트515000_전투</v>
          </cell>
        </row>
        <row r="1568">
          <cell r="A1568">
            <v>95010516</v>
          </cell>
          <cell r="B1568" t="str">
            <v>두카트516000_전투</v>
          </cell>
        </row>
        <row r="1569">
          <cell r="A1569">
            <v>95010517</v>
          </cell>
          <cell r="B1569" t="str">
            <v>두카트517000_전투</v>
          </cell>
        </row>
        <row r="1570">
          <cell r="A1570">
            <v>95010518</v>
          </cell>
          <cell r="B1570" t="str">
            <v>두카트518000_전투</v>
          </cell>
        </row>
        <row r="1571">
          <cell r="A1571">
            <v>95010519</v>
          </cell>
          <cell r="B1571" t="str">
            <v>두카트519000_전투</v>
          </cell>
        </row>
        <row r="1572">
          <cell r="A1572">
            <v>95010520</v>
          </cell>
          <cell r="B1572" t="str">
            <v>두카트520000_전투</v>
          </cell>
        </row>
        <row r="1573">
          <cell r="A1573">
            <v>95010521</v>
          </cell>
          <cell r="B1573" t="str">
            <v>두카트521000_전투</v>
          </cell>
        </row>
        <row r="1574">
          <cell r="A1574">
            <v>95010522</v>
          </cell>
          <cell r="B1574" t="str">
            <v>두카트522000_전투</v>
          </cell>
        </row>
        <row r="1575">
          <cell r="A1575">
            <v>95010523</v>
          </cell>
          <cell r="B1575" t="str">
            <v>두카트523000_전투</v>
          </cell>
        </row>
        <row r="1576">
          <cell r="A1576">
            <v>95010524</v>
          </cell>
          <cell r="B1576" t="str">
            <v>두카트524000_전투</v>
          </cell>
        </row>
        <row r="1577">
          <cell r="A1577">
            <v>95010525</v>
          </cell>
          <cell r="B1577" t="str">
            <v>두카트525000_전투</v>
          </cell>
        </row>
        <row r="1578">
          <cell r="A1578">
            <v>95010526</v>
          </cell>
          <cell r="B1578" t="str">
            <v>두카트526000_전투</v>
          </cell>
        </row>
        <row r="1579">
          <cell r="A1579">
            <v>95010527</v>
          </cell>
          <cell r="B1579" t="str">
            <v>두카트527000_전투</v>
          </cell>
        </row>
        <row r="1580">
          <cell r="A1580">
            <v>95010528</v>
          </cell>
          <cell r="B1580" t="str">
            <v>두카트528000_전투</v>
          </cell>
        </row>
        <row r="1581">
          <cell r="A1581">
            <v>95010529</v>
          </cell>
          <cell r="B1581" t="str">
            <v>두카트529000_전투</v>
          </cell>
        </row>
        <row r="1582">
          <cell r="A1582">
            <v>95010530</v>
          </cell>
          <cell r="B1582" t="str">
            <v>두카트530000_전투</v>
          </cell>
        </row>
        <row r="1583">
          <cell r="A1583">
            <v>95010531</v>
          </cell>
          <cell r="B1583" t="str">
            <v>두카트531000_전투</v>
          </cell>
        </row>
        <row r="1584">
          <cell r="A1584">
            <v>95010532</v>
          </cell>
          <cell r="B1584" t="str">
            <v>두카트532000_전투</v>
          </cell>
        </row>
        <row r="1585">
          <cell r="A1585">
            <v>95010533</v>
          </cell>
          <cell r="B1585" t="str">
            <v>두카트533000_전투</v>
          </cell>
        </row>
        <row r="1586">
          <cell r="A1586">
            <v>95010534</v>
          </cell>
          <cell r="B1586" t="str">
            <v>두카트534000_전투</v>
          </cell>
        </row>
        <row r="1587">
          <cell r="A1587">
            <v>95010535</v>
          </cell>
          <cell r="B1587" t="str">
            <v>두카트535000_전투</v>
          </cell>
        </row>
        <row r="1588">
          <cell r="A1588">
            <v>95010536</v>
          </cell>
          <cell r="B1588" t="str">
            <v>두카트536000_전투</v>
          </cell>
        </row>
        <row r="1589">
          <cell r="A1589">
            <v>95010537</v>
          </cell>
          <cell r="B1589" t="str">
            <v>두카트537000_전투</v>
          </cell>
        </row>
        <row r="1590">
          <cell r="A1590">
            <v>95010538</v>
          </cell>
          <cell r="B1590" t="str">
            <v>두카트538000_전투</v>
          </cell>
        </row>
        <row r="1591">
          <cell r="A1591">
            <v>95010539</v>
          </cell>
          <cell r="B1591" t="str">
            <v>두카트539000_전투</v>
          </cell>
        </row>
        <row r="1592">
          <cell r="A1592">
            <v>95010540</v>
          </cell>
          <cell r="B1592" t="str">
            <v>두카트540000_전투</v>
          </cell>
        </row>
        <row r="1593">
          <cell r="A1593">
            <v>95010541</v>
          </cell>
          <cell r="B1593" t="str">
            <v>두카트541000_전투</v>
          </cell>
        </row>
        <row r="1594">
          <cell r="A1594">
            <v>95010542</v>
          </cell>
          <cell r="B1594" t="str">
            <v>두카트542000_전투</v>
          </cell>
        </row>
        <row r="1595">
          <cell r="A1595">
            <v>95010543</v>
          </cell>
          <cell r="B1595" t="str">
            <v>두카트543000_전투</v>
          </cell>
        </row>
        <row r="1596">
          <cell r="A1596">
            <v>95010544</v>
          </cell>
          <cell r="B1596" t="str">
            <v>두카트544000_전투</v>
          </cell>
        </row>
        <row r="1597">
          <cell r="A1597">
            <v>95010545</v>
          </cell>
          <cell r="B1597" t="str">
            <v>두카트545000_전투</v>
          </cell>
        </row>
        <row r="1598">
          <cell r="A1598">
            <v>95010546</v>
          </cell>
          <cell r="B1598" t="str">
            <v>두카트546000_전투</v>
          </cell>
        </row>
        <row r="1599">
          <cell r="A1599">
            <v>95010547</v>
          </cell>
          <cell r="B1599" t="str">
            <v>두카트547000_전투</v>
          </cell>
        </row>
        <row r="1600">
          <cell r="A1600">
            <v>95010548</v>
          </cell>
          <cell r="B1600" t="str">
            <v>두카트548000_전투</v>
          </cell>
        </row>
        <row r="1601">
          <cell r="A1601">
            <v>95010549</v>
          </cell>
          <cell r="B1601" t="str">
            <v>두카트549000_전투</v>
          </cell>
        </row>
        <row r="1602">
          <cell r="A1602">
            <v>95010550</v>
          </cell>
          <cell r="B1602" t="str">
            <v>두카트550000_전투</v>
          </cell>
        </row>
        <row r="1603">
          <cell r="A1603">
            <v>95010551</v>
          </cell>
          <cell r="B1603" t="str">
            <v>두카트551000_전투</v>
          </cell>
        </row>
        <row r="1604">
          <cell r="A1604">
            <v>95010552</v>
          </cell>
          <cell r="B1604" t="str">
            <v>두카트552000_전투</v>
          </cell>
        </row>
        <row r="1605">
          <cell r="A1605">
            <v>95010553</v>
          </cell>
          <cell r="B1605" t="str">
            <v>두카트553000_전투</v>
          </cell>
        </row>
        <row r="1606">
          <cell r="A1606">
            <v>95010554</v>
          </cell>
          <cell r="B1606" t="str">
            <v>두카트554000_전투</v>
          </cell>
        </row>
        <row r="1607">
          <cell r="A1607">
            <v>95010555</v>
          </cell>
          <cell r="B1607" t="str">
            <v>두카트555000_전투</v>
          </cell>
        </row>
        <row r="1608">
          <cell r="A1608">
            <v>95010556</v>
          </cell>
          <cell r="B1608" t="str">
            <v>두카트556000_전투</v>
          </cell>
        </row>
        <row r="1609">
          <cell r="A1609">
            <v>95010557</v>
          </cell>
          <cell r="B1609" t="str">
            <v>두카트557000_전투</v>
          </cell>
        </row>
        <row r="1610">
          <cell r="A1610">
            <v>95010558</v>
          </cell>
          <cell r="B1610" t="str">
            <v>두카트558000_전투</v>
          </cell>
        </row>
        <row r="1611">
          <cell r="A1611">
            <v>95010559</v>
          </cell>
          <cell r="B1611" t="str">
            <v>두카트559000_전투</v>
          </cell>
        </row>
        <row r="1612">
          <cell r="A1612">
            <v>95010560</v>
          </cell>
          <cell r="B1612" t="str">
            <v>두카트560000_전투</v>
          </cell>
        </row>
        <row r="1613">
          <cell r="A1613">
            <v>95010561</v>
          </cell>
          <cell r="B1613" t="str">
            <v>두카트561000_전투</v>
          </cell>
        </row>
        <row r="1614">
          <cell r="A1614">
            <v>95010562</v>
          </cell>
          <cell r="B1614" t="str">
            <v>두카트562000_전투</v>
          </cell>
        </row>
        <row r="1615">
          <cell r="A1615">
            <v>95010563</v>
          </cell>
          <cell r="B1615" t="str">
            <v>두카트563000_전투</v>
          </cell>
        </row>
        <row r="1616">
          <cell r="A1616">
            <v>95010564</v>
          </cell>
          <cell r="B1616" t="str">
            <v>두카트564000_전투</v>
          </cell>
        </row>
        <row r="1617">
          <cell r="A1617">
            <v>95010565</v>
          </cell>
          <cell r="B1617" t="str">
            <v>두카트565000_전투</v>
          </cell>
        </row>
        <row r="1618">
          <cell r="A1618">
            <v>95010566</v>
          </cell>
          <cell r="B1618" t="str">
            <v>두카트566000_전투</v>
          </cell>
        </row>
        <row r="1619">
          <cell r="A1619">
            <v>95010567</v>
          </cell>
          <cell r="B1619" t="str">
            <v>두카트567000_전투</v>
          </cell>
        </row>
        <row r="1620">
          <cell r="A1620">
            <v>95010568</v>
          </cell>
          <cell r="B1620" t="str">
            <v>두카트568000_전투</v>
          </cell>
        </row>
        <row r="1621">
          <cell r="A1621">
            <v>95010569</v>
          </cell>
          <cell r="B1621" t="str">
            <v>두카트569000_전투</v>
          </cell>
        </row>
        <row r="1622">
          <cell r="A1622">
            <v>95010570</v>
          </cell>
          <cell r="B1622" t="str">
            <v>두카트570000_전투</v>
          </cell>
        </row>
        <row r="1623">
          <cell r="A1623">
            <v>95010571</v>
          </cell>
          <cell r="B1623" t="str">
            <v>두카트571000_전투</v>
          </cell>
        </row>
        <row r="1624">
          <cell r="A1624">
            <v>95010572</v>
          </cell>
          <cell r="B1624" t="str">
            <v>두카트572000_전투</v>
          </cell>
        </row>
        <row r="1625">
          <cell r="A1625">
            <v>95010573</v>
          </cell>
          <cell r="B1625" t="str">
            <v>두카트573000_전투</v>
          </cell>
        </row>
        <row r="1626">
          <cell r="A1626">
            <v>95010574</v>
          </cell>
          <cell r="B1626" t="str">
            <v>두카트574000_전투</v>
          </cell>
        </row>
        <row r="1627">
          <cell r="A1627">
            <v>95010575</v>
          </cell>
          <cell r="B1627" t="str">
            <v>두카트575000_전투</v>
          </cell>
        </row>
        <row r="1628">
          <cell r="A1628">
            <v>95010576</v>
          </cell>
          <cell r="B1628" t="str">
            <v>두카트576000_전투</v>
          </cell>
        </row>
        <row r="1629">
          <cell r="A1629">
            <v>95010577</v>
          </cell>
          <cell r="B1629" t="str">
            <v>두카트577000_전투</v>
          </cell>
        </row>
        <row r="1630">
          <cell r="A1630">
            <v>95010578</v>
          </cell>
          <cell r="B1630" t="str">
            <v>두카트578000_전투</v>
          </cell>
        </row>
        <row r="1631">
          <cell r="A1631">
            <v>95010579</v>
          </cell>
          <cell r="B1631" t="str">
            <v>두카트579000_전투</v>
          </cell>
        </row>
        <row r="1632">
          <cell r="A1632">
            <v>95010580</v>
          </cell>
          <cell r="B1632" t="str">
            <v>두카트580000_전투</v>
          </cell>
        </row>
        <row r="1633">
          <cell r="A1633">
            <v>95010581</v>
          </cell>
          <cell r="B1633" t="str">
            <v>두카트581000_전투</v>
          </cell>
        </row>
        <row r="1634">
          <cell r="A1634">
            <v>95010582</v>
          </cell>
          <cell r="B1634" t="str">
            <v>두카트582000_전투</v>
          </cell>
        </row>
        <row r="1635">
          <cell r="A1635">
            <v>95010583</v>
          </cell>
          <cell r="B1635" t="str">
            <v>두카트583000_전투</v>
          </cell>
        </row>
        <row r="1636">
          <cell r="A1636">
            <v>95010584</v>
          </cell>
          <cell r="B1636" t="str">
            <v>두카트584000_전투</v>
          </cell>
        </row>
        <row r="1637">
          <cell r="A1637">
            <v>95010585</v>
          </cell>
          <cell r="B1637" t="str">
            <v>두카트585000_전투</v>
          </cell>
        </row>
        <row r="1638">
          <cell r="A1638">
            <v>95010586</v>
          </cell>
          <cell r="B1638" t="str">
            <v>두카트586000_전투</v>
          </cell>
        </row>
        <row r="1639">
          <cell r="A1639">
            <v>95010587</v>
          </cell>
          <cell r="B1639" t="str">
            <v>두카트587000_전투</v>
          </cell>
        </row>
        <row r="1640">
          <cell r="A1640">
            <v>95010588</v>
          </cell>
          <cell r="B1640" t="str">
            <v>두카트588000_전투</v>
          </cell>
        </row>
        <row r="1641">
          <cell r="A1641">
            <v>95010589</v>
          </cell>
          <cell r="B1641" t="str">
            <v>두카트589000_전투</v>
          </cell>
        </row>
        <row r="1642">
          <cell r="A1642">
            <v>95010590</v>
          </cell>
          <cell r="B1642" t="str">
            <v>두카트590000_전투</v>
          </cell>
        </row>
        <row r="1643">
          <cell r="A1643">
            <v>95010591</v>
          </cell>
          <cell r="B1643" t="str">
            <v>두카트591000_전투</v>
          </cell>
        </row>
        <row r="1644">
          <cell r="A1644">
            <v>95010592</v>
          </cell>
          <cell r="B1644" t="str">
            <v>두카트592000_전투</v>
          </cell>
        </row>
        <row r="1645">
          <cell r="A1645">
            <v>95010593</v>
          </cell>
          <cell r="B1645" t="str">
            <v>두카트593000_전투</v>
          </cell>
        </row>
        <row r="1646">
          <cell r="A1646">
            <v>95010594</v>
          </cell>
          <cell r="B1646" t="str">
            <v>두카트594000_전투</v>
          </cell>
        </row>
        <row r="1647">
          <cell r="A1647">
            <v>95010595</v>
          </cell>
          <cell r="B1647" t="str">
            <v>두카트595000_전투</v>
          </cell>
        </row>
        <row r="1648">
          <cell r="A1648">
            <v>95010596</v>
          </cell>
          <cell r="B1648" t="str">
            <v>두카트596000_전투</v>
          </cell>
        </row>
        <row r="1649">
          <cell r="A1649">
            <v>95010597</v>
          </cell>
          <cell r="B1649" t="str">
            <v>두카트597000_전투</v>
          </cell>
        </row>
        <row r="1650">
          <cell r="A1650">
            <v>95010598</v>
          </cell>
          <cell r="B1650" t="str">
            <v>두카트598000_전투</v>
          </cell>
        </row>
        <row r="1651">
          <cell r="A1651">
            <v>95010599</v>
          </cell>
          <cell r="B1651" t="str">
            <v>두카트599000_전투</v>
          </cell>
        </row>
        <row r="1652">
          <cell r="A1652">
            <v>95010600</v>
          </cell>
          <cell r="B1652" t="str">
            <v>두카트600000_전투</v>
          </cell>
        </row>
        <row r="1653">
          <cell r="A1653">
            <v>95010601</v>
          </cell>
          <cell r="B1653" t="str">
            <v>두카트601000_전투</v>
          </cell>
        </row>
        <row r="1654">
          <cell r="A1654">
            <v>95010602</v>
          </cell>
          <cell r="B1654" t="str">
            <v>두카트602000_전투</v>
          </cell>
        </row>
        <row r="1655">
          <cell r="A1655">
            <v>95010603</v>
          </cell>
          <cell r="B1655" t="str">
            <v>두카트603000_전투</v>
          </cell>
        </row>
        <row r="1656">
          <cell r="A1656">
            <v>95010604</v>
          </cell>
          <cell r="B1656" t="str">
            <v>두카트604000_전투</v>
          </cell>
        </row>
        <row r="1657">
          <cell r="A1657">
            <v>95010605</v>
          </cell>
          <cell r="B1657" t="str">
            <v>두카트605000_전투</v>
          </cell>
        </row>
        <row r="1658">
          <cell r="A1658">
            <v>95010606</v>
          </cell>
          <cell r="B1658" t="str">
            <v>두카트606000_전투</v>
          </cell>
        </row>
        <row r="1659">
          <cell r="A1659">
            <v>95010607</v>
          </cell>
          <cell r="B1659" t="str">
            <v>두카트607000_전투</v>
          </cell>
        </row>
        <row r="1660">
          <cell r="A1660">
            <v>95010608</v>
          </cell>
          <cell r="B1660" t="str">
            <v>두카트608000_전투</v>
          </cell>
        </row>
        <row r="1661">
          <cell r="A1661">
            <v>95010609</v>
          </cell>
          <cell r="B1661" t="str">
            <v>두카트609000_전투</v>
          </cell>
        </row>
        <row r="1662">
          <cell r="A1662">
            <v>95010610</v>
          </cell>
          <cell r="B1662" t="str">
            <v>두카트610000_전투</v>
          </cell>
        </row>
        <row r="1663">
          <cell r="A1663">
            <v>95010611</v>
          </cell>
          <cell r="B1663" t="str">
            <v>두카트611000_전투</v>
          </cell>
        </row>
        <row r="1664">
          <cell r="A1664">
            <v>95010612</v>
          </cell>
          <cell r="B1664" t="str">
            <v>두카트612000_전투</v>
          </cell>
        </row>
        <row r="1665">
          <cell r="A1665">
            <v>95010613</v>
          </cell>
          <cell r="B1665" t="str">
            <v>두카트613000_전투</v>
          </cell>
        </row>
        <row r="1666">
          <cell r="A1666">
            <v>95010614</v>
          </cell>
          <cell r="B1666" t="str">
            <v>두카트614000_전투</v>
          </cell>
        </row>
        <row r="1667">
          <cell r="A1667">
            <v>95010615</v>
          </cell>
          <cell r="B1667" t="str">
            <v>두카트615000_전투</v>
          </cell>
        </row>
        <row r="1668">
          <cell r="A1668">
            <v>95010616</v>
          </cell>
          <cell r="B1668" t="str">
            <v>두카트616000_전투</v>
          </cell>
        </row>
        <row r="1669">
          <cell r="A1669">
            <v>95010617</v>
          </cell>
          <cell r="B1669" t="str">
            <v>두카트617000_전투</v>
          </cell>
        </row>
        <row r="1670">
          <cell r="A1670">
            <v>95010618</v>
          </cell>
          <cell r="B1670" t="str">
            <v>두카트618000_전투</v>
          </cell>
        </row>
        <row r="1671">
          <cell r="A1671">
            <v>95010619</v>
          </cell>
          <cell r="B1671" t="str">
            <v>두카트619000_전투</v>
          </cell>
        </row>
        <row r="1672">
          <cell r="A1672">
            <v>95010620</v>
          </cell>
          <cell r="B1672" t="str">
            <v>두카트620000_전투</v>
          </cell>
        </row>
        <row r="1673">
          <cell r="A1673">
            <v>95010621</v>
          </cell>
          <cell r="B1673" t="str">
            <v>두카트621000_전투</v>
          </cell>
        </row>
        <row r="1674">
          <cell r="A1674">
            <v>95010622</v>
          </cell>
          <cell r="B1674" t="str">
            <v>두카트622000_전투</v>
          </cell>
        </row>
        <row r="1675">
          <cell r="A1675">
            <v>95010623</v>
          </cell>
          <cell r="B1675" t="str">
            <v>두카트623000_전투</v>
          </cell>
        </row>
        <row r="1676">
          <cell r="A1676">
            <v>95010624</v>
          </cell>
          <cell r="B1676" t="str">
            <v>두카트624000_전투</v>
          </cell>
        </row>
        <row r="1677">
          <cell r="A1677">
            <v>95010625</v>
          </cell>
          <cell r="B1677" t="str">
            <v>두카트625000_전투</v>
          </cell>
        </row>
        <row r="1678">
          <cell r="A1678">
            <v>95010626</v>
          </cell>
          <cell r="B1678" t="str">
            <v>두카트626000_전투</v>
          </cell>
        </row>
        <row r="1679">
          <cell r="A1679">
            <v>95010627</v>
          </cell>
          <cell r="B1679" t="str">
            <v>두카트627000_전투</v>
          </cell>
        </row>
        <row r="1680">
          <cell r="A1680">
            <v>95010628</v>
          </cell>
          <cell r="B1680" t="str">
            <v>두카트628000_전투</v>
          </cell>
        </row>
        <row r="1681">
          <cell r="A1681">
            <v>95010629</v>
          </cell>
          <cell r="B1681" t="str">
            <v>두카트629000_전투</v>
          </cell>
        </row>
        <row r="1682">
          <cell r="A1682">
            <v>95010630</v>
          </cell>
          <cell r="B1682" t="str">
            <v>두카트630000_전투</v>
          </cell>
        </row>
        <row r="1683">
          <cell r="A1683">
            <v>95010631</v>
          </cell>
          <cell r="B1683" t="str">
            <v>두카트631000_전투</v>
          </cell>
        </row>
        <row r="1684">
          <cell r="A1684">
            <v>95010632</v>
          </cell>
          <cell r="B1684" t="str">
            <v>두카트632000_전투</v>
          </cell>
        </row>
        <row r="1685">
          <cell r="A1685">
            <v>95010633</v>
          </cell>
          <cell r="B1685" t="str">
            <v>두카트633000_전투</v>
          </cell>
        </row>
        <row r="1686">
          <cell r="A1686">
            <v>95010634</v>
          </cell>
          <cell r="B1686" t="str">
            <v>두카트634000_전투</v>
          </cell>
        </row>
        <row r="1687">
          <cell r="A1687">
            <v>95010635</v>
          </cell>
          <cell r="B1687" t="str">
            <v>두카트635000_전투</v>
          </cell>
        </row>
        <row r="1688">
          <cell r="A1688">
            <v>95010636</v>
          </cell>
          <cell r="B1688" t="str">
            <v>두카트636000_전투</v>
          </cell>
        </row>
        <row r="1689">
          <cell r="A1689">
            <v>95010637</v>
          </cell>
          <cell r="B1689" t="str">
            <v>두카트637000_전투</v>
          </cell>
        </row>
        <row r="1690">
          <cell r="A1690">
            <v>95010638</v>
          </cell>
          <cell r="B1690" t="str">
            <v>두카트638000_전투</v>
          </cell>
        </row>
        <row r="1691">
          <cell r="A1691">
            <v>95010639</v>
          </cell>
          <cell r="B1691" t="str">
            <v>두카트639000_전투</v>
          </cell>
        </row>
        <row r="1692">
          <cell r="A1692">
            <v>95010640</v>
          </cell>
          <cell r="B1692" t="str">
            <v>두카트640000_전투</v>
          </cell>
        </row>
        <row r="1693">
          <cell r="A1693">
            <v>95010641</v>
          </cell>
          <cell r="B1693" t="str">
            <v>두카트641000_전투</v>
          </cell>
        </row>
        <row r="1694">
          <cell r="A1694">
            <v>95010642</v>
          </cell>
          <cell r="B1694" t="str">
            <v>두카트642000_전투</v>
          </cell>
        </row>
        <row r="1695">
          <cell r="A1695">
            <v>95010643</v>
          </cell>
          <cell r="B1695" t="str">
            <v>두카트643000_전투</v>
          </cell>
        </row>
        <row r="1696">
          <cell r="A1696">
            <v>95010644</v>
          </cell>
          <cell r="B1696" t="str">
            <v>두카트644000_전투</v>
          </cell>
        </row>
        <row r="1697">
          <cell r="A1697">
            <v>95010645</v>
          </cell>
          <cell r="B1697" t="str">
            <v>두카트645000_전투</v>
          </cell>
        </row>
        <row r="1698">
          <cell r="A1698">
            <v>95010646</v>
          </cell>
          <cell r="B1698" t="str">
            <v>두카트646000_전투</v>
          </cell>
        </row>
        <row r="1699">
          <cell r="A1699">
            <v>95010647</v>
          </cell>
          <cell r="B1699" t="str">
            <v>두카트647000_전투</v>
          </cell>
        </row>
        <row r="1700">
          <cell r="A1700">
            <v>95010648</v>
          </cell>
          <cell r="B1700" t="str">
            <v>두카트648000_전투</v>
          </cell>
        </row>
        <row r="1701">
          <cell r="A1701">
            <v>95010649</v>
          </cell>
          <cell r="B1701" t="str">
            <v>두카트649000_전투</v>
          </cell>
        </row>
        <row r="1702">
          <cell r="A1702">
            <v>95010650</v>
          </cell>
          <cell r="B1702" t="str">
            <v>두카트650000_전투</v>
          </cell>
        </row>
        <row r="1703">
          <cell r="A1703">
            <v>95010651</v>
          </cell>
          <cell r="B1703" t="str">
            <v>두카트651000_전투</v>
          </cell>
        </row>
        <row r="1704">
          <cell r="A1704">
            <v>95010652</v>
          </cell>
          <cell r="B1704" t="str">
            <v>두카트652000_전투</v>
          </cell>
        </row>
        <row r="1705">
          <cell r="A1705">
            <v>95010653</v>
          </cell>
          <cell r="B1705" t="str">
            <v>두카트653000_전투</v>
          </cell>
        </row>
        <row r="1706">
          <cell r="A1706">
            <v>95010654</v>
          </cell>
          <cell r="B1706" t="str">
            <v>두카트654000_전투</v>
          </cell>
        </row>
        <row r="1707">
          <cell r="A1707">
            <v>95010655</v>
          </cell>
          <cell r="B1707" t="str">
            <v>두카트655000_전투</v>
          </cell>
        </row>
        <row r="1708">
          <cell r="A1708">
            <v>95010656</v>
          </cell>
          <cell r="B1708" t="str">
            <v>두카트656000_전투</v>
          </cell>
        </row>
        <row r="1709">
          <cell r="A1709">
            <v>95010657</v>
          </cell>
          <cell r="B1709" t="str">
            <v>두카트657000_전투</v>
          </cell>
        </row>
        <row r="1710">
          <cell r="A1710">
            <v>95010658</v>
          </cell>
          <cell r="B1710" t="str">
            <v>두카트658000_전투</v>
          </cell>
        </row>
        <row r="1711">
          <cell r="A1711">
            <v>95010659</v>
          </cell>
          <cell r="B1711" t="str">
            <v>두카트659000_전투</v>
          </cell>
        </row>
        <row r="1712">
          <cell r="A1712">
            <v>95010660</v>
          </cell>
          <cell r="B1712" t="str">
            <v>두카트660000_전투</v>
          </cell>
        </row>
        <row r="1713">
          <cell r="A1713">
            <v>95010661</v>
          </cell>
          <cell r="B1713" t="str">
            <v>두카트661000_전투</v>
          </cell>
        </row>
        <row r="1714">
          <cell r="A1714">
            <v>95010662</v>
          </cell>
          <cell r="B1714" t="str">
            <v>두카트662000_전투</v>
          </cell>
        </row>
        <row r="1715">
          <cell r="A1715">
            <v>95010663</v>
          </cell>
          <cell r="B1715" t="str">
            <v>두카트663000_전투</v>
          </cell>
        </row>
        <row r="1716">
          <cell r="A1716">
            <v>95010664</v>
          </cell>
          <cell r="B1716" t="str">
            <v>두카트664000_전투</v>
          </cell>
        </row>
        <row r="1717">
          <cell r="A1717">
            <v>95010665</v>
          </cell>
          <cell r="B1717" t="str">
            <v>두카트665000_전투</v>
          </cell>
        </row>
        <row r="1718">
          <cell r="A1718">
            <v>95010666</v>
          </cell>
          <cell r="B1718" t="str">
            <v>두카트666000_전투</v>
          </cell>
        </row>
        <row r="1719">
          <cell r="A1719">
            <v>95010667</v>
          </cell>
          <cell r="B1719" t="str">
            <v>두카트667000_전투</v>
          </cell>
        </row>
        <row r="1720">
          <cell r="A1720">
            <v>95010668</v>
          </cell>
          <cell r="B1720" t="str">
            <v>두카트668000_전투</v>
          </cell>
        </row>
        <row r="1721">
          <cell r="A1721">
            <v>95010669</v>
          </cell>
          <cell r="B1721" t="str">
            <v>두카트669000_전투</v>
          </cell>
        </row>
        <row r="1722">
          <cell r="A1722">
            <v>95010670</v>
          </cell>
          <cell r="B1722" t="str">
            <v>두카트670000_전투</v>
          </cell>
        </row>
        <row r="1723">
          <cell r="A1723">
            <v>95010671</v>
          </cell>
          <cell r="B1723" t="str">
            <v>두카트671000_전투</v>
          </cell>
        </row>
        <row r="1724">
          <cell r="A1724">
            <v>95010672</v>
          </cell>
          <cell r="B1724" t="str">
            <v>두카트672000_전투</v>
          </cell>
        </row>
        <row r="1725">
          <cell r="A1725">
            <v>95010673</v>
          </cell>
          <cell r="B1725" t="str">
            <v>두카트673000_전투</v>
          </cell>
        </row>
        <row r="1726">
          <cell r="A1726">
            <v>95010674</v>
          </cell>
          <cell r="B1726" t="str">
            <v>두카트674000_전투</v>
          </cell>
        </row>
        <row r="1727">
          <cell r="A1727">
            <v>95010675</v>
          </cell>
          <cell r="B1727" t="str">
            <v>두카트675000_전투</v>
          </cell>
        </row>
        <row r="1728">
          <cell r="A1728">
            <v>95010676</v>
          </cell>
          <cell r="B1728" t="str">
            <v>두카트676000_전투</v>
          </cell>
        </row>
        <row r="1729">
          <cell r="A1729">
            <v>95010677</v>
          </cell>
          <cell r="B1729" t="str">
            <v>두카트677000_전투</v>
          </cell>
        </row>
        <row r="1730">
          <cell r="A1730">
            <v>95010678</v>
          </cell>
          <cell r="B1730" t="str">
            <v>두카트678000_전투</v>
          </cell>
        </row>
        <row r="1731">
          <cell r="A1731">
            <v>95010679</v>
          </cell>
          <cell r="B1731" t="str">
            <v>두카트679000_전투</v>
          </cell>
        </row>
        <row r="1732">
          <cell r="A1732">
            <v>95010680</v>
          </cell>
          <cell r="B1732" t="str">
            <v>두카트680000_전투</v>
          </cell>
        </row>
        <row r="1733">
          <cell r="A1733">
            <v>95010681</v>
          </cell>
          <cell r="B1733" t="str">
            <v>두카트681000_전투</v>
          </cell>
        </row>
        <row r="1734">
          <cell r="A1734">
            <v>95010682</v>
          </cell>
          <cell r="B1734" t="str">
            <v>두카트682000_전투</v>
          </cell>
        </row>
        <row r="1735">
          <cell r="A1735">
            <v>95010683</v>
          </cell>
          <cell r="B1735" t="str">
            <v>두카트683000_전투</v>
          </cell>
        </row>
        <row r="1736">
          <cell r="A1736">
            <v>95010684</v>
          </cell>
          <cell r="B1736" t="str">
            <v>두카트684000_전투</v>
          </cell>
        </row>
        <row r="1737">
          <cell r="A1737">
            <v>95010685</v>
          </cell>
          <cell r="B1737" t="str">
            <v>두카트685000_전투</v>
          </cell>
        </row>
        <row r="1738">
          <cell r="A1738">
            <v>95010686</v>
          </cell>
          <cell r="B1738" t="str">
            <v>두카트686000_전투</v>
          </cell>
        </row>
        <row r="1739">
          <cell r="A1739">
            <v>95010687</v>
          </cell>
          <cell r="B1739" t="str">
            <v>두카트687000_전투</v>
          </cell>
        </row>
        <row r="1740">
          <cell r="A1740">
            <v>95010688</v>
          </cell>
          <cell r="B1740" t="str">
            <v>두카트688000_전투</v>
          </cell>
        </row>
        <row r="1741">
          <cell r="A1741">
            <v>95010689</v>
          </cell>
          <cell r="B1741" t="str">
            <v>두카트689000_전투</v>
          </cell>
        </row>
        <row r="1742">
          <cell r="A1742">
            <v>95010690</v>
          </cell>
          <cell r="B1742" t="str">
            <v>두카트690000_전투</v>
          </cell>
        </row>
        <row r="1743">
          <cell r="A1743">
            <v>95010691</v>
          </cell>
          <cell r="B1743" t="str">
            <v>두카트691000_전투</v>
          </cell>
        </row>
        <row r="1744">
          <cell r="A1744">
            <v>95010692</v>
          </cell>
          <cell r="B1744" t="str">
            <v>두카트692000_전투</v>
          </cell>
        </row>
        <row r="1745">
          <cell r="A1745">
            <v>95010693</v>
          </cell>
          <cell r="B1745" t="str">
            <v>두카트693000_전투</v>
          </cell>
        </row>
        <row r="1746">
          <cell r="A1746">
            <v>95010694</v>
          </cell>
          <cell r="B1746" t="str">
            <v>두카트694000_전투</v>
          </cell>
        </row>
        <row r="1747">
          <cell r="A1747">
            <v>95010695</v>
          </cell>
          <cell r="B1747" t="str">
            <v>두카트695000_전투</v>
          </cell>
        </row>
        <row r="1748">
          <cell r="A1748">
            <v>95010696</v>
          </cell>
          <cell r="B1748" t="str">
            <v>두카트696000_전투</v>
          </cell>
        </row>
        <row r="1749">
          <cell r="A1749">
            <v>95010697</v>
          </cell>
          <cell r="B1749" t="str">
            <v>두카트697000_전투</v>
          </cell>
        </row>
        <row r="1750">
          <cell r="A1750">
            <v>95010698</v>
          </cell>
          <cell r="B1750" t="str">
            <v>두카트698000_전투</v>
          </cell>
        </row>
        <row r="1751">
          <cell r="A1751">
            <v>95010699</v>
          </cell>
          <cell r="B1751" t="str">
            <v>두카트699000_전투</v>
          </cell>
        </row>
        <row r="1752">
          <cell r="A1752">
            <v>95010700</v>
          </cell>
          <cell r="B1752" t="str">
            <v>두카트700000_전투</v>
          </cell>
        </row>
        <row r="1753">
          <cell r="A1753">
            <v>95020001</v>
          </cell>
          <cell r="B1753" t="str">
            <v>두카트1000_교역</v>
          </cell>
        </row>
        <row r="1754">
          <cell r="A1754">
            <v>95020002</v>
          </cell>
          <cell r="B1754" t="str">
            <v>두카트2000_교역</v>
          </cell>
        </row>
        <row r="1755">
          <cell r="A1755">
            <v>95020003</v>
          </cell>
          <cell r="B1755" t="str">
            <v>두카트3000_교역</v>
          </cell>
        </row>
        <row r="1756">
          <cell r="A1756">
            <v>95020004</v>
          </cell>
          <cell r="B1756" t="str">
            <v>두카트4000_교역</v>
          </cell>
        </row>
        <row r="1757">
          <cell r="A1757">
            <v>95020005</v>
          </cell>
          <cell r="B1757" t="str">
            <v>두카트5000_교역</v>
          </cell>
        </row>
        <row r="1758">
          <cell r="A1758">
            <v>95020006</v>
          </cell>
          <cell r="B1758" t="str">
            <v>두카트6000_교역</v>
          </cell>
        </row>
        <row r="1759">
          <cell r="A1759">
            <v>95020007</v>
          </cell>
          <cell r="B1759" t="str">
            <v>두카트7000_교역</v>
          </cell>
        </row>
        <row r="1760">
          <cell r="A1760">
            <v>95020008</v>
          </cell>
          <cell r="B1760" t="str">
            <v>두카트8000_교역</v>
          </cell>
        </row>
        <row r="1761">
          <cell r="A1761">
            <v>95020009</v>
          </cell>
          <cell r="B1761" t="str">
            <v>두카트9000_교역</v>
          </cell>
        </row>
        <row r="1762">
          <cell r="A1762">
            <v>95020010</v>
          </cell>
          <cell r="B1762" t="str">
            <v>두카트10000_교역</v>
          </cell>
        </row>
        <row r="1763">
          <cell r="A1763">
            <v>95020011</v>
          </cell>
          <cell r="B1763" t="str">
            <v>두카트11000_교역</v>
          </cell>
        </row>
        <row r="1764">
          <cell r="A1764">
            <v>95020012</v>
          </cell>
          <cell r="B1764" t="str">
            <v>두카트12000_교역</v>
          </cell>
        </row>
        <row r="1765">
          <cell r="A1765">
            <v>95020013</v>
          </cell>
          <cell r="B1765" t="str">
            <v>두카트13000_교역</v>
          </cell>
        </row>
        <row r="1766">
          <cell r="A1766">
            <v>95020014</v>
          </cell>
          <cell r="B1766" t="str">
            <v>두카트14000_교역</v>
          </cell>
        </row>
        <row r="1767">
          <cell r="A1767">
            <v>95020015</v>
          </cell>
          <cell r="B1767" t="str">
            <v>두카트15000_교역</v>
          </cell>
        </row>
        <row r="1768">
          <cell r="A1768">
            <v>95020016</v>
          </cell>
          <cell r="B1768" t="str">
            <v>두카트16000_교역</v>
          </cell>
        </row>
        <row r="1769">
          <cell r="A1769">
            <v>95020017</v>
          </cell>
          <cell r="B1769" t="str">
            <v>두카트17000_교역</v>
          </cell>
        </row>
        <row r="1770">
          <cell r="A1770">
            <v>95020018</v>
          </cell>
          <cell r="B1770" t="str">
            <v>두카트18000_교역</v>
          </cell>
        </row>
        <row r="1771">
          <cell r="A1771">
            <v>95020019</v>
          </cell>
          <cell r="B1771" t="str">
            <v>두카트19000_교역</v>
          </cell>
        </row>
        <row r="1772">
          <cell r="A1772">
            <v>95020020</v>
          </cell>
          <cell r="B1772" t="str">
            <v>두카트20000_교역</v>
          </cell>
        </row>
        <row r="1773">
          <cell r="A1773">
            <v>95020021</v>
          </cell>
          <cell r="B1773" t="str">
            <v>두카트21000_교역</v>
          </cell>
        </row>
        <row r="1774">
          <cell r="A1774">
            <v>95020022</v>
          </cell>
          <cell r="B1774" t="str">
            <v>두카트22000_교역</v>
          </cell>
        </row>
        <row r="1775">
          <cell r="A1775">
            <v>95020023</v>
          </cell>
          <cell r="B1775" t="str">
            <v>두카트23000_교역</v>
          </cell>
        </row>
        <row r="1776">
          <cell r="A1776">
            <v>95020024</v>
          </cell>
          <cell r="B1776" t="str">
            <v>두카트24000_교역</v>
          </cell>
        </row>
        <row r="1777">
          <cell r="A1777">
            <v>95020025</v>
          </cell>
          <cell r="B1777" t="str">
            <v>두카트25000_교역</v>
          </cell>
        </row>
        <row r="1778">
          <cell r="A1778">
            <v>95020026</v>
          </cell>
          <cell r="B1778" t="str">
            <v>두카트26000_교역</v>
          </cell>
        </row>
        <row r="1779">
          <cell r="A1779">
            <v>95020027</v>
          </cell>
          <cell r="B1779" t="str">
            <v>두카트27000_교역</v>
          </cell>
        </row>
        <row r="1780">
          <cell r="A1780">
            <v>95020028</v>
          </cell>
          <cell r="B1780" t="str">
            <v>두카트28000_교역</v>
          </cell>
        </row>
        <row r="1781">
          <cell r="A1781">
            <v>95020029</v>
          </cell>
          <cell r="B1781" t="str">
            <v>두카트29000_교역</v>
          </cell>
        </row>
        <row r="1782">
          <cell r="A1782">
            <v>95020030</v>
          </cell>
          <cell r="B1782" t="str">
            <v>두카트30000_교역</v>
          </cell>
        </row>
        <row r="1783">
          <cell r="A1783">
            <v>95020031</v>
          </cell>
          <cell r="B1783" t="str">
            <v>두카트31000_교역</v>
          </cell>
        </row>
        <row r="1784">
          <cell r="A1784">
            <v>95020032</v>
          </cell>
          <cell r="B1784" t="str">
            <v>두카트32000_교역</v>
          </cell>
        </row>
        <row r="1785">
          <cell r="A1785">
            <v>95020033</v>
          </cell>
          <cell r="B1785" t="str">
            <v>두카트33000_교역</v>
          </cell>
        </row>
        <row r="1786">
          <cell r="A1786">
            <v>95020034</v>
          </cell>
          <cell r="B1786" t="str">
            <v>두카트34000_교역</v>
          </cell>
        </row>
        <row r="1787">
          <cell r="A1787">
            <v>95020035</v>
          </cell>
          <cell r="B1787" t="str">
            <v>두카트35000_교역</v>
          </cell>
        </row>
        <row r="1788">
          <cell r="A1788">
            <v>95020036</v>
          </cell>
          <cell r="B1788" t="str">
            <v>두카트36000_교역</v>
          </cell>
        </row>
        <row r="1789">
          <cell r="A1789">
            <v>95020037</v>
          </cell>
          <cell r="B1789" t="str">
            <v>두카트37000_교역</v>
          </cell>
        </row>
        <row r="1790">
          <cell r="A1790">
            <v>95020038</v>
          </cell>
          <cell r="B1790" t="str">
            <v>두카트38000_교역</v>
          </cell>
        </row>
        <row r="1791">
          <cell r="A1791">
            <v>95020039</v>
          </cell>
          <cell r="B1791" t="str">
            <v>두카트39000_교역</v>
          </cell>
        </row>
        <row r="1792">
          <cell r="A1792">
            <v>95020040</v>
          </cell>
          <cell r="B1792" t="str">
            <v>두카트40000_교역</v>
          </cell>
        </row>
        <row r="1793">
          <cell r="A1793">
            <v>95020041</v>
          </cell>
          <cell r="B1793" t="str">
            <v>두카트41000_교역</v>
          </cell>
        </row>
        <row r="1794">
          <cell r="A1794">
            <v>95020042</v>
          </cell>
          <cell r="B1794" t="str">
            <v>두카트42000_교역</v>
          </cell>
        </row>
        <row r="1795">
          <cell r="A1795">
            <v>95020043</v>
          </cell>
          <cell r="B1795" t="str">
            <v>두카트43000_교역</v>
          </cell>
        </row>
        <row r="1796">
          <cell r="A1796">
            <v>95020044</v>
          </cell>
          <cell r="B1796" t="str">
            <v>두카트44000_교역</v>
          </cell>
        </row>
        <row r="1797">
          <cell r="A1797">
            <v>95020045</v>
          </cell>
          <cell r="B1797" t="str">
            <v>두카트45000_교역</v>
          </cell>
        </row>
        <row r="1798">
          <cell r="A1798">
            <v>95020046</v>
          </cell>
          <cell r="B1798" t="str">
            <v>두카트46000_교역</v>
          </cell>
        </row>
        <row r="1799">
          <cell r="A1799">
            <v>95020047</v>
          </cell>
          <cell r="B1799" t="str">
            <v>두카트47000_교역</v>
          </cell>
        </row>
        <row r="1800">
          <cell r="A1800">
            <v>95020048</v>
          </cell>
          <cell r="B1800" t="str">
            <v>두카트48000_교역</v>
          </cell>
        </row>
        <row r="1801">
          <cell r="A1801">
            <v>95020049</v>
          </cell>
          <cell r="B1801" t="str">
            <v>두카트49000_교역</v>
          </cell>
        </row>
        <row r="1802">
          <cell r="A1802">
            <v>95020050</v>
          </cell>
          <cell r="B1802" t="str">
            <v>두카트50000_교역</v>
          </cell>
        </row>
        <row r="1803">
          <cell r="A1803">
            <v>95020051</v>
          </cell>
          <cell r="B1803" t="str">
            <v>두카트51000_교역</v>
          </cell>
        </row>
        <row r="1804">
          <cell r="A1804">
            <v>95020052</v>
          </cell>
          <cell r="B1804" t="str">
            <v>두카트52000_교역</v>
          </cell>
        </row>
        <row r="1805">
          <cell r="A1805">
            <v>95020053</v>
          </cell>
          <cell r="B1805" t="str">
            <v>두카트53000_교역</v>
          </cell>
        </row>
        <row r="1806">
          <cell r="A1806">
            <v>95020054</v>
          </cell>
          <cell r="B1806" t="str">
            <v>두카트54000_교역</v>
          </cell>
        </row>
        <row r="1807">
          <cell r="A1807">
            <v>95020055</v>
          </cell>
          <cell r="B1807" t="str">
            <v>두카트55000_교역</v>
          </cell>
        </row>
        <row r="1808">
          <cell r="A1808">
            <v>95020056</v>
          </cell>
          <cell r="B1808" t="str">
            <v>두카트56000_교역</v>
          </cell>
        </row>
        <row r="1809">
          <cell r="A1809">
            <v>95020057</v>
          </cell>
          <cell r="B1809" t="str">
            <v>두카트57000_교역</v>
          </cell>
        </row>
        <row r="1810">
          <cell r="A1810">
            <v>95020058</v>
          </cell>
          <cell r="B1810" t="str">
            <v>두카트58000_교역</v>
          </cell>
        </row>
        <row r="1811">
          <cell r="A1811">
            <v>95020059</v>
          </cell>
          <cell r="B1811" t="str">
            <v>두카트59000_교역</v>
          </cell>
        </row>
        <row r="1812">
          <cell r="A1812">
            <v>95020060</v>
          </cell>
          <cell r="B1812" t="str">
            <v>두카트60000_교역</v>
          </cell>
        </row>
        <row r="1813">
          <cell r="A1813">
            <v>95020061</v>
          </cell>
          <cell r="B1813" t="str">
            <v>두카트61000_교역</v>
          </cell>
        </row>
        <row r="1814">
          <cell r="A1814">
            <v>95020062</v>
          </cell>
          <cell r="B1814" t="str">
            <v>두카트62000_교역</v>
          </cell>
        </row>
        <row r="1815">
          <cell r="A1815">
            <v>95020063</v>
          </cell>
          <cell r="B1815" t="str">
            <v>두카트63000_교역</v>
          </cell>
        </row>
        <row r="1816">
          <cell r="A1816">
            <v>95020064</v>
          </cell>
          <cell r="B1816" t="str">
            <v>두카트64000_교역</v>
          </cell>
        </row>
        <row r="1817">
          <cell r="A1817">
            <v>95020065</v>
          </cell>
          <cell r="B1817" t="str">
            <v>두카트65000_교역</v>
          </cell>
        </row>
        <row r="1818">
          <cell r="A1818">
            <v>95020066</v>
          </cell>
          <cell r="B1818" t="str">
            <v>두카트66000_교역</v>
          </cell>
        </row>
        <row r="1819">
          <cell r="A1819">
            <v>95020067</v>
          </cell>
          <cell r="B1819" t="str">
            <v>두카트67000_교역</v>
          </cell>
        </row>
        <row r="1820">
          <cell r="A1820">
            <v>95020068</v>
          </cell>
          <cell r="B1820" t="str">
            <v>두카트68000_교역</v>
          </cell>
        </row>
        <row r="1821">
          <cell r="A1821">
            <v>95020069</v>
          </cell>
          <cell r="B1821" t="str">
            <v>두카트69000_교역</v>
          </cell>
        </row>
        <row r="1822">
          <cell r="A1822">
            <v>95020070</v>
          </cell>
          <cell r="B1822" t="str">
            <v>두카트70000_교역</v>
          </cell>
        </row>
        <row r="1823">
          <cell r="A1823">
            <v>95020071</v>
          </cell>
          <cell r="B1823" t="str">
            <v>두카트71000_교역</v>
          </cell>
        </row>
        <row r="1824">
          <cell r="A1824">
            <v>95020072</v>
          </cell>
          <cell r="B1824" t="str">
            <v>두카트72000_교역</v>
          </cell>
        </row>
        <row r="1825">
          <cell r="A1825">
            <v>95020073</v>
          </cell>
          <cell r="B1825" t="str">
            <v>두카트73000_교역</v>
          </cell>
        </row>
        <row r="1826">
          <cell r="A1826">
            <v>95020074</v>
          </cell>
          <cell r="B1826" t="str">
            <v>두카트74000_교역</v>
          </cell>
        </row>
        <row r="1827">
          <cell r="A1827">
            <v>95020075</v>
          </cell>
          <cell r="B1827" t="str">
            <v>두카트75000_교역</v>
          </cell>
        </row>
        <row r="1828">
          <cell r="A1828">
            <v>95020076</v>
          </cell>
          <cell r="B1828" t="str">
            <v>두카트76000_교역</v>
          </cell>
        </row>
        <row r="1829">
          <cell r="A1829">
            <v>95020077</v>
          </cell>
          <cell r="B1829" t="str">
            <v>두카트77000_교역</v>
          </cell>
        </row>
        <row r="1830">
          <cell r="A1830">
            <v>95020078</v>
          </cell>
          <cell r="B1830" t="str">
            <v>두카트78000_교역</v>
          </cell>
        </row>
        <row r="1831">
          <cell r="A1831">
            <v>95020079</v>
          </cell>
          <cell r="B1831" t="str">
            <v>두카트79000_교역</v>
          </cell>
        </row>
        <row r="1832">
          <cell r="A1832">
            <v>95020080</v>
          </cell>
          <cell r="B1832" t="str">
            <v>두카트80000_교역</v>
          </cell>
        </row>
        <row r="1833">
          <cell r="A1833">
            <v>95020081</v>
          </cell>
          <cell r="B1833" t="str">
            <v>두카트81000_교역</v>
          </cell>
        </row>
        <row r="1834">
          <cell r="A1834">
            <v>95020082</v>
          </cell>
          <cell r="B1834" t="str">
            <v>두카트82000_교역</v>
          </cell>
        </row>
        <row r="1835">
          <cell r="A1835">
            <v>95020083</v>
          </cell>
          <cell r="B1835" t="str">
            <v>두카트83000_교역</v>
          </cell>
        </row>
        <row r="1836">
          <cell r="A1836">
            <v>95020084</v>
          </cell>
          <cell r="B1836" t="str">
            <v>두카트84000_교역</v>
          </cell>
        </row>
        <row r="1837">
          <cell r="A1837">
            <v>95020085</v>
          </cell>
          <cell r="B1837" t="str">
            <v>두카트85000_교역</v>
          </cell>
        </row>
        <row r="1838">
          <cell r="A1838">
            <v>95020086</v>
          </cell>
          <cell r="B1838" t="str">
            <v>두카트86000_교역</v>
          </cell>
        </row>
        <row r="1839">
          <cell r="A1839">
            <v>95020087</v>
          </cell>
          <cell r="B1839" t="str">
            <v>두카트87000_교역</v>
          </cell>
        </row>
        <row r="1840">
          <cell r="A1840">
            <v>95020088</v>
          </cell>
          <cell r="B1840" t="str">
            <v>두카트88000_교역</v>
          </cell>
        </row>
        <row r="1841">
          <cell r="A1841">
            <v>95020089</v>
          </cell>
          <cell r="B1841" t="str">
            <v>두카트89000_교역</v>
          </cell>
        </row>
        <row r="1842">
          <cell r="A1842">
            <v>95020090</v>
          </cell>
          <cell r="B1842" t="str">
            <v>두카트90000_교역</v>
          </cell>
        </row>
        <row r="1843">
          <cell r="A1843">
            <v>95020091</v>
          </cell>
          <cell r="B1843" t="str">
            <v>두카트91000_교역</v>
          </cell>
        </row>
        <row r="1844">
          <cell r="A1844">
            <v>95020092</v>
          </cell>
          <cell r="B1844" t="str">
            <v>두카트92000_교역</v>
          </cell>
        </row>
        <row r="1845">
          <cell r="A1845">
            <v>95020093</v>
          </cell>
          <cell r="B1845" t="str">
            <v>두카트93000_교역</v>
          </cell>
        </row>
        <row r="1846">
          <cell r="A1846">
            <v>95020094</v>
          </cell>
          <cell r="B1846" t="str">
            <v>두카트94000_교역</v>
          </cell>
        </row>
        <row r="1847">
          <cell r="A1847">
            <v>95020095</v>
          </cell>
          <cell r="B1847" t="str">
            <v>두카트95000_교역</v>
          </cell>
        </row>
        <row r="1848">
          <cell r="A1848">
            <v>95020096</v>
          </cell>
          <cell r="B1848" t="str">
            <v>두카트96000_교역</v>
          </cell>
        </row>
        <row r="1849">
          <cell r="A1849">
            <v>95020097</v>
          </cell>
          <cell r="B1849" t="str">
            <v>두카트97000_교역</v>
          </cell>
        </row>
        <row r="1850">
          <cell r="A1850">
            <v>95020098</v>
          </cell>
          <cell r="B1850" t="str">
            <v>두카트98000_교역</v>
          </cell>
        </row>
        <row r="1851">
          <cell r="A1851">
            <v>95020099</v>
          </cell>
          <cell r="B1851" t="str">
            <v>두카트99000_교역</v>
          </cell>
        </row>
        <row r="1852">
          <cell r="A1852">
            <v>95020100</v>
          </cell>
          <cell r="B1852" t="str">
            <v>두카트100000_교역</v>
          </cell>
        </row>
        <row r="1853">
          <cell r="A1853">
            <v>95020101</v>
          </cell>
          <cell r="B1853" t="str">
            <v>두카트101000_교역</v>
          </cell>
        </row>
        <row r="1854">
          <cell r="A1854">
            <v>95020102</v>
          </cell>
          <cell r="B1854" t="str">
            <v>두카트102000_교역</v>
          </cell>
        </row>
        <row r="1855">
          <cell r="A1855">
            <v>95020103</v>
          </cell>
          <cell r="B1855" t="str">
            <v>두카트103000_교역</v>
          </cell>
        </row>
        <row r="1856">
          <cell r="A1856">
            <v>95020104</v>
          </cell>
          <cell r="B1856" t="str">
            <v>두카트104000_교역</v>
          </cell>
        </row>
        <row r="1857">
          <cell r="A1857">
            <v>95020105</v>
          </cell>
          <cell r="B1857" t="str">
            <v>두카트105000_교역</v>
          </cell>
        </row>
        <row r="1858">
          <cell r="A1858">
            <v>95020106</v>
          </cell>
          <cell r="B1858" t="str">
            <v>두카트106000_교역</v>
          </cell>
        </row>
        <row r="1859">
          <cell r="A1859">
            <v>95020107</v>
          </cell>
          <cell r="B1859" t="str">
            <v>두카트107000_교역</v>
          </cell>
        </row>
        <row r="1860">
          <cell r="A1860">
            <v>95020108</v>
          </cell>
          <cell r="B1860" t="str">
            <v>두카트108000_교역</v>
          </cell>
        </row>
        <row r="1861">
          <cell r="A1861">
            <v>95020109</v>
          </cell>
          <cell r="B1861" t="str">
            <v>두카트109000_교역</v>
          </cell>
        </row>
        <row r="1862">
          <cell r="A1862">
            <v>95020110</v>
          </cell>
          <cell r="B1862" t="str">
            <v>두카트110000_교역</v>
          </cell>
        </row>
        <row r="1863">
          <cell r="A1863">
            <v>95020111</v>
          </cell>
          <cell r="B1863" t="str">
            <v>두카트111000_교역</v>
          </cell>
        </row>
        <row r="1864">
          <cell r="A1864">
            <v>95020112</v>
          </cell>
          <cell r="B1864" t="str">
            <v>두카트112000_교역</v>
          </cell>
        </row>
        <row r="1865">
          <cell r="A1865">
            <v>95020113</v>
          </cell>
          <cell r="B1865" t="str">
            <v>두카트113000_교역</v>
          </cell>
        </row>
        <row r="1866">
          <cell r="A1866">
            <v>95020114</v>
          </cell>
          <cell r="B1866" t="str">
            <v>두카트114000_교역</v>
          </cell>
        </row>
        <row r="1867">
          <cell r="A1867">
            <v>95020115</v>
          </cell>
          <cell r="B1867" t="str">
            <v>두카트115000_교역</v>
          </cell>
        </row>
        <row r="1868">
          <cell r="A1868">
            <v>95020116</v>
          </cell>
          <cell r="B1868" t="str">
            <v>두카트116000_교역</v>
          </cell>
        </row>
        <row r="1869">
          <cell r="A1869">
            <v>95020117</v>
          </cell>
          <cell r="B1869" t="str">
            <v>두카트117000_교역</v>
          </cell>
        </row>
        <row r="1870">
          <cell r="A1870">
            <v>95020118</v>
          </cell>
          <cell r="B1870" t="str">
            <v>두카트118000_교역</v>
          </cell>
        </row>
        <row r="1871">
          <cell r="A1871">
            <v>95020119</v>
          </cell>
          <cell r="B1871" t="str">
            <v>두카트119000_교역</v>
          </cell>
        </row>
        <row r="1872">
          <cell r="A1872">
            <v>95020120</v>
          </cell>
          <cell r="B1872" t="str">
            <v>두카트120000_교역</v>
          </cell>
        </row>
        <row r="1873">
          <cell r="A1873">
            <v>95020121</v>
          </cell>
          <cell r="B1873" t="str">
            <v>두카트121000_교역</v>
          </cell>
        </row>
        <row r="1874">
          <cell r="A1874">
            <v>95020122</v>
          </cell>
          <cell r="B1874" t="str">
            <v>두카트122000_교역</v>
          </cell>
        </row>
        <row r="1875">
          <cell r="A1875">
            <v>95020123</v>
          </cell>
          <cell r="B1875" t="str">
            <v>두카트123000_교역</v>
          </cell>
        </row>
        <row r="1876">
          <cell r="A1876">
            <v>95020124</v>
          </cell>
          <cell r="B1876" t="str">
            <v>두카트124000_교역</v>
          </cell>
        </row>
        <row r="1877">
          <cell r="A1877">
            <v>95020125</v>
          </cell>
          <cell r="B1877" t="str">
            <v>두카트125000_교역</v>
          </cell>
        </row>
        <row r="1878">
          <cell r="A1878">
            <v>95020126</v>
          </cell>
          <cell r="B1878" t="str">
            <v>두카트126000_교역</v>
          </cell>
        </row>
        <row r="1879">
          <cell r="A1879">
            <v>95020127</v>
          </cell>
          <cell r="B1879" t="str">
            <v>두카트127000_교역</v>
          </cell>
        </row>
        <row r="1880">
          <cell r="A1880">
            <v>95020128</v>
          </cell>
          <cell r="B1880" t="str">
            <v>두카트128000_교역</v>
          </cell>
        </row>
        <row r="1881">
          <cell r="A1881">
            <v>95020129</v>
          </cell>
          <cell r="B1881" t="str">
            <v>두카트129000_교역</v>
          </cell>
        </row>
        <row r="1882">
          <cell r="A1882">
            <v>95020130</v>
          </cell>
          <cell r="B1882" t="str">
            <v>두카트130000_교역</v>
          </cell>
        </row>
        <row r="1883">
          <cell r="A1883">
            <v>95020131</v>
          </cell>
          <cell r="B1883" t="str">
            <v>두카트131000_교역</v>
          </cell>
        </row>
        <row r="1884">
          <cell r="A1884">
            <v>95020132</v>
          </cell>
          <cell r="B1884" t="str">
            <v>두카트132000_교역</v>
          </cell>
        </row>
        <row r="1885">
          <cell r="A1885">
            <v>95020133</v>
          </cell>
          <cell r="B1885" t="str">
            <v>두카트133000_교역</v>
          </cell>
        </row>
        <row r="1886">
          <cell r="A1886">
            <v>95020134</v>
          </cell>
          <cell r="B1886" t="str">
            <v>두카트134000_교역</v>
          </cell>
        </row>
        <row r="1887">
          <cell r="A1887">
            <v>95020135</v>
          </cell>
          <cell r="B1887" t="str">
            <v>두카트135000_교역</v>
          </cell>
        </row>
        <row r="1888">
          <cell r="A1888">
            <v>95020136</v>
          </cell>
          <cell r="B1888" t="str">
            <v>두카트136000_교역</v>
          </cell>
        </row>
        <row r="1889">
          <cell r="A1889">
            <v>95020137</v>
          </cell>
          <cell r="B1889" t="str">
            <v>두카트137000_교역</v>
          </cell>
        </row>
        <row r="1890">
          <cell r="A1890">
            <v>95020138</v>
          </cell>
          <cell r="B1890" t="str">
            <v>두카트138000_교역</v>
          </cell>
        </row>
        <row r="1891">
          <cell r="A1891">
            <v>95020139</v>
          </cell>
          <cell r="B1891" t="str">
            <v>두카트139000_교역</v>
          </cell>
        </row>
        <row r="1892">
          <cell r="A1892">
            <v>95020140</v>
          </cell>
          <cell r="B1892" t="str">
            <v>두카트140000_교역</v>
          </cell>
        </row>
        <row r="1893">
          <cell r="A1893">
            <v>95020141</v>
          </cell>
          <cell r="B1893" t="str">
            <v>두카트141000_교역</v>
          </cell>
        </row>
        <row r="1894">
          <cell r="A1894">
            <v>95020142</v>
          </cell>
          <cell r="B1894" t="str">
            <v>두카트142000_교역</v>
          </cell>
        </row>
        <row r="1895">
          <cell r="A1895">
            <v>95020143</v>
          </cell>
          <cell r="B1895" t="str">
            <v>두카트143000_교역</v>
          </cell>
        </row>
        <row r="1896">
          <cell r="A1896">
            <v>95020144</v>
          </cell>
          <cell r="B1896" t="str">
            <v>두카트144000_교역</v>
          </cell>
        </row>
        <row r="1897">
          <cell r="A1897">
            <v>95020145</v>
          </cell>
          <cell r="B1897" t="str">
            <v>두카트145000_교역</v>
          </cell>
        </row>
        <row r="1898">
          <cell r="A1898">
            <v>95020146</v>
          </cell>
          <cell r="B1898" t="str">
            <v>두카트146000_교역</v>
          </cell>
        </row>
        <row r="1899">
          <cell r="A1899">
            <v>95020147</v>
          </cell>
          <cell r="B1899" t="str">
            <v>두카트147000_교역</v>
          </cell>
        </row>
        <row r="1900">
          <cell r="A1900">
            <v>95020148</v>
          </cell>
          <cell r="B1900" t="str">
            <v>두카트148000_교역</v>
          </cell>
        </row>
        <row r="1901">
          <cell r="A1901">
            <v>95020149</v>
          </cell>
          <cell r="B1901" t="str">
            <v>두카트149000_교역</v>
          </cell>
        </row>
        <row r="1902">
          <cell r="A1902">
            <v>95020150</v>
          </cell>
          <cell r="B1902" t="str">
            <v>두카트150000_교역</v>
          </cell>
        </row>
        <row r="1903">
          <cell r="A1903">
            <v>95020151</v>
          </cell>
          <cell r="B1903" t="str">
            <v>두카트151000_교역</v>
          </cell>
        </row>
        <row r="1904">
          <cell r="A1904">
            <v>95020152</v>
          </cell>
          <cell r="B1904" t="str">
            <v>두카트152000_교역</v>
          </cell>
        </row>
        <row r="1905">
          <cell r="A1905">
            <v>95020153</v>
          </cell>
          <cell r="B1905" t="str">
            <v>두카트153000_교역</v>
          </cell>
        </row>
        <row r="1906">
          <cell r="A1906">
            <v>95020154</v>
          </cell>
          <cell r="B1906" t="str">
            <v>두카트154000_교역</v>
          </cell>
        </row>
        <row r="1907">
          <cell r="A1907">
            <v>95020155</v>
          </cell>
          <cell r="B1907" t="str">
            <v>두카트155000_교역</v>
          </cell>
        </row>
        <row r="1908">
          <cell r="A1908">
            <v>95020156</v>
          </cell>
          <cell r="B1908" t="str">
            <v>두카트156000_교역</v>
          </cell>
        </row>
        <row r="1909">
          <cell r="A1909">
            <v>95020157</v>
          </cell>
          <cell r="B1909" t="str">
            <v>두카트157000_교역</v>
          </cell>
        </row>
        <row r="1910">
          <cell r="A1910">
            <v>95020158</v>
          </cell>
          <cell r="B1910" t="str">
            <v>두카트158000_교역</v>
          </cell>
        </row>
        <row r="1911">
          <cell r="A1911">
            <v>95020159</v>
          </cell>
          <cell r="B1911" t="str">
            <v>두카트159000_교역</v>
          </cell>
        </row>
        <row r="1912">
          <cell r="A1912">
            <v>95020160</v>
          </cell>
          <cell r="B1912" t="str">
            <v>두카트160000_교역</v>
          </cell>
        </row>
        <row r="1913">
          <cell r="A1913">
            <v>95020161</v>
          </cell>
          <cell r="B1913" t="str">
            <v>두카트161000_교역</v>
          </cell>
        </row>
        <row r="1914">
          <cell r="A1914">
            <v>95020162</v>
          </cell>
          <cell r="B1914" t="str">
            <v>두카트162000_교역</v>
          </cell>
        </row>
        <row r="1915">
          <cell r="A1915">
            <v>95020163</v>
          </cell>
          <cell r="B1915" t="str">
            <v>두카트163000_교역</v>
          </cell>
        </row>
        <row r="1916">
          <cell r="A1916">
            <v>95020164</v>
          </cell>
          <cell r="B1916" t="str">
            <v>두카트164000_교역</v>
          </cell>
        </row>
        <row r="1917">
          <cell r="A1917">
            <v>95020165</v>
          </cell>
          <cell r="B1917" t="str">
            <v>두카트165000_교역</v>
          </cell>
        </row>
        <row r="1918">
          <cell r="A1918">
            <v>95020166</v>
          </cell>
          <cell r="B1918" t="str">
            <v>두카트166000_교역</v>
          </cell>
        </row>
        <row r="1919">
          <cell r="A1919">
            <v>95020167</v>
          </cell>
          <cell r="B1919" t="str">
            <v>두카트167000_교역</v>
          </cell>
        </row>
        <row r="1920">
          <cell r="A1920">
            <v>95020168</v>
          </cell>
          <cell r="B1920" t="str">
            <v>두카트168000_교역</v>
          </cell>
        </row>
        <row r="1921">
          <cell r="A1921">
            <v>95020169</v>
          </cell>
          <cell r="B1921" t="str">
            <v>두카트169000_교역</v>
          </cell>
        </row>
        <row r="1922">
          <cell r="A1922">
            <v>95020170</v>
          </cell>
          <cell r="B1922" t="str">
            <v>두카트170000_교역</v>
          </cell>
        </row>
        <row r="1923">
          <cell r="A1923">
            <v>95020171</v>
          </cell>
          <cell r="B1923" t="str">
            <v>두카트171000_교역</v>
          </cell>
        </row>
        <row r="1924">
          <cell r="A1924">
            <v>95020172</v>
          </cell>
          <cell r="B1924" t="str">
            <v>두카트172000_교역</v>
          </cell>
        </row>
        <row r="1925">
          <cell r="A1925">
            <v>95020173</v>
          </cell>
          <cell r="B1925" t="str">
            <v>두카트173000_교역</v>
          </cell>
        </row>
        <row r="1926">
          <cell r="A1926">
            <v>95020174</v>
          </cell>
          <cell r="B1926" t="str">
            <v>두카트174000_교역</v>
          </cell>
        </row>
        <row r="1927">
          <cell r="A1927">
            <v>95020175</v>
          </cell>
          <cell r="B1927" t="str">
            <v>두카트175000_교역</v>
          </cell>
        </row>
        <row r="1928">
          <cell r="A1928">
            <v>95020176</v>
          </cell>
          <cell r="B1928" t="str">
            <v>두카트176000_교역</v>
          </cell>
        </row>
        <row r="1929">
          <cell r="A1929">
            <v>95020177</v>
          </cell>
          <cell r="B1929" t="str">
            <v>두카트177000_교역</v>
          </cell>
        </row>
        <row r="1930">
          <cell r="A1930">
            <v>95020178</v>
          </cell>
          <cell r="B1930" t="str">
            <v>두카트178000_교역</v>
          </cell>
        </row>
        <row r="1931">
          <cell r="A1931">
            <v>95020179</v>
          </cell>
          <cell r="B1931" t="str">
            <v>두카트179000_교역</v>
          </cell>
        </row>
        <row r="1932">
          <cell r="A1932">
            <v>95020180</v>
          </cell>
          <cell r="B1932" t="str">
            <v>두카트180000_교역</v>
          </cell>
        </row>
        <row r="1933">
          <cell r="A1933">
            <v>95020181</v>
          </cell>
          <cell r="B1933" t="str">
            <v>두카트181000_교역</v>
          </cell>
        </row>
        <row r="1934">
          <cell r="A1934">
            <v>95020182</v>
          </cell>
          <cell r="B1934" t="str">
            <v>두카트182000_교역</v>
          </cell>
        </row>
        <row r="1935">
          <cell r="A1935">
            <v>95020183</v>
          </cell>
          <cell r="B1935" t="str">
            <v>두카트183000_교역</v>
          </cell>
        </row>
        <row r="1936">
          <cell r="A1936">
            <v>95020184</v>
          </cell>
          <cell r="B1936" t="str">
            <v>두카트184000_교역</v>
          </cell>
        </row>
        <row r="1937">
          <cell r="A1937">
            <v>95020185</v>
          </cell>
          <cell r="B1937" t="str">
            <v>두카트185000_교역</v>
          </cell>
        </row>
        <row r="1938">
          <cell r="A1938">
            <v>95020186</v>
          </cell>
          <cell r="B1938" t="str">
            <v>두카트186000_교역</v>
          </cell>
        </row>
        <row r="1939">
          <cell r="A1939">
            <v>95020187</v>
          </cell>
          <cell r="B1939" t="str">
            <v>두카트187000_교역</v>
          </cell>
        </row>
        <row r="1940">
          <cell r="A1940">
            <v>95020188</v>
          </cell>
          <cell r="B1940" t="str">
            <v>두카트188000_교역</v>
          </cell>
        </row>
        <row r="1941">
          <cell r="A1941">
            <v>95020189</v>
          </cell>
          <cell r="B1941" t="str">
            <v>두카트189000_교역</v>
          </cell>
        </row>
        <row r="1942">
          <cell r="A1942">
            <v>95020190</v>
          </cell>
          <cell r="B1942" t="str">
            <v>두카트190000_교역</v>
          </cell>
        </row>
        <row r="1943">
          <cell r="A1943">
            <v>95020191</v>
          </cell>
          <cell r="B1943" t="str">
            <v>두카트191000_교역</v>
          </cell>
        </row>
        <row r="1944">
          <cell r="A1944">
            <v>95020192</v>
          </cell>
          <cell r="B1944" t="str">
            <v>두카트192000_교역</v>
          </cell>
        </row>
        <row r="1945">
          <cell r="A1945">
            <v>95020193</v>
          </cell>
          <cell r="B1945" t="str">
            <v>두카트193000_교역</v>
          </cell>
        </row>
        <row r="1946">
          <cell r="A1946">
            <v>95020194</v>
          </cell>
          <cell r="B1946" t="str">
            <v>두카트194000_교역</v>
          </cell>
        </row>
        <row r="1947">
          <cell r="A1947">
            <v>95020195</v>
          </cell>
          <cell r="B1947" t="str">
            <v>두카트195000_교역</v>
          </cell>
        </row>
        <row r="1948">
          <cell r="A1948">
            <v>95020196</v>
          </cell>
          <cell r="B1948" t="str">
            <v>두카트196000_교역</v>
          </cell>
        </row>
        <row r="1949">
          <cell r="A1949">
            <v>95020197</v>
          </cell>
          <cell r="B1949" t="str">
            <v>두카트197000_교역</v>
          </cell>
        </row>
        <row r="1950">
          <cell r="A1950">
            <v>95020198</v>
          </cell>
          <cell r="B1950" t="str">
            <v>두카트198000_교역</v>
          </cell>
        </row>
        <row r="1951">
          <cell r="A1951">
            <v>95020199</v>
          </cell>
          <cell r="B1951" t="str">
            <v>두카트199000_교역</v>
          </cell>
        </row>
        <row r="1952">
          <cell r="A1952">
            <v>95020200</v>
          </cell>
          <cell r="B1952" t="str">
            <v>두카트200000_교역</v>
          </cell>
        </row>
        <row r="1953">
          <cell r="A1953">
            <v>95020201</v>
          </cell>
          <cell r="B1953" t="str">
            <v>두카트201000_교역</v>
          </cell>
        </row>
        <row r="1954">
          <cell r="A1954">
            <v>95020202</v>
          </cell>
          <cell r="B1954" t="str">
            <v>두카트202000_교역</v>
          </cell>
        </row>
        <row r="1955">
          <cell r="A1955">
            <v>95020203</v>
          </cell>
          <cell r="B1955" t="str">
            <v>두카트203000_교역</v>
          </cell>
        </row>
        <row r="1956">
          <cell r="A1956">
            <v>95020204</v>
          </cell>
          <cell r="B1956" t="str">
            <v>두카트204000_교역</v>
          </cell>
        </row>
        <row r="1957">
          <cell r="A1957">
            <v>95020205</v>
          </cell>
          <cell r="B1957" t="str">
            <v>두카트205000_교역</v>
          </cell>
        </row>
        <row r="1958">
          <cell r="A1958">
            <v>95020206</v>
          </cell>
          <cell r="B1958" t="str">
            <v>두카트206000_교역</v>
          </cell>
        </row>
        <row r="1959">
          <cell r="A1959">
            <v>95020207</v>
          </cell>
          <cell r="B1959" t="str">
            <v>두카트207000_교역</v>
          </cell>
        </row>
        <row r="1960">
          <cell r="A1960">
            <v>95020208</v>
          </cell>
          <cell r="B1960" t="str">
            <v>두카트208000_교역</v>
          </cell>
        </row>
        <row r="1961">
          <cell r="A1961">
            <v>95020209</v>
          </cell>
          <cell r="B1961" t="str">
            <v>두카트209000_교역</v>
          </cell>
        </row>
        <row r="1962">
          <cell r="A1962">
            <v>95020210</v>
          </cell>
          <cell r="B1962" t="str">
            <v>두카트210000_교역</v>
          </cell>
        </row>
        <row r="1963">
          <cell r="A1963">
            <v>95020211</v>
          </cell>
          <cell r="B1963" t="str">
            <v>두카트211000_교역</v>
          </cell>
        </row>
        <row r="1964">
          <cell r="A1964">
            <v>95020212</v>
          </cell>
          <cell r="B1964" t="str">
            <v>두카트212000_교역</v>
          </cell>
        </row>
        <row r="1965">
          <cell r="A1965">
            <v>95020213</v>
          </cell>
          <cell r="B1965" t="str">
            <v>두카트213000_교역</v>
          </cell>
        </row>
        <row r="1966">
          <cell r="A1966">
            <v>95020214</v>
          </cell>
          <cell r="B1966" t="str">
            <v>두카트214000_교역</v>
          </cell>
        </row>
        <row r="1967">
          <cell r="A1967">
            <v>95020215</v>
          </cell>
          <cell r="B1967" t="str">
            <v>두카트215000_교역</v>
          </cell>
        </row>
        <row r="1968">
          <cell r="A1968">
            <v>95020216</v>
          </cell>
          <cell r="B1968" t="str">
            <v>두카트216000_교역</v>
          </cell>
        </row>
        <row r="1969">
          <cell r="A1969">
            <v>95020217</v>
          </cell>
          <cell r="B1969" t="str">
            <v>두카트217000_교역</v>
          </cell>
        </row>
        <row r="1970">
          <cell r="A1970">
            <v>95020218</v>
          </cell>
          <cell r="B1970" t="str">
            <v>두카트218000_교역</v>
          </cell>
        </row>
        <row r="1971">
          <cell r="A1971">
            <v>95020219</v>
          </cell>
          <cell r="B1971" t="str">
            <v>두카트219000_교역</v>
          </cell>
        </row>
        <row r="1972">
          <cell r="A1972">
            <v>95020220</v>
          </cell>
          <cell r="B1972" t="str">
            <v>두카트220000_교역</v>
          </cell>
        </row>
        <row r="1973">
          <cell r="A1973">
            <v>95020221</v>
          </cell>
          <cell r="B1973" t="str">
            <v>두카트221000_교역</v>
          </cell>
        </row>
        <row r="1974">
          <cell r="A1974">
            <v>95020222</v>
          </cell>
          <cell r="B1974" t="str">
            <v>두카트222000_교역</v>
          </cell>
        </row>
        <row r="1975">
          <cell r="A1975">
            <v>95020223</v>
          </cell>
          <cell r="B1975" t="str">
            <v>두카트223000_교역</v>
          </cell>
        </row>
        <row r="1976">
          <cell r="A1976">
            <v>95020224</v>
          </cell>
          <cell r="B1976" t="str">
            <v>두카트224000_교역</v>
          </cell>
        </row>
        <row r="1977">
          <cell r="A1977">
            <v>95020225</v>
          </cell>
          <cell r="B1977" t="str">
            <v>두카트225000_교역</v>
          </cell>
        </row>
        <row r="1978">
          <cell r="A1978">
            <v>95020226</v>
          </cell>
          <cell r="B1978" t="str">
            <v>두카트226000_교역</v>
          </cell>
        </row>
        <row r="1979">
          <cell r="A1979">
            <v>95020227</v>
          </cell>
          <cell r="B1979" t="str">
            <v>두카트227000_교역</v>
          </cell>
        </row>
        <row r="1980">
          <cell r="A1980">
            <v>95020228</v>
          </cell>
          <cell r="B1980" t="str">
            <v>두카트228000_교역</v>
          </cell>
        </row>
        <row r="1981">
          <cell r="A1981">
            <v>95020229</v>
          </cell>
          <cell r="B1981" t="str">
            <v>두카트229000_교역</v>
          </cell>
        </row>
        <row r="1982">
          <cell r="A1982">
            <v>95020230</v>
          </cell>
          <cell r="B1982" t="str">
            <v>두카트230000_교역</v>
          </cell>
        </row>
        <row r="1983">
          <cell r="A1983">
            <v>95020231</v>
          </cell>
          <cell r="B1983" t="str">
            <v>두카트231000_교역</v>
          </cell>
        </row>
        <row r="1984">
          <cell r="A1984">
            <v>95020232</v>
          </cell>
          <cell r="B1984" t="str">
            <v>두카트232000_교역</v>
          </cell>
        </row>
        <row r="1985">
          <cell r="A1985">
            <v>95020233</v>
          </cell>
          <cell r="B1985" t="str">
            <v>두카트233000_교역</v>
          </cell>
        </row>
        <row r="1986">
          <cell r="A1986">
            <v>95020234</v>
          </cell>
          <cell r="B1986" t="str">
            <v>두카트234000_교역</v>
          </cell>
        </row>
        <row r="1987">
          <cell r="A1987">
            <v>95020235</v>
          </cell>
          <cell r="B1987" t="str">
            <v>두카트235000_교역</v>
          </cell>
        </row>
        <row r="1988">
          <cell r="A1988">
            <v>95020236</v>
          </cell>
          <cell r="B1988" t="str">
            <v>두카트236000_교역</v>
          </cell>
        </row>
        <row r="1989">
          <cell r="A1989">
            <v>95020237</v>
          </cell>
          <cell r="B1989" t="str">
            <v>두카트237000_교역</v>
          </cell>
        </row>
        <row r="1990">
          <cell r="A1990">
            <v>95020238</v>
          </cell>
          <cell r="B1990" t="str">
            <v>두카트238000_교역</v>
          </cell>
        </row>
        <row r="1991">
          <cell r="A1991">
            <v>95020239</v>
          </cell>
          <cell r="B1991" t="str">
            <v>두카트239000_교역</v>
          </cell>
        </row>
        <row r="1992">
          <cell r="A1992">
            <v>95020240</v>
          </cell>
          <cell r="B1992" t="str">
            <v>두카트240000_교역</v>
          </cell>
        </row>
        <row r="1993">
          <cell r="A1993">
            <v>95020241</v>
          </cell>
          <cell r="B1993" t="str">
            <v>두카트241000_교역</v>
          </cell>
        </row>
        <row r="1994">
          <cell r="A1994">
            <v>95020242</v>
          </cell>
          <cell r="B1994" t="str">
            <v>두카트242000_교역</v>
          </cell>
        </row>
        <row r="1995">
          <cell r="A1995">
            <v>95020243</v>
          </cell>
          <cell r="B1995" t="str">
            <v>두카트243000_교역</v>
          </cell>
        </row>
        <row r="1996">
          <cell r="A1996">
            <v>95020244</v>
          </cell>
          <cell r="B1996" t="str">
            <v>두카트244000_교역</v>
          </cell>
        </row>
        <row r="1997">
          <cell r="A1997">
            <v>95020245</v>
          </cell>
          <cell r="B1997" t="str">
            <v>두카트245000_교역</v>
          </cell>
        </row>
        <row r="1998">
          <cell r="A1998">
            <v>95020246</v>
          </cell>
          <cell r="B1998" t="str">
            <v>두카트246000_교역</v>
          </cell>
        </row>
        <row r="1999">
          <cell r="A1999">
            <v>95020247</v>
          </cell>
          <cell r="B1999" t="str">
            <v>두카트247000_교역</v>
          </cell>
        </row>
        <row r="2000">
          <cell r="A2000">
            <v>95020248</v>
          </cell>
          <cell r="B2000" t="str">
            <v>두카트248000_교역</v>
          </cell>
        </row>
        <row r="2001">
          <cell r="A2001">
            <v>95020249</v>
          </cell>
          <cell r="B2001" t="str">
            <v>두카트249000_교역</v>
          </cell>
        </row>
        <row r="2002">
          <cell r="A2002">
            <v>95020250</v>
          </cell>
          <cell r="B2002" t="str">
            <v>두카트250000_교역</v>
          </cell>
        </row>
        <row r="2003">
          <cell r="A2003">
            <v>95020251</v>
          </cell>
          <cell r="B2003" t="str">
            <v>두카트251000_교역</v>
          </cell>
        </row>
        <row r="2004">
          <cell r="A2004">
            <v>95020252</v>
          </cell>
          <cell r="B2004" t="str">
            <v>두카트252000_교역</v>
          </cell>
        </row>
        <row r="2005">
          <cell r="A2005">
            <v>95020253</v>
          </cell>
          <cell r="B2005" t="str">
            <v>두카트253000_교역</v>
          </cell>
        </row>
        <row r="2006">
          <cell r="A2006">
            <v>95020254</v>
          </cell>
          <cell r="B2006" t="str">
            <v>두카트254000_교역</v>
          </cell>
        </row>
        <row r="2007">
          <cell r="A2007">
            <v>95020255</v>
          </cell>
          <cell r="B2007" t="str">
            <v>두카트255000_교역</v>
          </cell>
        </row>
        <row r="2008">
          <cell r="A2008">
            <v>95020256</v>
          </cell>
          <cell r="B2008" t="str">
            <v>두카트256000_교역</v>
          </cell>
        </row>
        <row r="2009">
          <cell r="A2009">
            <v>95020257</v>
          </cell>
          <cell r="B2009" t="str">
            <v>두카트257000_교역</v>
          </cell>
        </row>
        <row r="2010">
          <cell r="A2010">
            <v>95020258</v>
          </cell>
          <cell r="B2010" t="str">
            <v>두카트258000_교역</v>
          </cell>
        </row>
        <row r="2011">
          <cell r="A2011">
            <v>95020259</v>
          </cell>
          <cell r="B2011" t="str">
            <v>두카트259000_교역</v>
          </cell>
        </row>
        <row r="2012">
          <cell r="A2012">
            <v>95020260</v>
          </cell>
          <cell r="B2012" t="str">
            <v>두카트260000_교역</v>
          </cell>
        </row>
        <row r="2013">
          <cell r="A2013">
            <v>95020261</v>
          </cell>
          <cell r="B2013" t="str">
            <v>두카트261000_교역</v>
          </cell>
        </row>
        <row r="2014">
          <cell r="A2014">
            <v>95020262</v>
          </cell>
          <cell r="B2014" t="str">
            <v>두카트262000_교역</v>
          </cell>
        </row>
        <row r="2015">
          <cell r="A2015">
            <v>95020263</v>
          </cell>
          <cell r="B2015" t="str">
            <v>두카트263000_교역</v>
          </cell>
        </row>
        <row r="2016">
          <cell r="A2016">
            <v>95020264</v>
          </cell>
          <cell r="B2016" t="str">
            <v>두카트264000_교역</v>
          </cell>
        </row>
        <row r="2017">
          <cell r="A2017">
            <v>95020265</v>
          </cell>
          <cell r="B2017" t="str">
            <v>두카트265000_교역</v>
          </cell>
        </row>
        <row r="2018">
          <cell r="A2018">
            <v>95020266</v>
          </cell>
          <cell r="B2018" t="str">
            <v>두카트266000_교역</v>
          </cell>
        </row>
        <row r="2019">
          <cell r="A2019">
            <v>95020267</v>
          </cell>
          <cell r="B2019" t="str">
            <v>두카트267000_교역</v>
          </cell>
        </row>
        <row r="2020">
          <cell r="A2020">
            <v>95020268</v>
          </cell>
          <cell r="B2020" t="str">
            <v>두카트268000_교역</v>
          </cell>
        </row>
        <row r="2021">
          <cell r="A2021">
            <v>95020269</v>
          </cell>
          <cell r="B2021" t="str">
            <v>두카트269000_교역</v>
          </cell>
        </row>
        <row r="2022">
          <cell r="A2022">
            <v>95020270</v>
          </cell>
          <cell r="B2022" t="str">
            <v>두카트270000_교역</v>
          </cell>
        </row>
        <row r="2023">
          <cell r="A2023">
            <v>95020271</v>
          </cell>
          <cell r="B2023" t="str">
            <v>두카트271000_교역</v>
          </cell>
        </row>
        <row r="2024">
          <cell r="A2024">
            <v>95020272</v>
          </cell>
          <cell r="B2024" t="str">
            <v>두카트272000_교역</v>
          </cell>
        </row>
        <row r="2025">
          <cell r="A2025">
            <v>95020273</v>
          </cell>
          <cell r="B2025" t="str">
            <v>두카트273000_교역</v>
          </cell>
        </row>
        <row r="2026">
          <cell r="A2026">
            <v>95020274</v>
          </cell>
          <cell r="B2026" t="str">
            <v>두카트274000_교역</v>
          </cell>
        </row>
        <row r="2027">
          <cell r="A2027">
            <v>95020275</v>
          </cell>
          <cell r="B2027" t="str">
            <v>두카트275000_교역</v>
          </cell>
        </row>
        <row r="2028">
          <cell r="A2028">
            <v>95020276</v>
          </cell>
          <cell r="B2028" t="str">
            <v>두카트276000_교역</v>
          </cell>
        </row>
        <row r="2029">
          <cell r="A2029">
            <v>95020277</v>
          </cell>
          <cell r="B2029" t="str">
            <v>두카트277000_교역</v>
          </cell>
        </row>
        <row r="2030">
          <cell r="A2030">
            <v>95020278</v>
          </cell>
          <cell r="B2030" t="str">
            <v>두카트278000_교역</v>
          </cell>
        </row>
        <row r="2031">
          <cell r="A2031">
            <v>95020279</v>
          </cell>
          <cell r="B2031" t="str">
            <v>두카트279000_교역</v>
          </cell>
        </row>
        <row r="2032">
          <cell r="A2032">
            <v>95020280</v>
          </cell>
          <cell r="B2032" t="str">
            <v>두카트280000_교역</v>
          </cell>
        </row>
        <row r="2033">
          <cell r="A2033">
            <v>95020281</v>
          </cell>
          <cell r="B2033" t="str">
            <v>두카트281000_교역</v>
          </cell>
        </row>
        <row r="2034">
          <cell r="A2034">
            <v>95020282</v>
          </cell>
          <cell r="B2034" t="str">
            <v>두카트282000_교역</v>
          </cell>
        </row>
        <row r="2035">
          <cell r="A2035">
            <v>95020283</v>
          </cell>
          <cell r="B2035" t="str">
            <v>두카트283000_교역</v>
          </cell>
        </row>
        <row r="2036">
          <cell r="A2036">
            <v>95020284</v>
          </cell>
          <cell r="B2036" t="str">
            <v>두카트284000_교역</v>
          </cell>
        </row>
        <row r="2037">
          <cell r="A2037">
            <v>95020285</v>
          </cell>
          <cell r="B2037" t="str">
            <v>두카트285000_교역</v>
          </cell>
        </row>
        <row r="2038">
          <cell r="A2038">
            <v>95020286</v>
          </cell>
          <cell r="B2038" t="str">
            <v>두카트286000_교역</v>
          </cell>
        </row>
        <row r="2039">
          <cell r="A2039">
            <v>95020287</v>
          </cell>
          <cell r="B2039" t="str">
            <v>두카트287000_교역</v>
          </cell>
        </row>
        <row r="2040">
          <cell r="A2040">
            <v>95020288</v>
          </cell>
          <cell r="B2040" t="str">
            <v>두카트288000_교역</v>
          </cell>
        </row>
        <row r="2041">
          <cell r="A2041">
            <v>95020289</v>
          </cell>
          <cell r="B2041" t="str">
            <v>두카트289000_교역</v>
          </cell>
        </row>
        <row r="2042">
          <cell r="A2042">
            <v>95020290</v>
          </cell>
          <cell r="B2042" t="str">
            <v>두카트290000_교역</v>
          </cell>
        </row>
        <row r="2043">
          <cell r="A2043">
            <v>95020291</v>
          </cell>
          <cell r="B2043" t="str">
            <v>두카트291000_교역</v>
          </cell>
        </row>
        <row r="2044">
          <cell r="A2044">
            <v>95020292</v>
          </cell>
          <cell r="B2044" t="str">
            <v>두카트292000_교역</v>
          </cell>
        </row>
        <row r="2045">
          <cell r="A2045">
            <v>95020293</v>
          </cell>
          <cell r="B2045" t="str">
            <v>두카트293000_교역</v>
          </cell>
        </row>
        <row r="2046">
          <cell r="A2046">
            <v>95020294</v>
          </cell>
          <cell r="B2046" t="str">
            <v>두카트294000_교역</v>
          </cell>
        </row>
        <row r="2047">
          <cell r="A2047">
            <v>95020295</v>
          </cell>
          <cell r="B2047" t="str">
            <v>두카트295000_교역</v>
          </cell>
        </row>
        <row r="2048">
          <cell r="A2048">
            <v>95020296</v>
          </cell>
          <cell r="B2048" t="str">
            <v>두카트296000_교역</v>
          </cell>
        </row>
        <row r="2049">
          <cell r="A2049">
            <v>95020297</v>
          </cell>
          <cell r="B2049" t="str">
            <v>두카트297000_교역</v>
          </cell>
        </row>
        <row r="2050">
          <cell r="A2050">
            <v>95020298</v>
          </cell>
          <cell r="B2050" t="str">
            <v>두카트298000_교역</v>
          </cell>
        </row>
        <row r="2051">
          <cell r="A2051">
            <v>95020299</v>
          </cell>
          <cell r="B2051" t="str">
            <v>두카트299000_교역</v>
          </cell>
        </row>
        <row r="2052">
          <cell r="A2052">
            <v>95020300</v>
          </cell>
          <cell r="B2052" t="str">
            <v>두카트300000_교역</v>
          </cell>
        </row>
        <row r="2053">
          <cell r="A2053">
            <v>95020301</v>
          </cell>
          <cell r="B2053" t="str">
            <v>두카트301000_교역</v>
          </cell>
        </row>
        <row r="2054">
          <cell r="A2054">
            <v>95020302</v>
          </cell>
          <cell r="B2054" t="str">
            <v>두카트302000_교역</v>
          </cell>
        </row>
        <row r="2055">
          <cell r="A2055">
            <v>95020303</v>
          </cell>
          <cell r="B2055" t="str">
            <v>두카트303000_교역</v>
          </cell>
        </row>
        <row r="2056">
          <cell r="A2056">
            <v>95020304</v>
          </cell>
          <cell r="B2056" t="str">
            <v>두카트304000_교역</v>
          </cell>
        </row>
        <row r="2057">
          <cell r="A2057">
            <v>95020305</v>
          </cell>
          <cell r="B2057" t="str">
            <v>두카트305000_교역</v>
          </cell>
        </row>
        <row r="2058">
          <cell r="A2058">
            <v>95020306</v>
          </cell>
          <cell r="B2058" t="str">
            <v>두카트306000_교역</v>
          </cell>
        </row>
        <row r="2059">
          <cell r="A2059">
            <v>95020307</v>
          </cell>
          <cell r="B2059" t="str">
            <v>두카트307000_교역</v>
          </cell>
        </row>
        <row r="2060">
          <cell r="A2060">
            <v>95020308</v>
          </cell>
          <cell r="B2060" t="str">
            <v>두카트308000_교역</v>
          </cell>
        </row>
        <row r="2061">
          <cell r="A2061">
            <v>95020309</v>
          </cell>
          <cell r="B2061" t="str">
            <v>두카트309000_교역</v>
          </cell>
        </row>
        <row r="2062">
          <cell r="A2062">
            <v>95020310</v>
          </cell>
          <cell r="B2062" t="str">
            <v>두카트310000_교역</v>
          </cell>
        </row>
        <row r="2063">
          <cell r="A2063">
            <v>95020311</v>
          </cell>
          <cell r="B2063" t="str">
            <v>두카트311000_교역</v>
          </cell>
        </row>
        <row r="2064">
          <cell r="A2064">
            <v>95020312</v>
          </cell>
          <cell r="B2064" t="str">
            <v>두카트312000_교역</v>
          </cell>
        </row>
        <row r="2065">
          <cell r="A2065">
            <v>95020313</v>
          </cell>
          <cell r="B2065" t="str">
            <v>두카트313000_교역</v>
          </cell>
        </row>
        <row r="2066">
          <cell r="A2066">
            <v>95020314</v>
          </cell>
          <cell r="B2066" t="str">
            <v>두카트314000_교역</v>
          </cell>
        </row>
        <row r="2067">
          <cell r="A2067">
            <v>95020315</v>
          </cell>
          <cell r="B2067" t="str">
            <v>두카트315000_교역</v>
          </cell>
        </row>
        <row r="2068">
          <cell r="A2068">
            <v>95020316</v>
          </cell>
          <cell r="B2068" t="str">
            <v>두카트316000_교역</v>
          </cell>
        </row>
        <row r="2069">
          <cell r="A2069">
            <v>95020317</v>
          </cell>
          <cell r="B2069" t="str">
            <v>두카트317000_교역</v>
          </cell>
        </row>
        <row r="2070">
          <cell r="A2070">
            <v>95020318</v>
          </cell>
          <cell r="B2070" t="str">
            <v>두카트318000_교역</v>
          </cell>
        </row>
        <row r="2071">
          <cell r="A2071">
            <v>95020319</v>
          </cell>
          <cell r="B2071" t="str">
            <v>두카트319000_교역</v>
          </cell>
        </row>
        <row r="2072">
          <cell r="A2072">
            <v>95020320</v>
          </cell>
          <cell r="B2072" t="str">
            <v>두카트320000_교역</v>
          </cell>
        </row>
        <row r="2073">
          <cell r="A2073">
            <v>95020321</v>
          </cell>
          <cell r="B2073" t="str">
            <v>두카트321000_교역</v>
          </cell>
        </row>
        <row r="2074">
          <cell r="A2074">
            <v>95020322</v>
          </cell>
          <cell r="B2074" t="str">
            <v>두카트322000_교역</v>
          </cell>
        </row>
        <row r="2075">
          <cell r="A2075">
            <v>95020323</v>
          </cell>
          <cell r="B2075" t="str">
            <v>두카트323000_교역</v>
          </cell>
        </row>
        <row r="2076">
          <cell r="A2076">
            <v>95020324</v>
          </cell>
          <cell r="B2076" t="str">
            <v>두카트324000_교역</v>
          </cell>
        </row>
        <row r="2077">
          <cell r="A2077">
            <v>95020325</v>
          </cell>
          <cell r="B2077" t="str">
            <v>두카트325000_교역</v>
          </cell>
        </row>
        <row r="2078">
          <cell r="A2078">
            <v>95020326</v>
          </cell>
          <cell r="B2078" t="str">
            <v>두카트326000_교역</v>
          </cell>
        </row>
        <row r="2079">
          <cell r="A2079">
            <v>95020327</v>
          </cell>
          <cell r="B2079" t="str">
            <v>두카트327000_교역</v>
          </cell>
        </row>
        <row r="2080">
          <cell r="A2080">
            <v>95020328</v>
          </cell>
          <cell r="B2080" t="str">
            <v>두카트328000_교역</v>
          </cell>
        </row>
        <row r="2081">
          <cell r="A2081">
            <v>95020329</v>
          </cell>
          <cell r="B2081" t="str">
            <v>두카트329000_교역</v>
          </cell>
        </row>
        <row r="2082">
          <cell r="A2082">
            <v>95020330</v>
          </cell>
          <cell r="B2082" t="str">
            <v>두카트330000_교역</v>
          </cell>
        </row>
        <row r="2083">
          <cell r="A2083">
            <v>95020331</v>
          </cell>
          <cell r="B2083" t="str">
            <v>두카트331000_교역</v>
          </cell>
        </row>
        <row r="2084">
          <cell r="A2084">
            <v>95020332</v>
          </cell>
          <cell r="B2084" t="str">
            <v>두카트332000_교역</v>
          </cell>
        </row>
        <row r="2085">
          <cell r="A2085">
            <v>95020333</v>
          </cell>
          <cell r="B2085" t="str">
            <v>두카트333000_교역</v>
          </cell>
        </row>
        <row r="2086">
          <cell r="A2086">
            <v>95020334</v>
          </cell>
          <cell r="B2086" t="str">
            <v>두카트334000_교역</v>
          </cell>
        </row>
        <row r="2087">
          <cell r="A2087">
            <v>95020335</v>
          </cell>
          <cell r="B2087" t="str">
            <v>두카트335000_교역</v>
          </cell>
        </row>
        <row r="2088">
          <cell r="A2088">
            <v>95020336</v>
          </cell>
          <cell r="B2088" t="str">
            <v>두카트336000_교역</v>
          </cell>
        </row>
        <row r="2089">
          <cell r="A2089">
            <v>95020337</v>
          </cell>
          <cell r="B2089" t="str">
            <v>두카트337000_교역</v>
          </cell>
        </row>
        <row r="2090">
          <cell r="A2090">
            <v>95020338</v>
          </cell>
          <cell r="B2090" t="str">
            <v>두카트338000_교역</v>
          </cell>
        </row>
        <row r="2091">
          <cell r="A2091">
            <v>95020339</v>
          </cell>
          <cell r="B2091" t="str">
            <v>두카트339000_교역</v>
          </cell>
        </row>
        <row r="2092">
          <cell r="A2092">
            <v>95020340</v>
          </cell>
          <cell r="B2092" t="str">
            <v>두카트340000_교역</v>
          </cell>
        </row>
        <row r="2093">
          <cell r="A2093">
            <v>95020341</v>
          </cell>
          <cell r="B2093" t="str">
            <v>두카트341000_교역</v>
          </cell>
        </row>
        <row r="2094">
          <cell r="A2094">
            <v>95020342</v>
          </cell>
          <cell r="B2094" t="str">
            <v>두카트342000_교역</v>
          </cell>
        </row>
        <row r="2095">
          <cell r="A2095">
            <v>95020343</v>
          </cell>
          <cell r="B2095" t="str">
            <v>두카트343000_교역</v>
          </cell>
        </row>
        <row r="2096">
          <cell r="A2096">
            <v>95020344</v>
          </cell>
          <cell r="B2096" t="str">
            <v>두카트344000_교역</v>
          </cell>
        </row>
        <row r="2097">
          <cell r="A2097">
            <v>95020345</v>
          </cell>
          <cell r="B2097" t="str">
            <v>두카트345000_교역</v>
          </cell>
        </row>
        <row r="2098">
          <cell r="A2098">
            <v>95020346</v>
          </cell>
          <cell r="B2098" t="str">
            <v>두카트346000_교역</v>
          </cell>
        </row>
        <row r="2099">
          <cell r="A2099">
            <v>95020347</v>
          </cell>
          <cell r="B2099" t="str">
            <v>두카트347000_교역</v>
          </cell>
        </row>
        <row r="2100">
          <cell r="A2100">
            <v>95020348</v>
          </cell>
          <cell r="B2100" t="str">
            <v>두카트348000_교역</v>
          </cell>
        </row>
        <row r="2101">
          <cell r="A2101">
            <v>95020349</v>
          </cell>
          <cell r="B2101" t="str">
            <v>두카트349000_교역</v>
          </cell>
        </row>
        <row r="2102">
          <cell r="A2102">
            <v>95020350</v>
          </cell>
          <cell r="B2102" t="str">
            <v>두카트350000_교역</v>
          </cell>
        </row>
        <row r="2103">
          <cell r="A2103">
            <v>95020351</v>
          </cell>
          <cell r="B2103" t="str">
            <v>두카트351000_교역</v>
          </cell>
        </row>
        <row r="2104">
          <cell r="A2104">
            <v>95020352</v>
          </cell>
          <cell r="B2104" t="str">
            <v>두카트352000_교역</v>
          </cell>
        </row>
        <row r="2105">
          <cell r="A2105">
            <v>95020353</v>
          </cell>
          <cell r="B2105" t="str">
            <v>두카트353000_교역</v>
          </cell>
        </row>
        <row r="2106">
          <cell r="A2106">
            <v>95020354</v>
          </cell>
          <cell r="B2106" t="str">
            <v>두카트354000_교역</v>
          </cell>
        </row>
        <row r="2107">
          <cell r="A2107">
            <v>95020355</v>
          </cell>
          <cell r="B2107" t="str">
            <v>두카트355000_교역</v>
          </cell>
        </row>
        <row r="2108">
          <cell r="A2108">
            <v>95020356</v>
          </cell>
          <cell r="B2108" t="str">
            <v>두카트356000_교역</v>
          </cell>
        </row>
        <row r="2109">
          <cell r="A2109">
            <v>95020357</v>
          </cell>
          <cell r="B2109" t="str">
            <v>두카트357000_교역</v>
          </cell>
        </row>
        <row r="2110">
          <cell r="A2110">
            <v>95020358</v>
          </cell>
          <cell r="B2110" t="str">
            <v>두카트358000_교역</v>
          </cell>
        </row>
        <row r="2111">
          <cell r="A2111">
            <v>95020359</v>
          </cell>
          <cell r="B2111" t="str">
            <v>두카트359000_교역</v>
          </cell>
        </row>
        <row r="2112">
          <cell r="A2112">
            <v>95020360</v>
          </cell>
          <cell r="B2112" t="str">
            <v>두카트360000_교역</v>
          </cell>
        </row>
        <row r="2113">
          <cell r="A2113">
            <v>95020361</v>
          </cell>
          <cell r="B2113" t="str">
            <v>두카트361000_교역</v>
          </cell>
        </row>
        <row r="2114">
          <cell r="A2114">
            <v>95020362</v>
          </cell>
          <cell r="B2114" t="str">
            <v>두카트362000_교역</v>
          </cell>
        </row>
        <row r="2115">
          <cell r="A2115">
            <v>95020363</v>
          </cell>
          <cell r="B2115" t="str">
            <v>두카트363000_교역</v>
          </cell>
        </row>
        <row r="2116">
          <cell r="A2116">
            <v>95020364</v>
          </cell>
          <cell r="B2116" t="str">
            <v>두카트364000_교역</v>
          </cell>
        </row>
        <row r="2117">
          <cell r="A2117">
            <v>95020365</v>
          </cell>
          <cell r="B2117" t="str">
            <v>두카트365000_교역</v>
          </cell>
        </row>
        <row r="2118">
          <cell r="A2118">
            <v>95020366</v>
          </cell>
          <cell r="B2118" t="str">
            <v>두카트366000_교역</v>
          </cell>
        </row>
        <row r="2119">
          <cell r="A2119">
            <v>95020367</v>
          </cell>
          <cell r="B2119" t="str">
            <v>두카트367000_교역</v>
          </cell>
        </row>
        <row r="2120">
          <cell r="A2120">
            <v>95020368</v>
          </cell>
          <cell r="B2120" t="str">
            <v>두카트368000_교역</v>
          </cell>
        </row>
        <row r="2121">
          <cell r="A2121">
            <v>95020369</v>
          </cell>
          <cell r="B2121" t="str">
            <v>두카트369000_교역</v>
          </cell>
        </row>
        <row r="2122">
          <cell r="A2122">
            <v>95020370</v>
          </cell>
          <cell r="B2122" t="str">
            <v>두카트370000_교역</v>
          </cell>
        </row>
        <row r="2123">
          <cell r="A2123">
            <v>95020371</v>
          </cell>
          <cell r="B2123" t="str">
            <v>두카트371000_교역</v>
          </cell>
        </row>
        <row r="2124">
          <cell r="A2124">
            <v>95020372</v>
          </cell>
          <cell r="B2124" t="str">
            <v>두카트372000_교역</v>
          </cell>
        </row>
        <row r="2125">
          <cell r="A2125">
            <v>95020373</v>
          </cell>
          <cell r="B2125" t="str">
            <v>두카트373000_교역</v>
          </cell>
        </row>
        <row r="2126">
          <cell r="A2126">
            <v>95020374</v>
          </cell>
          <cell r="B2126" t="str">
            <v>두카트374000_교역</v>
          </cell>
        </row>
        <row r="2127">
          <cell r="A2127">
            <v>95020375</v>
          </cell>
          <cell r="B2127" t="str">
            <v>두카트375000_교역</v>
          </cell>
        </row>
        <row r="2128">
          <cell r="A2128">
            <v>95020376</v>
          </cell>
          <cell r="B2128" t="str">
            <v>두카트376000_교역</v>
          </cell>
        </row>
        <row r="2129">
          <cell r="A2129">
            <v>95020377</v>
          </cell>
          <cell r="B2129" t="str">
            <v>두카트377000_교역</v>
          </cell>
        </row>
        <row r="2130">
          <cell r="A2130">
            <v>95020378</v>
          </cell>
          <cell r="B2130" t="str">
            <v>두카트378000_교역</v>
          </cell>
        </row>
        <row r="2131">
          <cell r="A2131">
            <v>95020379</v>
          </cell>
          <cell r="B2131" t="str">
            <v>두카트379000_교역</v>
          </cell>
        </row>
        <row r="2132">
          <cell r="A2132">
            <v>95020380</v>
          </cell>
          <cell r="B2132" t="str">
            <v>두카트380000_교역</v>
          </cell>
        </row>
        <row r="2133">
          <cell r="A2133">
            <v>95020381</v>
          </cell>
          <cell r="B2133" t="str">
            <v>두카트381000_교역</v>
          </cell>
        </row>
        <row r="2134">
          <cell r="A2134">
            <v>95020382</v>
          </cell>
          <cell r="B2134" t="str">
            <v>두카트382000_교역</v>
          </cell>
        </row>
        <row r="2135">
          <cell r="A2135">
            <v>95020383</v>
          </cell>
          <cell r="B2135" t="str">
            <v>두카트383000_교역</v>
          </cell>
        </row>
        <row r="2136">
          <cell r="A2136">
            <v>95020384</v>
          </cell>
          <cell r="B2136" t="str">
            <v>두카트384000_교역</v>
          </cell>
        </row>
        <row r="2137">
          <cell r="A2137">
            <v>95020385</v>
          </cell>
          <cell r="B2137" t="str">
            <v>두카트385000_교역</v>
          </cell>
        </row>
        <row r="2138">
          <cell r="A2138">
            <v>95020386</v>
          </cell>
          <cell r="B2138" t="str">
            <v>두카트386000_교역</v>
          </cell>
        </row>
        <row r="2139">
          <cell r="A2139">
            <v>95020387</v>
          </cell>
          <cell r="B2139" t="str">
            <v>두카트387000_교역</v>
          </cell>
        </row>
        <row r="2140">
          <cell r="A2140">
            <v>95020388</v>
          </cell>
          <cell r="B2140" t="str">
            <v>두카트388000_교역</v>
          </cell>
        </row>
        <row r="2141">
          <cell r="A2141">
            <v>95020389</v>
          </cell>
          <cell r="B2141" t="str">
            <v>두카트389000_교역</v>
          </cell>
        </row>
        <row r="2142">
          <cell r="A2142">
            <v>95020390</v>
          </cell>
          <cell r="B2142" t="str">
            <v>두카트390000_교역</v>
          </cell>
        </row>
        <row r="2143">
          <cell r="A2143">
            <v>95020391</v>
          </cell>
          <cell r="B2143" t="str">
            <v>두카트391000_교역</v>
          </cell>
        </row>
        <row r="2144">
          <cell r="A2144">
            <v>95020392</v>
          </cell>
          <cell r="B2144" t="str">
            <v>두카트392000_교역</v>
          </cell>
        </row>
        <row r="2145">
          <cell r="A2145">
            <v>95020393</v>
          </cell>
          <cell r="B2145" t="str">
            <v>두카트393000_교역</v>
          </cell>
        </row>
        <row r="2146">
          <cell r="A2146">
            <v>95020394</v>
          </cell>
          <cell r="B2146" t="str">
            <v>두카트394000_교역</v>
          </cell>
        </row>
        <row r="2147">
          <cell r="A2147">
            <v>95020395</v>
          </cell>
          <cell r="B2147" t="str">
            <v>두카트395000_교역</v>
          </cell>
        </row>
        <row r="2148">
          <cell r="A2148">
            <v>95020396</v>
          </cell>
          <cell r="B2148" t="str">
            <v>두카트396000_교역</v>
          </cell>
        </row>
        <row r="2149">
          <cell r="A2149">
            <v>95020397</v>
          </cell>
          <cell r="B2149" t="str">
            <v>두카트397000_교역</v>
          </cell>
        </row>
        <row r="2150">
          <cell r="A2150">
            <v>95020398</v>
          </cell>
          <cell r="B2150" t="str">
            <v>두카트398000_교역</v>
          </cell>
        </row>
        <row r="2151">
          <cell r="A2151">
            <v>95020399</v>
          </cell>
          <cell r="B2151" t="str">
            <v>두카트399000_교역</v>
          </cell>
        </row>
        <row r="2152">
          <cell r="A2152">
            <v>95020400</v>
          </cell>
          <cell r="B2152" t="str">
            <v>두카트400000_교역</v>
          </cell>
        </row>
        <row r="2153">
          <cell r="A2153">
            <v>95020401</v>
          </cell>
          <cell r="B2153" t="str">
            <v>두카트401000_교역</v>
          </cell>
        </row>
        <row r="2154">
          <cell r="A2154">
            <v>95020402</v>
          </cell>
          <cell r="B2154" t="str">
            <v>두카트402000_교역</v>
          </cell>
        </row>
        <row r="2155">
          <cell r="A2155">
            <v>95020403</v>
          </cell>
          <cell r="B2155" t="str">
            <v>두카트403000_교역</v>
          </cell>
        </row>
        <row r="2156">
          <cell r="A2156">
            <v>95020404</v>
          </cell>
          <cell r="B2156" t="str">
            <v>두카트404000_교역</v>
          </cell>
        </row>
        <row r="2157">
          <cell r="A2157">
            <v>95020405</v>
          </cell>
          <cell r="B2157" t="str">
            <v>두카트405000_교역</v>
          </cell>
        </row>
        <row r="2158">
          <cell r="A2158">
            <v>95020406</v>
          </cell>
          <cell r="B2158" t="str">
            <v>두카트406000_교역</v>
          </cell>
        </row>
        <row r="2159">
          <cell r="A2159">
            <v>95020407</v>
          </cell>
          <cell r="B2159" t="str">
            <v>두카트407000_교역</v>
          </cell>
        </row>
        <row r="2160">
          <cell r="A2160">
            <v>95020408</v>
          </cell>
          <cell r="B2160" t="str">
            <v>두카트408000_교역</v>
          </cell>
        </row>
        <row r="2161">
          <cell r="A2161">
            <v>95020409</v>
          </cell>
          <cell r="B2161" t="str">
            <v>두카트409000_교역</v>
          </cell>
        </row>
        <row r="2162">
          <cell r="A2162">
            <v>95020410</v>
          </cell>
          <cell r="B2162" t="str">
            <v>두카트410000_교역</v>
          </cell>
        </row>
        <row r="2163">
          <cell r="A2163">
            <v>95020411</v>
          </cell>
          <cell r="B2163" t="str">
            <v>두카트411000_교역</v>
          </cell>
        </row>
        <row r="2164">
          <cell r="A2164">
            <v>95020412</v>
          </cell>
          <cell r="B2164" t="str">
            <v>두카트412000_교역</v>
          </cell>
        </row>
        <row r="2165">
          <cell r="A2165">
            <v>95020413</v>
          </cell>
          <cell r="B2165" t="str">
            <v>두카트413000_교역</v>
          </cell>
        </row>
        <row r="2166">
          <cell r="A2166">
            <v>95020414</v>
          </cell>
          <cell r="B2166" t="str">
            <v>두카트414000_교역</v>
          </cell>
        </row>
        <row r="2167">
          <cell r="A2167">
            <v>95020415</v>
          </cell>
          <cell r="B2167" t="str">
            <v>두카트415000_교역</v>
          </cell>
        </row>
        <row r="2168">
          <cell r="A2168">
            <v>95020416</v>
          </cell>
          <cell r="B2168" t="str">
            <v>두카트416000_교역</v>
          </cell>
        </row>
        <row r="2169">
          <cell r="A2169">
            <v>95020417</v>
          </cell>
          <cell r="B2169" t="str">
            <v>두카트417000_교역</v>
          </cell>
        </row>
        <row r="2170">
          <cell r="A2170">
            <v>95020418</v>
          </cell>
          <cell r="B2170" t="str">
            <v>두카트418000_교역</v>
          </cell>
        </row>
        <row r="2171">
          <cell r="A2171">
            <v>95020419</v>
          </cell>
          <cell r="B2171" t="str">
            <v>두카트419000_교역</v>
          </cell>
        </row>
        <row r="2172">
          <cell r="A2172">
            <v>95020420</v>
          </cell>
          <cell r="B2172" t="str">
            <v>두카트420000_교역</v>
          </cell>
        </row>
        <row r="2173">
          <cell r="A2173">
            <v>95020421</v>
          </cell>
          <cell r="B2173" t="str">
            <v>두카트421000_교역</v>
          </cell>
        </row>
        <row r="2174">
          <cell r="A2174">
            <v>95020422</v>
          </cell>
          <cell r="B2174" t="str">
            <v>두카트422000_교역</v>
          </cell>
        </row>
        <row r="2175">
          <cell r="A2175">
            <v>95020423</v>
          </cell>
          <cell r="B2175" t="str">
            <v>두카트423000_교역</v>
          </cell>
        </row>
        <row r="2176">
          <cell r="A2176">
            <v>95020424</v>
          </cell>
          <cell r="B2176" t="str">
            <v>두카트424000_교역</v>
          </cell>
        </row>
        <row r="2177">
          <cell r="A2177">
            <v>95020425</v>
          </cell>
          <cell r="B2177" t="str">
            <v>두카트425000_교역</v>
          </cell>
        </row>
        <row r="2178">
          <cell r="A2178">
            <v>95020426</v>
          </cell>
          <cell r="B2178" t="str">
            <v>두카트426000_교역</v>
          </cell>
        </row>
        <row r="2179">
          <cell r="A2179">
            <v>95020427</v>
          </cell>
          <cell r="B2179" t="str">
            <v>두카트427000_교역</v>
          </cell>
        </row>
        <row r="2180">
          <cell r="A2180">
            <v>95020428</v>
          </cell>
          <cell r="B2180" t="str">
            <v>두카트428000_교역</v>
          </cell>
        </row>
        <row r="2181">
          <cell r="A2181">
            <v>95020429</v>
          </cell>
          <cell r="B2181" t="str">
            <v>두카트429000_교역</v>
          </cell>
        </row>
        <row r="2182">
          <cell r="A2182">
            <v>95020430</v>
          </cell>
          <cell r="B2182" t="str">
            <v>두카트430000_교역</v>
          </cell>
        </row>
        <row r="2183">
          <cell r="A2183">
            <v>95020431</v>
          </cell>
          <cell r="B2183" t="str">
            <v>두카트431000_교역</v>
          </cell>
        </row>
        <row r="2184">
          <cell r="A2184">
            <v>95020432</v>
          </cell>
          <cell r="B2184" t="str">
            <v>두카트432000_교역</v>
          </cell>
        </row>
        <row r="2185">
          <cell r="A2185">
            <v>95020433</v>
          </cell>
          <cell r="B2185" t="str">
            <v>두카트433000_교역</v>
          </cell>
        </row>
        <row r="2186">
          <cell r="A2186">
            <v>95020434</v>
          </cell>
          <cell r="B2186" t="str">
            <v>두카트434000_교역</v>
          </cell>
        </row>
        <row r="2187">
          <cell r="A2187">
            <v>95020435</v>
          </cell>
          <cell r="B2187" t="str">
            <v>두카트435000_교역</v>
          </cell>
        </row>
        <row r="2188">
          <cell r="A2188">
            <v>95020436</v>
          </cell>
          <cell r="B2188" t="str">
            <v>두카트436000_교역</v>
          </cell>
        </row>
        <row r="2189">
          <cell r="A2189">
            <v>95020437</v>
          </cell>
          <cell r="B2189" t="str">
            <v>두카트437000_교역</v>
          </cell>
        </row>
        <row r="2190">
          <cell r="A2190">
            <v>95020438</v>
          </cell>
          <cell r="B2190" t="str">
            <v>두카트438000_교역</v>
          </cell>
        </row>
        <row r="2191">
          <cell r="A2191">
            <v>95020439</v>
          </cell>
          <cell r="B2191" t="str">
            <v>두카트439000_교역</v>
          </cell>
        </row>
        <row r="2192">
          <cell r="A2192">
            <v>95020440</v>
          </cell>
          <cell r="B2192" t="str">
            <v>두카트440000_교역</v>
          </cell>
        </row>
        <row r="2193">
          <cell r="A2193">
            <v>95020441</v>
          </cell>
          <cell r="B2193" t="str">
            <v>두카트441000_교역</v>
          </cell>
        </row>
        <row r="2194">
          <cell r="A2194">
            <v>95020442</v>
          </cell>
          <cell r="B2194" t="str">
            <v>두카트442000_교역</v>
          </cell>
        </row>
        <row r="2195">
          <cell r="A2195">
            <v>95020443</v>
          </cell>
          <cell r="B2195" t="str">
            <v>두카트443000_교역</v>
          </cell>
        </row>
        <row r="2196">
          <cell r="A2196">
            <v>95020444</v>
          </cell>
          <cell r="B2196" t="str">
            <v>두카트444000_교역</v>
          </cell>
        </row>
        <row r="2197">
          <cell r="A2197">
            <v>95020445</v>
          </cell>
          <cell r="B2197" t="str">
            <v>두카트445000_교역</v>
          </cell>
        </row>
        <row r="2198">
          <cell r="A2198">
            <v>95020446</v>
          </cell>
          <cell r="B2198" t="str">
            <v>두카트446000_교역</v>
          </cell>
        </row>
        <row r="2199">
          <cell r="A2199">
            <v>95020447</v>
          </cell>
          <cell r="B2199" t="str">
            <v>두카트447000_교역</v>
          </cell>
        </row>
        <row r="2200">
          <cell r="A2200">
            <v>95020448</v>
          </cell>
          <cell r="B2200" t="str">
            <v>두카트448000_교역</v>
          </cell>
        </row>
        <row r="2201">
          <cell r="A2201">
            <v>95020449</v>
          </cell>
          <cell r="B2201" t="str">
            <v>두카트449000_교역</v>
          </cell>
        </row>
        <row r="2202">
          <cell r="A2202">
            <v>95020450</v>
          </cell>
          <cell r="B2202" t="str">
            <v>두카트450000_교역</v>
          </cell>
        </row>
        <row r="2203">
          <cell r="A2203">
            <v>95020451</v>
          </cell>
          <cell r="B2203" t="str">
            <v>두카트451000_교역</v>
          </cell>
        </row>
        <row r="2204">
          <cell r="A2204">
            <v>95020452</v>
          </cell>
          <cell r="B2204" t="str">
            <v>두카트452000_교역</v>
          </cell>
        </row>
        <row r="2205">
          <cell r="A2205">
            <v>95020453</v>
          </cell>
          <cell r="B2205" t="str">
            <v>두카트453000_교역</v>
          </cell>
        </row>
        <row r="2206">
          <cell r="A2206">
            <v>95020454</v>
          </cell>
          <cell r="B2206" t="str">
            <v>두카트454000_교역</v>
          </cell>
        </row>
        <row r="2207">
          <cell r="A2207">
            <v>95020455</v>
          </cell>
          <cell r="B2207" t="str">
            <v>두카트455000_교역</v>
          </cell>
        </row>
        <row r="2208">
          <cell r="A2208">
            <v>95020456</v>
          </cell>
          <cell r="B2208" t="str">
            <v>두카트456000_교역</v>
          </cell>
        </row>
        <row r="2209">
          <cell r="A2209">
            <v>95020457</v>
          </cell>
          <cell r="B2209" t="str">
            <v>두카트457000_교역</v>
          </cell>
        </row>
        <row r="2210">
          <cell r="A2210">
            <v>95020458</v>
          </cell>
          <cell r="B2210" t="str">
            <v>두카트458000_교역</v>
          </cell>
        </row>
        <row r="2211">
          <cell r="A2211">
            <v>95020459</v>
          </cell>
          <cell r="B2211" t="str">
            <v>두카트459000_교역</v>
          </cell>
        </row>
        <row r="2212">
          <cell r="A2212">
            <v>95020460</v>
          </cell>
          <cell r="B2212" t="str">
            <v>두카트460000_교역</v>
          </cell>
        </row>
        <row r="2213">
          <cell r="A2213">
            <v>95020461</v>
          </cell>
          <cell r="B2213" t="str">
            <v>두카트461000_교역</v>
          </cell>
        </row>
        <row r="2214">
          <cell r="A2214">
            <v>95020462</v>
          </cell>
          <cell r="B2214" t="str">
            <v>두카트462000_교역</v>
          </cell>
        </row>
        <row r="2215">
          <cell r="A2215">
            <v>95020463</v>
          </cell>
          <cell r="B2215" t="str">
            <v>두카트463000_교역</v>
          </cell>
        </row>
        <row r="2216">
          <cell r="A2216">
            <v>95020464</v>
          </cell>
          <cell r="B2216" t="str">
            <v>두카트464000_교역</v>
          </cell>
        </row>
        <row r="2217">
          <cell r="A2217">
            <v>95020465</v>
          </cell>
          <cell r="B2217" t="str">
            <v>두카트465000_교역</v>
          </cell>
        </row>
        <row r="2218">
          <cell r="A2218">
            <v>95020466</v>
          </cell>
          <cell r="B2218" t="str">
            <v>두카트466000_교역</v>
          </cell>
        </row>
        <row r="2219">
          <cell r="A2219">
            <v>95020467</v>
          </cell>
          <cell r="B2219" t="str">
            <v>두카트467000_교역</v>
          </cell>
        </row>
        <row r="2220">
          <cell r="A2220">
            <v>95020468</v>
          </cell>
          <cell r="B2220" t="str">
            <v>두카트468000_교역</v>
          </cell>
        </row>
        <row r="2221">
          <cell r="A2221">
            <v>95020469</v>
          </cell>
          <cell r="B2221" t="str">
            <v>두카트469000_교역</v>
          </cell>
        </row>
        <row r="2222">
          <cell r="A2222">
            <v>95020470</v>
          </cell>
          <cell r="B2222" t="str">
            <v>두카트470000_교역</v>
          </cell>
        </row>
        <row r="2223">
          <cell r="A2223">
            <v>95020471</v>
          </cell>
          <cell r="B2223" t="str">
            <v>두카트471000_교역</v>
          </cell>
        </row>
        <row r="2224">
          <cell r="A2224">
            <v>95020472</v>
          </cell>
          <cell r="B2224" t="str">
            <v>두카트472000_교역</v>
          </cell>
        </row>
        <row r="2225">
          <cell r="A2225">
            <v>95020473</v>
          </cell>
          <cell r="B2225" t="str">
            <v>두카트473000_교역</v>
          </cell>
        </row>
        <row r="2226">
          <cell r="A2226">
            <v>95020474</v>
          </cell>
          <cell r="B2226" t="str">
            <v>두카트474000_교역</v>
          </cell>
        </row>
        <row r="2227">
          <cell r="A2227">
            <v>95020475</v>
          </cell>
          <cell r="B2227" t="str">
            <v>두카트475000_교역</v>
          </cell>
        </row>
        <row r="2228">
          <cell r="A2228">
            <v>95020476</v>
          </cell>
          <cell r="B2228" t="str">
            <v>두카트476000_교역</v>
          </cell>
        </row>
        <row r="2229">
          <cell r="A2229">
            <v>95020477</v>
          </cell>
          <cell r="B2229" t="str">
            <v>두카트477000_교역</v>
          </cell>
        </row>
        <row r="2230">
          <cell r="A2230">
            <v>95020478</v>
          </cell>
          <cell r="B2230" t="str">
            <v>두카트478000_교역</v>
          </cell>
        </row>
        <row r="2231">
          <cell r="A2231">
            <v>95020479</v>
          </cell>
          <cell r="B2231" t="str">
            <v>두카트479000_교역</v>
          </cell>
        </row>
        <row r="2232">
          <cell r="A2232">
            <v>95020480</v>
          </cell>
          <cell r="B2232" t="str">
            <v>두카트480000_교역</v>
          </cell>
        </row>
        <row r="2233">
          <cell r="A2233">
            <v>95020481</v>
          </cell>
          <cell r="B2233" t="str">
            <v>두카트481000_교역</v>
          </cell>
        </row>
        <row r="2234">
          <cell r="A2234">
            <v>95020482</v>
          </cell>
          <cell r="B2234" t="str">
            <v>두카트482000_교역</v>
          </cell>
        </row>
        <row r="2235">
          <cell r="A2235">
            <v>95020483</v>
          </cell>
          <cell r="B2235" t="str">
            <v>두카트483000_교역</v>
          </cell>
        </row>
        <row r="2236">
          <cell r="A2236">
            <v>95020484</v>
          </cell>
          <cell r="B2236" t="str">
            <v>두카트484000_교역</v>
          </cell>
        </row>
        <row r="2237">
          <cell r="A2237">
            <v>95020485</v>
          </cell>
          <cell r="B2237" t="str">
            <v>두카트485000_교역</v>
          </cell>
        </row>
        <row r="2238">
          <cell r="A2238">
            <v>95020486</v>
          </cell>
          <cell r="B2238" t="str">
            <v>두카트486000_교역</v>
          </cell>
        </row>
        <row r="2239">
          <cell r="A2239">
            <v>95020487</v>
          </cell>
          <cell r="B2239" t="str">
            <v>두카트487000_교역</v>
          </cell>
        </row>
        <row r="2240">
          <cell r="A2240">
            <v>95020488</v>
          </cell>
          <cell r="B2240" t="str">
            <v>두카트488000_교역</v>
          </cell>
        </row>
        <row r="2241">
          <cell r="A2241">
            <v>95020489</v>
          </cell>
          <cell r="B2241" t="str">
            <v>두카트489000_교역</v>
          </cell>
        </row>
        <row r="2242">
          <cell r="A2242">
            <v>95020490</v>
          </cell>
          <cell r="B2242" t="str">
            <v>두카트490000_교역</v>
          </cell>
        </row>
        <row r="2243">
          <cell r="A2243">
            <v>95020491</v>
          </cell>
          <cell r="B2243" t="str">
            <v>두카트491000_교역</v>
          </cell>
        </row>
        <row r="2244">
          <cell r="A2244">
            <v>95020492</v>
          </cell>
          <cell r="B2244" t="str">
            <v>두카트492000_교역</v>
          </cell>
        </row>
        <row r="2245">
          <cell r="A2245">
            <v>95020493</v>
          </cell>
          <cell r="B2245" t="str">
            <v>두카트493000_교역</v>
          </cell>
        </row>
        <row r="2246">
          <cell r="A2246">
            <v>95020494</v>
          </cell>
          <cell r="B2246" t="str">
            <v>두카트494000_교역</v>
          </cell>
        </row>
        <row r="2247">
          <cell r="A2247">
            <v>95020495</v>
          </cell>
          <cell r="B2247" t="str">
            <v>두카트495000_교역</v>
          </cell>
        </row>
        <row r="2248">
          <cell r="A2248">
            <v>95020496</v>
          </cell>
          <cell r="B2248" t="str">
            <v>두카트496000_교역</v>
          </cell>
        </row>
        <row r="2249">
          <cell r="A2249">
            <v>95020497</v>
          </cell>
          <cell r="B2249" t="str">
            <v>두카트497000_교역</v>
          </cell>
        </row>
        <row r="2250">
          <cell r="A2250">
            <v>95020498</v>
          </cell>
          <cell r="B2250" t="str">
            <v>두카트498000_교역</v>
          </cell>
        </row>
        <row r="2251">
          <cell r="A2251">
            <v>95020499</v>
          </cell>
          <cell r="B2251" t="str">
            <v>두카트499000_교역</v>
          </cell>
        </row>
        <row r="2252">
          <cell r="A2252">
            <v>95020500</v>
          </cell>
          <cell r="B2252" t="str">
            <v>두카트500000_교역</v>
          </cell>
        </row>
        <row r="2253">
          <cell r="A2253">
            <v>95020501</v>
          </cell>
          <cell r="B2253" t="str">
            <v>두카트501000_교역</v>
          </cell>
        </row>
        <row r="2254">
          <cell r="A2254">
            <v>95020502</v>
          </cell>
          <cell r="B2254" t="str">
            <v>두카트502000_교역</v>
          </cell>
        </row>
        <row r="2255">
          <cell r="A2255">
            <v>95020503</v>
          </cell>
          <cell r="B2255" t="str">
            <v>두카트503000_교역</v>
          </cell>
        </row>
        <row r="2256">
          <cell r="A2256">
            <v>95020504</v>
          </cell>
          <cell r="B2256" t="str">
            <v>두카트504000_교역</v>
          </cell>
        </row>
        <row r="2257">
          <cell r="A2257">
            <v>95020505</v>
          </cell>
          <cell r="B2257" t="str">
            <v>두카트505000_교역</v>
          </cell>
        </row>
        <row r="2258">
          <cell r="A2258">
            <v>95020506</v>
          </cell>
          <cell r="B2258" t="str">
            <v>두카트506000_교역</v>
          </cell>
        </row>
        <row r="2259">
          <cell r="A2259">
            <v>95020507</v>
          </cell>
          <cell r="B2259" t="str">
            <v>두카트507000_교역</v>
          </cell>
        </row>
        <row r="2260">
          <cell r="A2260">
            <v>95020508</v>
          </cell>
          <cell r="B2260" t="str">
            <v>두카트508000_교역</v>
          </cell>
        </row>
        <row r="2261">
          <cell r="A2261">
            <v>95020509</v>
          </cell>
          <cell r="B2261" t="str">
            <v>두카트509000_교역</v>
          </cell>
        </row>
        <row r="2262">
          <cell r="A2262">
            <v>95020510</v>
          </cell>
          <cell r="B2262" t="str">
            <v>두카트510000_교역</v>
          </cell>
        </row>
        <row r="2263">
          <cell r="A2263">
            <v>95020511</v>
          </cell>
          <cell r="B2263" t="str">
            <v>두카트511000_교역</v>
          </cell>
        </row>
        <row r="2264">
          <cell r="A2264">
            <v>95020512</v>
          </cell>
          <cell r="B2264" t="str">
            <v>두카트512000_교역</v>
          </cell>
        </row>
        <row r="2265">
          <cell r="A2265">
            <v>95020513</v>
          </cell>
          <cell r="B2265" t="str">
            <v>두카트513000_교역</v>
          </cell>
        </row>
        <row r="2266">
          <cell r="A2266">
            <v>95020514</v>
          </cell>
          <cell r="B2266" t="str">
            <v>두카트514000_교역</v>
          </cell>
        </row>
        <row r="2267">
          <cell r="A2267">
            <v>95020515</v>
          </cell>
          <cell r="B2267" t="str">
            <v>두카트515000_교역</v>
          </cell>
        </row>
        <row r="2268">
          <cell r="A2268">
            <v>95020516</v>
          </cell>
          <cell r="B2268" t="str">
            <v>두카트516000_교역</v>
          </cell>
        </row>
        <row r="2269">
          <cell r="A2269">
            <v>95020517</v>
          </cell>
          <cell r="B2269" t="str">
            <v>두카트517000_교역</v>
          </cell>
        </row>
        <row r="2270">
          <cell r="A2270">
            <v>95020518</v>
          </cell>
          <cell r="B2270" t="str">
            <v>두카트518000_교역</v>
          </cell>
        </row>
        <row r="2271">
          <cell r="A2271">
            <v>95020519</v>
          </cell>
          <cell r="B2271" t="str">
            <v>두카트519000_교역</v>
          </cell>
        </row>
        <row r="2272">
          <cell r="A2272">
            <v>95020520</v>
          </cell>
          <cell r="B2272" t="str">
            <v>두카트520000_교역</v>
          </cell>
        </row>
        <row r="2273">
          <cell r="A2273">
            <v>95020521</v>
          </cell>
          <cell r="B2273" t="str">
            <v>두카트521000_교역</v>
          </cell>
        </row>
        <row r="2274">
          <cell r="A2274">
            <v>95020522</v>
          </cell>
          <cell r="B2274" t="str">
            <v>두카트522000_교역</v>
          </cell>
        </row>
        <row r="2275">
          <cell r="A2275">
            <v>95020523</v>
          </cell>
          <cell r="B2275" t="str">
            <v>두카트523000_교역</v>
          </cell>
        </row>
        <row r="2276">
          <cell r="A2276">
            <v>95020524</v>
          </cell>
          <cell r="B2276" t="str">
            <v>두카트524000_교역</v>
          </cell>
        </row>
        <row r="2277">
          <cell r="A2277">
            <v>95020525</v>
          </cell>
          <cell r="B2277" t="str">
            <v>두카트525000_교역</v>
          </cell>
        </row>
        <row r="2278">
          <cell r="A2278">
            <v>95020526</v>
          </cell>
          <cell r="B2278" t="str">
            <v>두카트526000_교역</v>
          </cell>
        </row>
        <row r="2279">
          <cell r="A2279">
            <v>95020527</v>
          </cell>
          <cell r="B2279" t="str">
            <v>두카트527000_교역</v>
          </cell>
        </row>
        <row r="2280">
          <cell r="A2280">
            <v>95020528</v>
          </cell>
          <cell r="B2280" t="str">
            <v>두카트528000_교역</v>
          </cell>
        </row>
        <row r="2281">
          <cell r="A2281">
            <v>95020529</v>
          </cell>
          <cell r="B2281" t="str">
            <v>두카트529000_교역</v>
          </cell>
        </row>
        <row r="2282">
          <cell r="A2282">
            <v>95020530</v>
          </cell>
          <cell r="B2282" t="str">
            <v>두카트530000_교역</v>
          </cell>
        </row>
        <row r="2283">
          <cell r="A2283">
            <v>95020531</v>
          </cell>
          <cell r="B2283" t="str">
            <v>두카트531000_교역</v>
          </cell>
        </row>
        <row r="2284">
          <cell r="A2284">
            <v>95020532</v>
          </cell>
          <cell r="B2284" t="str">
            <v>두카트532000_교역</v>
          </cell>
        </row>
        <row r="2285">
          <cell r="A2285">
            <v>95020533</v>
          </cell>
          <cell r="B2285" t="str">
            <v>두카트533000_교역</v>
          </cell>
        </row>
        <row r="2286">
          <cell r="A2286">
            <v>95020534</v>
          </cell>
          <cell r="B2286" t="str">
            <v>두카트534000_교역</v>
          </cell>
        </row>
        <row r="2287">
          <cell r="A2287">
            <v>95020535</v>
          </cell>
          <cell r="B2287" t="str">
            <v>두카트535000_교역</v>
          </cell>
        </row>
        <row r="2288">
          <cell r="A2288">
            <v>95020536</v>
          </cell>
          <cell r="B2288" t="str">
            <v>두카트536000_교역</v>
          </cell>
        </row>
        <row r="2289">
          <cell r="A2289">
            <v>95020537</v>
          </cell>
          <cell r="B2289" t="str">
            <v>두카트537000_교역</v>
          </cell>
        </row>
        <row r="2290">
          <cell r="A2290">
            <v>95020538</v>
          </cell>
          <cell r="B2290" t="str">
            <v>두카트538000_교역</v>
          </cell>
        </row>
        <row r="2291">
          <cell r="A2291">
            <v>95020539</v>
          </cell>
          <cell r="B2291" t="str">
            <v>두카트539000_교역</v>
          </cell>
        </row>
        <row r="2292">
          <cell r="A2292">
            <v>95020540</v>
          </cell>
          <cell r="B2292" t="str">
            <v>두카트540000_교역</v>
          </cell>
        </row>
        <row r="2293">
          <cell r="A2293">
            <v>95020541</v>
          </cell>
          <cell r="B2293" t="str">
            <v>두카트541000_교역</v>
          </cell>
        </row>
        <row r="2294">
          <cell r="A2294">
            <v>95020542</v>
          </cell>
          <cell r="B2294" t="str">
            <v>두카트542000_교역</v>
          </cell>
        </row>
        <row r="2295">
          <cell r="A2295">
            <v>95020543</v>
          </cell>
          <cell r="B2295" t="str">
            <v>두카트543000_교역</v>
          </cell>
        </row>
        <row r="2296">
          <cell r="A2296">
            <v>95020544</v>
          </cell>
          <cell r="B2296" t="str">
            <v>두카트544000_교역</v>
          </cell>
        </row>
        <row r="2297">
          <cell r="A2297">
            <v>95020545</v>
          </cell>
          <cell r="B2297" t="str">
            <v>두카트545000_교역</v>
          </cell>
        </row>
        <row r="2298">
          <cell r="A2298">
            <v>95020546</v>
          </cell>
          <cell r="B2298" t="str">
            <v>두카트546000_교역</v>
          </cell>
        </row>
        <row r="2299">
          <cell r="A2299">
            <v>95020547</v>
          </cell>
          <cell r="B2299" t="str">
            <v>두카트547000_교역</v>
          </cell>
        </row>
        <row r="2300">
          <cell r="A2300">
            <v>95020548</v>
          </cell>
          <cell r="B2300" t="str">
            <v>두카트548000_교역</v>
          </cell>
        </row>
        <row r="2301">
          <cell r="A2301">
            <v>95020549</v>
          </cell>
          <cell r="B2301" t="str">
            <v>두카트549000_교역</v>
          </cell>
        </row>
        <row r="2302">
          <cell r="A2302">
            <v>95020550</v>
          </cell>
          <cell r="B2302" t="str">
            <v>두카트550000_교역</v>
          </cell>
        </row>
        <row r="2303">
          <cell r="A2303">
            <v>95020551</v>
          </cell>
          <cell r="B2303" t="str">
            <v>두카트551000_교역</v>
          </cell>
        </row>
        <row r="2304">
          <cell r="A2304">
            <v>95020552</v>
          </cell>
          <cell r="B2304" t="str">
            <v>두카트552000_교역</v>
          </cell>
        </row>
        <row r="2305">
          <cell r="A2305">
            <v>95020553</v>
          </cell>
          <cell r="B2305" t="str">
            <v>두카트553000_교역</v>
          </cell>
        </row>
        <row r="2306">
          <cell r="A2306">
            <v>95020554</v>
          </cell>
          <cell r="B2306" t="str">
            <v>두카트554000_교역</v>
          </cell>
        </row>
        <row r="2307">
          <cell r="A2307">
            <v>95020555</v>
          </cell>
          <cell r="B2307" t="str">
            <v>두카트555000_교역</v>
          </cell>
        </row>
        <row r="2308">
          <cell r="A2308">
            <v>95020556</v>
          </cell>
          <cell r="B2308" t="str">
            <v>두카트556000_교역</v>
          </cell>
        </row>
        <row r="2309">
          <cell r="A2309">
            <v>95020557</v>
          </cell>
          <cell r="B2309" t="str">
            <v>두카트557000_교역</v>
          </cell>
        </row>
        <row r="2310">
          <cell r="A2310">
            <v>95020558</v>
          </cell>
          <cell r="B2310" t="str">
            <v>두카트558000_교역</v>
          </cell>
        </row>
        <row r="2311">
          <cell r="A2311">
            <v>95020559</v>
          </cell>
          <cell r="B2311" t="str">
            <v>두카트559000_교역</v>
          </cell>
        </row>
        <row r="2312">
          <cell r="A2312">
            <v>95020560</v>
          </cell>
          <cell r="B2312" t="str">
            <v>두카트560000_교역</v>
          </cell>
        </row>
        <row r="2313">
          <cell r="A2313">
            <v>95020561</v>
          </cell>
          <cell r="B2313" t="str">
            <v>두카트561000_교역</v>
          </cell>
        </row>
        <row r="2314">
          <cell r="A2314">
            <v>95020562</v>
          </cell>
          <cell r="B2314" t="str">
            <v>두카트562000_교역</v>
          </cell>
        </row>
        <row r="2315">
          <cell r="A2315">
            <v>95020563</v>
          </cell>
          <cell r="B2315" t="str">
            <v>두카트563000_교역</v>
          </cell>
        </row>
        <row r="2316">
          <cell r="A2316">
            <v>95020564</v>
          </cell>
          <cell r="B2316" t="str">
            <v>두카트564000_교역</v>
          </cell>
        </row>
        <row r="2317">
          <cell r="A2317">
            <v>95020565</v>
          </cell>
          <cell r="B2317" t="str">
            <v>두카트565000_교역</v>
          </cell>
        </row>
        <row r="2318">
          <cell r="A2318">
            <v>95020566</v>
          </cell>
          <cell r="B2318" t="str">
            <v>두카트566000_교역</v>
          </cell>
        </row>
        <row r="2319">
          <cell r="A2319">
            <v>95020567</v>
          </cell>
          <cell r="B2319" t="str">
            <v>두카트567000_교역</v>
          </cell>
        </row>
        <row r="2320">
          <cell r="A2320">
            <v>95020568</v>
          </cell>
          <cell r="B2320" t="str">
            <v>두카트568000_교역</v>
          </cell>
        </row>
        <row r="2321">
          <cell r="A2321">
            <v>95020569</v>
          </cell>
          <cell r="B2321" t="str">
            <v>두카트569000_교역</v>
          </cell>
        </row>
        <row r="2322">
          <cell r="A2322">
            <v>95020570</v>
          </cell>
          <cell r="B2322" t="str">
            <v>두카트570000_교역</v>
          </cell>
        </row>
        <row r="2323">
          <cell r="A2323">
            <v>95020571</v>
          </cell>
          <cell r="B2323" t="str">
            <v>두카트571000_교역</v>
          </cell>
        </row>
        <row r="2324">
          <cell r="A2324">
            <v>95020572</v>
          </cell>
          <cell r="B2324" t="str">
            <v>두카트572000_교역</v>
          </cell>
        </row>
        <row r="2325">
          <cell r="A2325">
            <v>95020573</v>
          </cell>
          <cell r="B2325" t="str">
            <v>두카트573000_교역</v>
          </cell>
        </row>
        <row r="2326">
          <cell r="A2326">
            <v>95020574</v>
          </cell>
          <cell r="B2326" t="str">
            <v>두카트574000_교역</v>
          </cell>
        </row>
        <row r="2327">
          <cell r="A2327">
            <v>95020575</v>
          </cell>
          <cell r="B2327" t="str">
            <v>두카트575000_교역</v>
          </cell>
        </row>
        <row r="2328">
          <cell r="A2328">
            <v>95020576</v>
          </cell>
          <cell r="B2328" t="str">
            <v>두카트576000_교역</v>
          </cell>
        </row>
        <row r="2329">
          <cell r="A2329">
            <v>95020577</v>
          </cell>
          <cell r="B2329" t="str">
            <v>두카트577000_교역</v>
          </cell>
        </row>
        <row r="2330">
          <cell r="A2330">
            <v>95020578</v>
          </cell>
          <cell r="B2330" t="str">
            <v>두카트578000_교역</v>
          </cell>
        </row>
        <row r="2331">
          <cell r="A2331">
            <v>95020579</v>
          </cell>
          <cell r="B2331" t="str">
            <v>두카트579000_교역</v>
          </cell>
        </row>
        <row r="2332">
          <cell r="A2332">
            <v>95020580</v>
          </cell>
          <cell r="B2332" t="str">
            <v>두카트580000_교역</v>
          </cell>
        </row>
        <row r="2333">
          <cell r="A2333">
            <v>95020581</v>
          </cell>
          <cell r="B2333" t="str">
            <v>두카트581000_교역</v>
          </cell>
        </row>
        <row r="2334">
          <cell r="A2334">
            <v>95020582</v>
          </cell>
          <cell r="B2334" t="str">
            <v>두카트582000_교역</v>
          </cell>
        </row>
        <row r="2335">
          <cell r="A2335">
            <v>95020583</v>
          </cell>
          <cell r="B2335" t="str">
            <v>두카트583000_교역</v>
          </cell>
        </row>
        <row r="2336">
          <cell r="A2336">
            <v>95020584</v>
          </cell>
          <cell r="B2336" t="str">
            <v>두카트584000_교역</v>
          </cell>
        </row>
        <row r="2337">
          <cell r="A2337">
            <v>95020585</v>
          </cell>
          <cell r="B2337" t="str">
            <v>두카트585000_교역</v>
          </cell>
        </row>
        <row r="2338">
          <cell r="A2338">
            <v>95020586</v>
          </cell>
          <cell r="B2338" t="str">
            <v>두카트586000_교역</v>
          </cell>
        </row>
        <row r="2339">
          <cell r="A2339">
            <v>95020587</v>
          </cell>
          <cell r="B2339" t="str">
            <v>두카트587000_교역</v>
          </cell>
        </row>
        <row r="2340">
          <cell r="A2340">
            <v>95020588</v>
          </cell>
          <cell r="B2340" t="str">
            <v>두카트588000_교역</v>
          </cell>
        </row>
        <row r="2341">
          <cell r="A2341">
            <v>95020589</v>
          </cell>
          <cell r="B2341" t="str">
            <v>두카트589000_교역</v>
          </cell>
        </row>
        <row r="2342">
          <cell r="A2342">
            <v>95020590</v>
          </cell>
          <cell r="B2342" t="str">
            <v>두카트590000_교역</v>
          </cell>
        </row>
        <row r="2343">
          <cell r="A2343">
            <v>95020591</v>
          </cell>
          <cell r="B2343" t="str">
            <v>두카트591000_교역</v>
          </cell>
        </row>
        <row r="2344">
          <cell r="A2344">
            <v>95020592</v>
          </cell>
          <cell r="B2344" t="str">
            <v>두카트592000_교역</v>
          </cell>
        </row>
        <row r="2345">
          <cell r="A2345">
            <v>95020593</v>
          </cell>
          <cell r="B2345" t="str">
            <v>두카트593000_교역</v>
          </cell>
        </row>
        <row r="2346">
          <cell r="A2346">
            <v>95020594</v>
          </cell>
          <cell r="B2346" t="str">
            <v>두카트594000_교역</v>
          </cell>
        </row>
        <row r="2347">
          <cell r="A2347">
            <v>95020595</v>
          </cell>
          <cell r="B2347" t="str">
            <v>두카트595000_교역</v>
          </cell>
        </row>
        <row r="2348">
          <cell r="A2348">
            <v>95020596</v>
          </cell>
          <cell r="B2348" t="str">
            <v>두카트596000_교역</v>
          </cell>
        </row>
        <row r="2349">
          <cell r="A2349">
            <v>95020597</v>
          </cell>
          <cell r="B2349" t="str">
            <v>두카트597000_교역</v>
          </cell>
        </row>
        <row r="2350">
          <cell r="A2350">
            <v>95020598</v>
          </cell>
          <cell r="B2350" t="str">
            <v>두카트598000_교역</v>
          </cell>
        </row>
        <row r="2351">
          <cell r="A2351">
            <v>95020599</v>
          </cell>
          <cell r="B2351" t="str">
            <v>두카트599000_교역</v>
          </cell>
        </row>
        <row r="2352">
          <cell r="A2352">
            <v>95020600</v>
          </cell>
          <cell r="B2352" t="str">
            <v>두카트600000_교역</v>
          </cell>
        </row>
        <row r="2353">
          <cell r="A2353">
            <v>95020601</v>
          </cell>
          <cell r="B2353" t="str">
            <v>두카트601000_교역</v>
          </cell>
        </row>
        <row r="2354">
          <cell r="A2354">
            <v>95020602</v>
          </cell>
          <cell r="B2354" t="str">
            <v>두카트602000_교역</v>
          </cell>
        </row>
        <row r="2355">
          <cell r="A2355">
            <v>95020603</v>
          </cell>
          <cell r="B2355" t="str">
            <v>두카트603000_교역</v>
          </cell>
        </row>
        <row r="2356">
          <cell r="A2356">
            <v>95020604</v>
          </cell>
          <cell r="B2356" t="str">
            <v>두카트604000_교역</v>
          </cell>
        </row>
        <row r="2357">
          <cell r="A2357">
            <v>95020605</v>
          </cell>
          <cell r="B2357" t="str">
            <v>두카트605000_교역</v>
          </cell>
        </row>
        <row r="2358">
          <cell r="A2358">
            <v>95020606</v>
          </cell>
          <cell r="B2358" t="str">
            <v>두카트606000_교역</v>
          </cell>
        </row>
        <row r="2359">
          <cell r="A2359">
            <v>95020607</v>
          </cell>
          <cell r="B2359" t="str">
            <v>두카트607000_교역</v>
          </cell>
        </row>
        <row r="2360">
          <cell r="A2360">
            <v>95020608</v>
          </cell>
          <cell r="B2360" t="str">
            <v>두카트608000_교역</v>
          </cell>
        </row>
        <row r="2361">
          <cell r="A2361">
            <v>95020609</v>
          </cell>
          <cell r="B2361" t="str">
            <v>두카트609000_교역</v>
          </cell>
        </row>
        <row r="2362">
          <cell r="A2362">
            <v>95020610</v>
          </cell>
          <cell r="B2362" t="str">
            <v>두카트610000_교역</v>
          </cell>
        </row>
        <row r="2363">
          <cell r="A2363">
            <v>95020611</v>
          </cell>
          <cell r="B2363" t="str">
            <v>두카트611000_교역</v>
          </cell>
        </row>
        <row r="2364">
          <cell r="A2364">
            <v>95020612</v>
          </cell>
          <cell r="B2364" t="str">
            <v>두카트612000_교역</v>
          </cell>
        </row>
        <row r="2365">
          <cell r="A2365">
            <v>95020613</v>
          </cell>
          <cell r="B2365" t="str">
            <v>두카트613000_교역</v>
          </cell>
        </row>
        <row r="2366">
          <cell r="A2366">
            <v>95020614</v>
          </cell>
          <cell r="B2366" t="str">
            <v>두카트614000_교역</v>
          </cell>
        </row>
        <row r="2367">
          <cell r="A2367">
            <v>95020615</v>
          </cell>
          <cell r="B2367" t="str">
            <v>두카트615000_교역</v>
          </cell>
        </row>
        <row r="2368">
          <cell r="A2368">
            <v>95020616</v>
          </cell>
          <cell r="B2368" t="str">
            <v>두카트616000_교역</v>
          </cell>
        </row>
        <row r="2369">
          <cell r="A2369">
            <v>95020617</v>
          </cell>
          <cell r="B2369" t="str">
            <v>두카트617000_교역</v>
          </cell>
        </row>
        <row r="2370">
          <cell r="A2370">
            <v>95020618</v>
          </cell>
          <cell r="B2370" t="str">
            <v>두카트618000_교역</v>
          </cell>
        </row>
        <row r="2371">
          <cell r="A2371">
            <v>95020619</v>
          </cell>
          <cell r="B2371" t="str">
            <v>두카트619000_교역</v>
          </cell>
        </row>
        <row r="2372">
          <cell r="A2372">
            <v>95020620</v>
          </cell>
          <cell r="B2372" t="str">
            <v>두카트620000_교역</v>
          </cell>
        </row>
        <row r="2373">
          <cell r="A2373">
            <v>95020621</v>
          </cell>
          <cell r="B2373" t="str">
            <v>두카트621000_교역</v>
          </cell>
        </row>
        <row r="2374">
          <cell r="A2374">
            <v>95020622</v>
          </cell>
          <cell r="B2374" t="str">
            <v>두카트622000_교역</v>
          </cell>
        </row>
        <row r="2375">
          <cell r="A2375">
            <v>95020623</v>
          </cell>
          <cell r="B2375" t="str">
            <v>두카트623000_교역</v>
          </cell>
        </row>
        <row r="2376">
          <cell r="A2376">
            <v>95020624</v>
          </cell>
          <cell r="B2376" t="str">
            <v>두카트624000_교역</v>
          </cell>
        </row>
        <row r="2377">
          <cell r="A2377">
            <v>95020625</v>
          </cell>
          <cell r="B2377" t="str">
            <v>두카트625000_교역</v>
          </cell>
        </row>
        <row r="2378">
          <cell r="A2378">
            <v>95020626</v>
          </cell>
          <cell r="B2378" t="str">
            <v>두카트626000_교역</v>
          </cell>
        </row>
        <row r="2379">
          <cell r="A2379">
            <v>95020627</v>
          </cell>
          <cell r="B2379" t="str">
            <v>두카트627000_교역</v>
          </cell>
        </row>
        <row r="2380">
          <cell r="A2380">
            <v>95020628</v>
          </cell>
          <cell r="B2380" t="str">
            <v>두카트628000_교역</v>
          </cell>
        </row>
        <row r="2381">
          <cell r="A2381">
            <v>95020629</v>
          </cell>
          <cell r="B2381" t="str">
            <v>두카트629000_교역</v>
          </cell>
        </row>
        <row r="2382">
          <cell r="A2382">
            <v>95020630</v>
          </cell>
          <cell r="B2382" t="str">
            <v>두카트630000_교역</v>
          </cell>
        </row>
        <row r="2383">
          <cell r="A2383">
            <v>95020631</v>
          </cell>
          <cell r="B2383" t="str">
            <v>두카트631000_교역</v>
          </cell>
        </row>
        <row r="2384">
          <cell r="A2384">
            <v>95020632</v>
          </cell>
          <cell r="B2384" t="str">
            <v>두카트632000_교역</v>
          </cell>
        </row>
        <row r="2385">
          <cell r="A2385">
            <v>95020633</v>
          </cell>
          <cell r="B2385" t="str">
            <v>두카트633000_교역</v>
          </cell>
        </row>
        <row r="2386">
          <cell r="A2386">
            <v>95020634</v>
          </cell>
          <cell r="B2386" t="str">
            <v>두카트634000_교역</v>
          </cell>
        </row>
        <row r="2387">
          <cell r="A2387">
            <v>95020635</v>
          </cell>
          <cell r="B2387" t="str">
            <v>두카트635000_교역</v>
          </cell>
        </row>
        <row r="2388">
          <cell r="A2388">
            <v>95020636</v>
          </cell>
          <cell r="B2388" t="str">
            <v>두카트636000_교역</v>
          </cell>
        </row>
        <row r="2389">
          <cell r="A2389">
            <v>95020637</v>
          </cell>
          <cell r="B2389" t="str">
            <v>두카트637000_교역</v>
          </cell>
        </row>
        <row r="2390">
          <cell r="A2390">
            <v>95020638</v>
          </cell>
          <cell r="B2390" t="str">
            <v>두카트638000_교역</v>
          </cell>
        </row>
        <row r="2391">
          <cell r="A2391">
            <v>95020639</v>
          </cell>
          <cell r="B2391" t="str">
            <v>두카트639000_교역</v>
          </cell>
        </row>
        <row r="2392">
          <cell r="A2392">
            <v>95020640</v>
          </cell>
          <cell r="B2392" t="str">
            <v>두카트640000_교역</v>
          </cell>
        </row>
        <row r="2393">
          <cell r="A2393">
            <v>95020641</v>
          </cell>
          <cell r="B2393" t="str">
            <v>두카트641000_교역</v>
          </cell>
        </row>
        <row r="2394">
          <cell r="A2394">
            <v>95020642</v>
          </cell>
          <cell r="B2394" t="str">
            <v>두카트642000_교역</v>
          </cell>
        </row>
        <row r="2395">
          <cell r="A2395">
            <v>95020643</v>
          </cell>
          <cell r="B2395" t="str">
            <v>두카트643000_교역</v>
          </cell>
        </row>
        <row r="2396">
          <cell r="A2396">
            <v>95020644</v>
          </cell>
          <cell r="B2396" t="str">
            <v>두카트644000_교역</v>
          </cell>
        </row>
        <row r="2397">
          <cell r="A2397">
            <v>95020645</v>
          </cell>
          <cell r="B2397" t="str">
            <v>두카트645000_교역</v>
          </cell>
        </row>
        <row r="2398">
          <cell r="A2398">
            <v>95020646</v>
          </cell>
          <cell r="B2398" t="str">
            <v>두카트646000_교역</v>
          </cell>
        </row>
        <row r="2399">
          <cell r="A2399">
            <v>95020647</v>
          </cell>
          <cell r="B2399" t="str">
            <v>두카트647000_교역</v>
          </cell>
        </row>
        <row r="2400">
          <cell r="A2400">
            <v>95020648</v>
          </cell>
          <cell r="B2400" t="str">
            <v>두카트648000_교역</v>
          </cell>
        </row>
        <row r="2401">
          <cell r="A2401">
            <v>95020649</v>
          </cell>
          <cell r="B2401" t="str">
            <v>두카트649000_교역</v>
          </cell>
        </row>
        <row r="2402">
          <cell r="A2402">
            <v>95020650</v>
          </cell>
          <cell r="B2402" t="str">
            <v>두카트650000_교역</v>
          </cell>
        </row>
        <row r="2403">
          <cell r="A2403">
            <v>95020651</v>
          </cell>
          <cell r="B2403" t="str">
            <v>두카트651000_교역</v>
          </cell>
        </row>
        <row r="2404">
          <cell r="A2404">
            <v>95020652</v>
          </cell>
          <cell r="B2404" t="str">
            <v>두카트652000_교역</v>
          </cell>
        </row>
        <row r="2405">
          <cell r="A2405">
            <v>95020653</v>
          </cell>
          <cell r="B2405" t="str">
            <v>두카트653000_교역</v>
          </cell>
        </row>
        <row r="2406">
          <cell r="A2406">
            <v>95020654</v>
          </cell>
          <cell r="B2406" t="str">
            <v>두카트654000_교역</v>
          </cell>
        </row>
        <row r="2407">
          <cell r="A2407">
            <v>95020655</v>
          </cell>
          <cell r="B2407" t="str">
            <v>두카트655000_교역</v>
          </cell>
        </row>
        <row r="2408">
          <cell r="A2408">
            <v>95020656</v>
          </cell>
          <cell r="B2408" t="str">
            <v>두카트656000_교역</v>
          </cell>
        </row>
        <row r="2409">
          <cell r="A2409">
            <v>95020657</v>
          </cell>
          <cell r="B2409" t="str">
            <v>두카트657000_교역</v>
          </cell>
        </row>
        <row r="2410">
          <cell r="A2410">
            <v>95020658</v>
          </cell>
          <cell r="B2410" t="str">
            <v>두카트658000_교역</v>
          </cell>
        </row>
        <row r="2411">
          <cell r="A2411">
            <v>95020659</v>
          </cell>
          <cell r="B2411" t="str">
            <v>두카트659000_교역</v>
          </cell>
        </row>
        <row r="2412">
          <cell r="A2412">
            <v>95020660</v>
          </cell>
          <cell r="B2412" t="str">
            <v>두카트660000_교역</v>
          </cell>
        </row>
        <row r="2413">
          <cell r="A2413">
            <v>95020661</v>
          </cell>
          <cell r="B2413" t="str">
            <v>두카트661000_교역</v>
          </cell>
        </row>
        <row r="2414">
          <cell r="A2414">
            <v>95020662</v>
          </cell>
          <cell r="B2414" t="str">
            <v>두카트662000_교역</v>
          </cell>
        </row>
        <row r="2415">
          <cell r="A2415">
            <v>95020663</v>
          </cell>
          <cell r="B2415" t="str">
            <v>두카트663000_교역</v>
          </cell>
        </row>
        <row r="2416">
          <cell r="A2416">
            <v>95020664</v>
          </cell>
          <cell r="B2416" t="str">
            <v>두카트664000_교역</v>
          </cell>
        </row>
        <row r="2417">
          <cell r="A2417">
            <v>95020665</v>
          </cell>
          <cell r="B2417" t="str">
            <v>두카트665000_교역</v>
          </cell>
        </row>
        <row r="2418">
          <cell r="A2418">
            <v>95020666</v>
          </cell>
          <cell r="B2418" t="str">
            <v>두카트666000_교역</v>
          </cell>
        </row>
        <row r="2419">
          <cell r="A2419">
            <v>95020667</v>
          </cell>
          <cell r="B2419" t="str">
            <v>두카트667000_교역</v>
          </cell>
        </row>
        <row r="2420">
          <cell r="A2420">
            <v>95020668</v>
          </cell>
          <cell r="B2420" t="str">
            <v>두카트668000_교역</v>
          </cell>
        </row>
        <row r="2421">
          <cell r="A2421">
            <v>95020669</v>
          </cell>
          <cell r="B2421" t="str">
            <v>두카트669000_교역</v>
          </cell>
        </row>
        <row r="2422">
          <cell r="A2422">
            <v>95020670</v>
          </cell>
          <cell r="B2422" t="str">
            <v>두카트670000_교역</v>
          </cell>
        </row>
        <row r="2423">
          <cell r="A2423">
            <v>95020671</v>
          </cell>
          <cell r="B2423" t="str">
            <v>두카트671000_교역</v>
          </cell>
        </row>
        <row r="2424">
          <cell r="A2424">
            <v>95020672</v>
          </cell>
          <cell r="B2424" t="str">
            <v>두카트672000_교역</v>
          </cell>
        </row>
        <row r="2425">
          <cell r="A2425">
            <v>95020673</v>
          </cell>
          <cell r="B2425" t="str">
            <v>두카트673000_교역</v>
          </cell>
        </row>
        <row r="2426">
          <cell r="A2426">
            <v>95020674</v>
          </cell>
          <cell r="B2426" t="str">
            <v>두카트674000_교역</v>
          </cell>
        </row>
        <row r="2427">
          <cell r="A2427">
            <v>95020675</v>
          </cell>
          <cell r="B2427" t="str">
            <v>두카트675000_교역</v>
          </cell>
        </row>
        <row r="2428">
          <cell r="A2428">
            <v>95020676</v>
          </cell>
          <cell r="B2428" t="str">
            <v>두카트676000_교역</v>
          </cell>
        </row>
        <row r="2429">
          <cell r="A2429">
            <v>95020677</v>
          </cell>
          <cell r="B2429" t="str">
            <v>두카트677000_교역</v>
          </cell>
        </row>
        <row r="2430">
          <cell r="A2430">
            <v>95020678</v>
          </cell>
          <cell r="B2430" t="str">
            <v>두카트678000_교역</v>
          </cell>
        </row>
        <row r="2431">
          <cell r="A2431">
            <v>95020679</v>
          </cell>
          <cell r="B2431" t="str">
            <v>두카트679000_교역</v>
          </cell>
        </row>
        <row r="2432">
          <cell r="A2432">
            <v>95020680</v>
          </cell>
          <cell r="B2432" t="str">
            <v>두카트680000_교역</v>
          </cell>
        </row>
        <row r="2433">
          <cell r="A2433">
            <v>95020681</v>
          </cell>
          <cell r="B2433" t="str">
            <v>두카트681000_교역</v>
          </cell>
        </row>
        <row r="2434">
          <cell r="A2434">
            <v>95020682</v>
          </cell>
          <cell r="B2434" t="str">
            <v>두카트682000_교역</v>
          </cell>
        </row>
        <row r="2435">
          <cell r="A2435">
            <v>95020683</v>
          </cell>
          <cell r="B2435" t="str">
            <v>두카트683000_교역</v>
          </cell>
        </row>
        <row r="2436">
          <cell r="A2436">
            <v>95020684</v>
          </cell>
          <cell r="B2436" t="str">
            <v>두카트684000_교역</v>
          </cell>
        </row>
        <row r="2437">
          <cell r="A2437">
            <v>95020685</v>
          </cell>
          <cell r="B2437" t="str">
            <v>두카트685000_교역</v>
          </cell>
        </row>
        <row r="2438">
          <cell r="A2438">
            <v>95020686</v>
          </cell>
          <cell r="B2438" t="str">
            <v>두카트686000_교역</v>
          </cell>
        </row>
        <row r="2439">
          <cell r="A2439">
            <v>95020687</v>
          </cell>
          <cell r="B2439" t="str">
            <v>두카트687000_교역</v>
          </cell>
        </row>
        <row r="2440">
          <cell r="A2440">
            <v>95020688</v>
          </cell>
          <cell r="B2440" t="str">
            <v>두카트688000_교역</v>
          </cell>
        </row>
        <row r="2441">
          <cell r="A2441">
            <v>95020689</v>
          </cell>
          <cell r="B2441" t="str">
            <v>두카트689000_교역</v>
          </cell>
        </row>
        <row r="2442">
          <cell r="A2442">
            <v>95020690</v>
          </cell>
          <cell r="B2442" t="str">
            <v>두카트690000_교역</v>
          </cell>
        </row>
        <row r="2443">
          <cell r="A2443">
            <v>95020691</v>
          </cell>
          <cell r="B2443" t="str">
            <v>두카트691000_교역</v>
          </cell>
        </row>
        <row r="2444">
          <cell r="A2444">
            <v>95020692</v>
          </cell>
          <cell r="B2444" t="str">
            <v>두카트692000_교역</v>
          </cell>
        </row>
        <row r="2445">
          <cell r="A2445">
            <v>95020693</v>
          </cell>
          <cell r="B2445" t="str">
            <v>두카트693000_교역</v>
          </cell>
        </row>
        <row r="2446">
          <cell r="A2446">
            <v>95020694</v>
          </cell>
          <cell r="B2446" t="str">
            <v>두카트694000_교역</v>
          </cell>
        </row>
        <row r="2447">
          <cell r="A2447">
            <v>95020695</v>
          </cell>
          <cell r="B2447" t="str">
            <v>두카트695000_교역</v>
          </cell>
        </row>
        <row r="2448">
          <cell r="A2448">
            <v>95020696</v>
          </cell>
          <cell r="B2448" t="str">
            <v>두카트696000_교역</v>
          </cell>
        </row>
        <row r="2449">
          <cell r="A2449">
            <v>95020697</v>
          </cell>
          <cell r="B2449" t="str">
            <v>두카트697000_교역</v>
          </cell>
        </row>
        <row r="2450">
          <cell r="A2450">
            <v>95020698</v>
          </cell>
          <cell r="B2450" t="str">
            <v>두카트698000_교역</v>
          </cell>
        </row>
        <row r="2451">
          <cell r="A2451">
            <v>95020699</v>
          </cell>
          <cell r="B2451" t="str">
            <v>두카트699000_교역</v>
          </cell>
        </row>
        <row r="2452">
          <cell r="A2452">
            <v>95020700</v>
          </cell>
          <cell r="B2452" t="str">
            <v>두카트700000_교역</v>
          </cell>
        </row>
        <row r="2453">
          <cell r="A2453">
            <v>95030001</v>
          </cell>
          <cell r="B2453" t="str">
            <v>두카트1000_모험</v>
          </cell>
        </row>
        <row r="2454">
          <cell r="A2454">
            <v>95030002</v>
          </cell>
          <cell r="B2454" t="str">
            <v>두카트2000_모험</v>
          </cell>
        </row>
        <row r="2455">
          <cell r="A2455">
            <v>95030003</v>
          </cell>
          <cell r="B2455" t="str">
            <v>두카트3000_모험</v>
          </cell>
        </row>
        <row r="2456">
          <cell r="A2456">
            <v>95030004</v>
          </cell>
          <cell r="B2456" t="str">
            <v>두카트4000_모험</v>
          </cell>
        </row>
        <row r="2457">
          <cell r="A2457">
            <v>95030005</v>
          </cell>
          <cell r="B2457" t="str">
            <v>두카트5000_모험</v>
          </cell>
        </row>
        <row r="2458">
          <cell r="A2458">
            <v>95030006</v>
          </cell>
          <cell r="B2458" t="str">
            <v>두카트6000_모험</v>
          </cell>
        </row>
        <row r="2459">
          <cell r="A2459">
            <v>95030007</v>
          </cell>
          <cell r="B2459" t="str">
            <v>두카트7000_모험</v>
          </cell>
        </row>
        <row r="2460">
          <cell r="A2460">
            <v>95030008</v>
          </cell>
          <cell r="B2460" t="str">
            <v>두카트8000_모험</v>
          </cell>
        </row>
        <row r="2461">
          <cell r="A2461">
            <v>95030009</v>
          </cell>
          <cell r="B2461" t="str">
            <v>두카트9000_모험</v>
          </cell>
        </row>
        <row r="2462">
          <cell r="A2462">
            <v>95030010</v>
          </cell>
          <cell r="B2462" t="str">
            <v>두카트10000_모험</v>
          </cell>
        </row>
        <row r="2463">
          <cell r="A2463">
            <v>95030011</v>
          </cell>
          <cell r="B2463" t="str">
            <v>두카트11000_모험</v>
          </cell>
        </row>
        <row r="2464">
          <cell r="A2464">
            <v>95030012</v>
          </cell>
          <cell r="B2464" t="str">
            <v>두카트12000_모험</v>
          </cell>
        </row>
        <row r="2465">
          <cell r="A2465">
            <v>95030013</v>
          </cell>
          <cell r="B2465" t="str">
            <v>두카트13000_모험</v>
          </cell>
        </row>
        <row r="2466">
          <cell r="A2466">
            <v>95030014</v>
          </cell>
          <cell r="B2466" t="str">
            <v>두카트14000_모험</v>
          </cell>
        </row>
        <row r="2467">
          <cell r="A2467">
            <v>95030015</v>
          </cell>
          <cell r="B2467" t="str">
            <v>두카트15000_모험</v>
          </cell>
        </row>
        <row r="2468">
          <cell r="A2468">
            <v>95030016</v>
          </cell>
          <cell r="B2468" t="str">
            <v>두카트16000_모험</v>
          </cell>
        </row>
        <row r="2469">
          <cell r="A2469">
            <v>95030017</v>
          </cell>
          <cell r="B2469" t="str">
            <v>두카트17000_모험</v>
          </cell>
        </row>
        <row r="2470">
          <cell r="A2470">
            <v>95030018</v>
          </cell>
          <cell r="B2470" t="str">
            <v>두카트18000_모험</v>
          </cell>
        </row>
        <row r="2471">
          <cell r="A2471">
            <v>95030019</v>
          </cell>
          <cell r="B2471" t="str">
            <v>두카트19000_모험</v>
          </cell>
        </row>
        <row r="2472">
          <cell r="A2472">
            <v>95030020</v>
          </cell>
          <cell r="B2472" t="str">
            <v>두카트20000_모험</v>
          </cell>
        </row>
        <row r="2473">
          <cell r="A2473">
            <v>95030021</v>
          </cell>
          <cell r="B2473" t="str">
            <v>두카트21000_모험</v>
          </cell>
        </row>
        <row r="2474">
          <cell r="A2474">
            <v>95030022</v>
          </cell>
          <cell r="B2474" t="str">
            <v>두카트22000_모험</v>
          </cell>
        </row>
        <row r="2475">
          <cell r="A2475">
            <v>95030023</v>
          </cell>
          <cell r="B2475" t="str">
            <v>두카트23000_모험</v>
          </cell>
        </row>
        <row r="2476">
          <cell r="A2476">
            <v>95030024</v>
          </cell>
          <cell r="B2476" t="str">
            <v>두카트24000_모험</v>
          </cell>
        </row>
        <row r="2477">
          <cell r="A2477">
            <v>95030025</v>
          </cell>
          <cell r="B2477" t="str">
            <v>두카트25000_모험</v>
          </cell>
        </row>
        <row r="2478">
          <cell r="A2478">
            <v>95030026</v>
          </cell>
          <cell r="B2478" t="str">
            <v>두카트26000_모험</v>
          </cell>
        </row>
        <row r="2479">
          <cell r="A2479">
            <v>95030027</v>
          </cell>
          <cell r="B2479" t="str">
            <v>두카트27000_모험</v>
          </cell>
        </row>
        <row r="2480">
          <cell r="A2480">
            <v>95030028</v>
          </cell>
          <cell r="B2480" t="str">
            <v>두카트28000_모험</v>
          </cell>
        </row>
        <row r="2481">
          <cell r="A2481">
            <v>95030029</v>
          </cell>
          <cell r="B2481" t="str">
            <v>두카트29000_모험</v>
          </cell>
        </row>
        <row r="2482">
          <cell r="A2482">
            <v>95030030</v>
          </cell>
          <cell r="B2482" t="str">
            <v>두카트30000_모험</v>
          </cell>
        </row>
        <row r="2483">
          <cell r="A2483">
            <v>95030031</v>
          </cell>
          <cell r="B2483" t="str">
            <v>두카트31000_모험</v>
          </cell>
        </row>
        <row r="2484">
          <cell r="A2484">
            <v>95030032</v>
          </cell>
          <cell r="B2484" t="str">
            <v>두카트32000_모험</v>
          </cell>
        </row>
        <row r="2485">
          <cell r="A2485">
            <v>95030033</v>
          </cell>
          <cell r="B2485" t="str">
            <v>두카트33000_모험</v>
          </cell>
        </row>
        <row r="2486">
          <cell r="A2486">
            <v>95030034</v>
          </cell>
          <cell r="B2486" t="str">
            <v>두카트34000_모험</v>
          </cell>
        </row>
        <row r="2487">
          <cell r="A2487">
            <v>95030035</v>
          </cell>
          <cell r="B2487" t="str">
            <v>두카트35000_모험</v>
          </cell>
        </row>
        <row r="2488">
          <cell r="A2488">
            <v>95030036</v>
          </cell>
          <cell r="B2488" t="str">
            <v>두카트36000_모험</v>
          </cell>
        </row>
        <row r="2489">
          <cell r="A2489">
            <v>95030037</v>
          </cell>
          <cell r="B2489" t="str">
            <v>두카트37000_모험</v>
          </cell>
        </row>
        <row r="2490">
          <cell r="A2490">
            <v>95030038</v>
          </cell>
          <cell r="B2490" t="str">
            <v>두카트38000_모험</v>
          </cell>
        </row>
        <row r="2491">
          <cell r="A2491">
            <v>95030039</v>
          </cell>
          <cell r="B2491" t="str">
            <v>두카트39000_모험</v>
          </cell>
        </row>
        <row r="2492">
          <cell r="A2492">
            <v>95030040</v>
          </cell>
          <cell r="B2492" t="str">
            <v>두카트40000_모험</v>
          </cell>
        </row>
        <row r="2493">
          <cell r="A2493">
            <v>95030041</v>
          </cell>
          <cell r="B2493" t="str">
            <v>두카트41000_모험</v>
          </cell>
        </row>
        <row r="2494">
          <cell r="A2494">
            <v>95030042</v>
          </cell>
          <cell r="B2494" t="str">
            <v>두카트42000_모험</v>
          </cell>
        </row>
        <row r="2495">
          <cell r="A2495">
            <v>95030043</v>
          </cell>
          <cell r="B2495" t="str">
            <v>두카트43000_모험</v>
          </cell>
        </row>
        <row r="2496">
          <cell r="A2496">
            <v>95030044</v>
          </cell>
          <cell r="B2496" t="str">
            <v>두카트44000_모험</v>
          </cell>
        </row>
        <row r="2497">
          <cell r="A2497">
            <v>95030045</v>
          </cell>
          <cell r="B2497" t="str">
            <v>두카트45000_모험</v>
          </cell>
        </row>
        <row r="2498">
          <cell r="A2498">
            <v>95030046</v>
          </cell>
          <cell r="B2498" t="str">
            <v>두카트46000_모험</v>
          </cell>
        </row>
        <row r="2499">
          <cell r="A2499">
            <v>95030047</v>
          </cell>
          <cell r="B2499" t="str">
            <v>두카트47000_모험</v>
          </cell>
        </row>
        <row r="2500">
          <cell r="A2500">
            <v>95030048</v>
          </cell>
          <cell r="B2500" t="str">
            <v>두카트48000_모험</v>
          </cell>
        </row>
        <row r="2501">
          <cell r="A2501">
            <v>95030049</v>
          </cell>
          <cell r="B2501" t="str">
            <v>두카트49000_모험</v>
          </cell>
        </row>
        <row r="2502">
          <cell r="A2502">
            <v>95030050</v>
          </cell>
          <cell r="B2502" t="str">
            <v>두카트50000_모험</v>
          </cell>
        </row>
        <row r="2503">
          <cell r="A2503">
            <v>95030051</v>
          </cell>
          <cell r="B2503" t="str">
            <v>두카트51000_모험</v>
          </cell>
        </row>
        <row r="2504">
          <cell r="A2504">
            <v>95030052</v>
          </cell>
          <cell r="B2504" t="str">
            <v>두카트52000_모험</v>
          </cell>
        </row>
        <row r="2505">
          <cell r="A2505">
            <v>95030053</v>
          </cell>
          <cell r="B2505" t="str">
            <v>두카트53000_모험</v>
          </cell>
        </row>
        <row r="2506">
          <cell r="A2506">
            <v>95030054</v>
          </cell>
          <cell r="B2506" t="str">
            <v>두카트54000_모험</v>
          </cell>
        </row>
        <row r="2507">
          <cell r="A2507">
            <v>95030055</v>
          </cell>
          <cell r="B2507" t="str">
            <v>두카트55000_모험</v>
          </cell>
        </row>
        <row r="2508">
          <cell r="A2508">
            <v>95030056</v>
          </cell>
          <cell r="B2508" t="str">
            <v>두카트56000_모험</v>
          </cell>
        </row>
        <row r="2509">
          <cell r="A2509">
            <v>95030057</v>
          </cell>
          <cell r="B2509" t="str">
            <v>두카트57000_모험</v>
          </cell>
        </row>
        <row r="2510">
          <cell r="A2510">
            <v>95030058</v>
          </cell>
          <cell r="B2510" t="str">
            <v>두카트58000_모험</v>
          </cell>
        </row>
        <row r="2511">
          <cell r="A2511">
            <v>95030059</v>
          </cell>
          <cell r="B2511" t="str">
            <v>두카트59000_모험</v>
          </cell>
        </row>
        <row r="2512">
          <cell r="A2512">
            <v>95030060</v>
          </cell>
          <cell r="B2512" t="str">
            <v>두카트60000_모험</v>
          </cell>
        </row>
        <row r="2513">
          <cell r="A2513">
            <v>95030061</v>
          </cell>
          <cell r="B2513" t="str">
            <v>두카트61000_모험</v>
          </cell>
        </row>
        <row r="2514">
          <cell r="A2514">
            <v>95030062</v>
          </cell>
          <cell r="B2514" t="str">
            <v>두카트62000_모험</v>
          </cell>
        </row>
        <row r="2515">
          <cell r="A2515">
            <v>95030063</v>
          </cell>
          <cell r="B2515" t="str">
            <v>두카트63000_모험</v>
          </cell>
        </row>
        <row r="2516">
          <cell r="A2516">
            <v>95030064</v>
          </cell>
          <cell r="B2516" t="str">
            <v>두카트64000_모험</v>
          </cell>
        </row>
        <row r="2517">
          <cell r="A2517">
            <v>95030065</v>
          </cell>
          <cell r="B2517" t="str">
            <v>두카트65000_모험</v>
          </cell>
        </row>
        <row r="2518">
          <cell r="A2518">
            <v>95030066</v>
          </cell>
          <cell r="B2518" t="str">
            <v>두카트66000_모험</v>
          </cell>
        </row>
        <row r="2519">
          <cell r="A2519">
            <v>95030067</v>
          </cell>
          <cell r="B2519" t="str">
            <v>두카트67000_모험</v>
          </cell>
        </row>
        <row r="2520">
          <cell r="A2520">
            <v>95030068</v>
          </cell>
          <cell r="B2520" t="str">
            <v>두카트68000_모험</v>
          </cell>
        </row>
        <row r="2521">
          <cell r="A2521">
            <v>95030069</v>
          </cell>
          <cell r="B2521" t="str">
            <v>두카트69000_모험</v>
          </cell>
        </row>
        <row r="2522">
          <cell r="A2522">
            <v>95030070</v>
          </cell>
          <cell r="B2522" t="str">
            <v>두카트70000_모험</v>
          </cell>
        </row>
        <row r="2523">
          <cell r="A2523">
            <v>95030071</v>
          </cell>
          <cell r="B2523" t="str">
            <v>두카트71000_모험</v>
          </cell>
        </row>
        <row r="2524">
          <cell r="A2524">
            <v>95030072</v>
          </cell>
          <cell r="B2524" t="str">
            <v>두카트72000_모험</v>
          </cell>
        </row>
        <row r="2525">
          <cell r="A2525">
            <v>95030073</v>
          </cell>
          <cell r="B2525" t="str">
            <v>두카트73000_모험</v>
          </cell>
        </row>
        <row r="2526">
          <cell r="A2526">
            <v>95030074</v>
          </cell>
          <cell r="B2526" t="str">
            <v>두카트74000_모험</v>
          </cell>
        </row>
        <row r="2527">
          <cell r="A2527">
            <v>95030075</v>
          </cell>
          <cell r="B2527" t="str">
            <v>두카트75000_모험</v>
          </cell>
        </row>
        <row r="2528">
          <cell r="A2528">
            <v>95030076</v>
          </cell>
          <cell r="B2528" t="str">
            <v>두카트76000_모험</v>
          </cell>
        </row>
        <row r="2529">
          <cell r="A2529">
            <v>95030077</v>
          </cell>
          <cell r="B2529" t="str">
            <v>두카트77000_모험</v>
          </cell>
        </row>
        <row r="2530">
          <cell r="A2530">
            <v>95030078</v>
          </cell>
          <cell r="B2530" t="str">
            <v>두카트78000_모험</v>
          </cell>
        </row>
        <row r="2531">
          <cell r="A2531">
            <v>95030079</v>
          </cell>
          <cell r="B2531" t="str">
            <v>두카트79000_모험</v>
          </cell>
        </row>
        <row r="2532">
          <cell r="A2532">
            <v>95030080</v>
          </cell>
          <cell r="B2532" t="str">
            <v>두카트80000_모험</v>
          </cell>
        </row>
        <row r="2533">
          <cell r="A2533">
            <v>95030081</v>
          </cell>
          <cell r="B2533" t="str">
            <v>두카트81000_모험</v>
          </cell>
        </row>
        <row r="2534">
          <cell r="A2534">
            <v>95030082</v>
          </cell>
          <cell r="B2534" t="str">
            <v>두카트82000_모험</v>
          </cell>
        </row>
        <row r="2535">
          <cell r="A2535">
            <v>95030083</v>
          </cell>
          <cell r="B2535" t="str">
            <v>두카트83000_모험</v>
          </cell>
        </row>
        <row r="2536">
          <cell r="A2536">
            <v>95030084</v>
          </cell>
          <cell r="B2536" t="str">
            <v>두카트84000_모험</v>
          </cell>
        </row>
        <row r="2537">
          <cell r="A2537">
            <v>95030085</v>
          </cell>
          <cell r="B2537" t="str">
            <v>두카트85000_모험</v>
          </cell>
        </row>
        <row r="2538">
          <cell r="A2538">
            <v>95030086</v>
          </cell>
          <cell r="B2538" t="str">
            <v>두카트86000_모험</v>
          </cell>
        </row>
        <row r="2539">
          <cell r="A2539">
            <v>95030087</v>
          </cell>
          <cell r="B2539" t="str">
            <v>두카트87000_모험</v>
          </cell>
        </row>
        <row r="2540">
          <cell r="A2540">
            <v>95030088</v>
          </cell>
          <cell r="B2540" t="str">
            <v>두카트88000_모험</v>
          </cell>
        </row>
        <row r="2541">
          <cell r="A2541">
            <v>95030089</v>
          </cell>
          <cell r="B2541" t="str">
            <v>두카트89000_모험</v>
          </cell>
        </row>
        <row r="2542">
          <cell r="A2542">
            <v>95030090</v>
          </cell>
          <cell r="B2542" t="str">
            <v>두카트90000_모험</v>
          </cell>
        </row>
        <row r="2543">
          <cell r="A2543">
            <v>95030091</v>
          </cell>
          <cell r="B2543" t="str">
            <v>두카트91000_모험</v>
          </cell>
        </row>
        <row r="2544">
          <cell r="A2544">
            <v>95030092</v>
          </cell>
          <cell r="B2544" t="str">
            <v>두카트92000_모험</v>
          </cell>
        </row>
        <row r="2545">
          <cell r="A2545">
            <v>95030093</v>
          </cell>
          <cell r="B2545" t="str">
            <v>두카트93000_모험</v>
          </cell>
        </row>
        <row r="2546">
          <cell r="A2546">
            <v>95030094</v>
          </cell>
          <cell r="B2546" t="str">
            <v>두카트94000_모험</v>
          </cell>
        </row>
        <row r="2547">
          <cell r="A2547">
            <v>95030095</v>
          </cell>
          <cell r="B2547" t="str">
            <v>두카트95000_모험</v>
          </cell>
        </row>
        <row r="2548">
          <cell r="A2548">
            <v>95030096</v>
          </cell>
          <cell r="B2548" t="str">
            <v>두카트96000_모험</v>
          </cell>
        </row>
        <row r="2549">
          <cell r="A2549">
            <v>95030097</v>
          </cell>
          <cell r="B2549" t="str">
            <v>두카트97000_모험</v>
          </cell>
        </row>
        <row r="2550">
          <cell r="A2550">
            <v>95030098</v>
          </cell>
          <cell r="B2550" t="str">
            <v>두카트98000_모험</v>
          </cell>
        </row>
        <row r="2551">
          <cell r="A2551">
            <v>95030099</v>
          </cell>
          <cell r="B2551" t="str">
            <v>두카트99000_모험</v>
          </cell>
        </row>
        <row r="2552">
          <cell r="A2552">
            <v>95030100</v>
          </cell>
          <cell r="B2552" t="str">
            <v>두카트100000_모험</v>
          </cell>
        </row>
        <row r="2553">
          <cell r="A2553">
            <v>95030101</v>
          </cell>
          <cell r="B2553" t="str">
            <v>두카트101000_모험</v>
          </cell>
        </row>
        <row r="2554">
          <cell r="A2554">
            <v>95030102</v>
          </cell>
          <cell r="B2554" t="str">
            <v>두카트102000_모험</v>
          </cell>
        </row>
        <row r="2555">
          <cell r="A2555">
            <v>95030103</v>
          </cell>
          <cell r="B2555" t="str">
            <v>두카트103000_모험</v>
          </cell>
        </row>
        <row r="2556">
          <cell r="A2556">
            <v>95030104</v>
          </cell>
          <cell r="B2556" t="str">
            <v>두카트104000_모험</v>
          </cell>
        </row>
        <row r="2557">
          <cell r="A2557">
            <v>95030105</v>
          </cell>
          <cell r="B2557" t="str">
            <v>두카트105000_모험</v>
          </cell>
        </row>
        <row r="2558">
          <cell r="A2558">
            <v>95030106</v>
          </cell>
          <cell r="B2558" t="str">
            <v>두카트106000_모험</v>
          </cell>
        </row>
        <row r="2559">
          <cell r="A2559">
            <v>95030107</v>
          </cell>
          <cell r="B2559" t="str">
            <v>두카트107000_모험</v>
          </cell>
        </row>
        <row r="2560">
          <cell r="A2560">
            <v>95030108</v>
          </cell>
          <cell r="B2560" t="str">
            <v>두카트108000_모험</v>
          </cell>
        </row>
        <row r="2561">
          <cell r="A2561">
            <v>95030109</v>
          </cell>
          <cell r="B2561" t="str">
            <v>두카트109000_모험</v>
          </cell>
        </row>
        <row r="2562">
          <cell r="A2562">
            <v>95030110</v>
          </cell>
          <cell r="B2562" t="str">
            <v>두카트110000_모험</v>
          </cell>
        </row>
        <row r="2563">
          <cell r="A2563">
            <v>95030111</v>
          </cell>
          <cell r="B2563" t="str">
            <v>두카트111000_모험</v>
          </cell>
        </row>
        <row r="2564">
          <cell r="A2564">
            <v>95030112</v>
          </cell>
          <cell r="B2564" t="str">
            <v>두카트112000_모험</v>
          </cell>
        </row>
        <row r="2565">
          <cell r="A2565">
            <v>95030113</v>
          </cell>
          <cell r="B2565" t="str">
            <v>두카트113000_모험</v>
          </cell>
        </row>
        <row r="2566">
          <cell r="A2566">
            <v>95030114</v>
          </cell>
          <cell r="B2566" t="str">
            <v>두카트114000_모험</v>
          </cell>
        </row>
        <row r="2567">
          <cell r="A2567">
            <v>95030115</v>
          </cell>
          <cell r="B2567" t="str">
            <v>두카트115000_모험</v>
          </cell>
        </row>
        <row r="2568">
          <cell r="A2568">
            <v>95030116</v>
          </cell>
          <cell r="B2568" t="str">
            <v>두카트116000_모험</v>
          </cell>
        </row>
        <row r="2569">
          <cell r="A2569">
            <v>95030117</v>
          </cell>
          <cell r="B2569" t="str">
            <v>두카트117000_모험</v>
          </cell>
        </row>
        <row r="2570">
          <cell r="A2570">
            <v>95030118</v>
          </cell>
          <cell r="B2570" t="str">
            <v>두카트118000_모험</v>
          </cell>
        </row>
        <row r="2571">
          <cell r="A2571">
            <v>95030119</v>
          </cell>
          <cell r="B2571" t="str">
            <v>두카트119000_모험</v>
          </cell>
        </row>
        <row r="2572">
          <cell r="A2572">
            <v>95030120</v>
          </cell>
          <cell r="B2572" t="str">
            <v>두카트120000_모험</v>
          </cell>
        </row>
        <row r="2573">
          <cell r="A2573">
            <v>95030121</v>
          </cell>
          <cell r="B2573" t="str">
            <v>두카트121000_모험</v>
          </cell>
        </row>
        <row r="2574">
          <cell r="A2574">
            <v>95030122</v>
          </cell>
          <cell r="B2574" t="str">
            <v>두카트122000_모험</v>
          </cell>
        </row>
        <row r="2575">
          <cell r="A2575">
            <v>95030123</v>
          </cell>
          <cell r="B2575" t="str">
            <v>두카트123000_모험</v>
          </cell>
        </row>
        <row r="2576">
          <cell r="A2576">
            <v>95030124</v>
          </cell>
          <cell r="B2576" t="str">
            <v>두카트124000_모험</v>
          </cell>
        </row>
        <row r="2577">
          <cell r="A2577">
            <v>95030125</v>
          </cell>
          <cell r="B2577" t="str">
            <v>두카트125000_모험</v>
          </cell>
        </row>
        <row r="2578">
          <cell r="A2578">
            <v>95030126</v>
          </cell>
          <cell r="B2578" t="str">
            <v>두카트126000_모험</v>
          </cell>
        </row>
        <row r="2579">
          <cell r="A2579">
            <v>95030127</v>
          </cell>
          <cell r="B2579" t="str">
            <v>두카트127000_모험</v>
          </cell>
        </row>
        <row r="2580">
          <cell r="A2580">
            <v>95030128</v>
          </cell>
          <cell r="B2580" t="str">
            <v>두카트128000_모험</v>
          </cell>
        </row>
        <row r="2581">
          <cell r="A2581">
            <v>95030129</v>
          </cell>
          <cell r="B2581" t="str">
            <v>두카트129000_모험</v>
          </cell>
        </row>
        <row r="2582">
          <cell r="A2582">
            <v>95030130</v>
          </cell>
          <cell r="B2582" t="str">
            <v>두카트130000_모험</v>
          </cell>
        </row>
        <row r="2583">
          <cell r="A2583">
            <v>95030131</v>
          </cell>
          <cell r="B2583" t="str">
            <v>두카트131000_모험</v>
          </cell>
        </row>
        <row r="2584">
          <cell r="A2584">
            <v>95030132</v>
          </cell>
          <cell r="B2584" t="str">
            <v>두카트132000_모험</v>
          </cell>
        </row>
        <row r="2585">
          <cell r="A2585">
            <v>95030133</v>
          </cell>
          <cell r="B2585" t="str">
            <v>두카트133000_모험</v>
          </cell>
        </row>
        <row r="2586">
          <cell r="A2586">
            <v>95030134</v>
          </cell>
          <cell r="B2586" t="str">
            <v>두카트134000_모험</v>
          </cell>
        </row>
        <row r="2587">
          <cell r="A2587">
            <v>95030135</v>
          </cell>
          <cell r="B2587" t="str">
            <v>두카트135000_모험</v>
          </cell>
        </row>
        <row r="2588">
          <cell r="A2588">
            <v>95030136</v>
          </cell>
          <cell r="B2588" t="str">
            <v>두카트136000_모험</v>
          </cell>
        </row>
        <row r="2589">
          <cell r="A2589">
            <v>95030137</v>
          </cell>
          <cell r="B2589" t="str">
            <v>두카트137000_모험</v>
          </cell>
        </row>
        <row r="2590">
          <cell r="A2590">
            <v>95030138</v>
          </cell>
          <cell r="B2590" t="str">
            <v>두카트138000_모험</v>
          </cell>
        </row>
        <row r="2591">
          <cell r="A2591">
            <v>95030139</v>
          </cell>
          <cell r="B2591" t="str">
            <v>두카트139000_모험</v>
          </cell>
        </row>
        <row r="2592">
          <cell r="A2592">
            <v>95030140</v>
          </cell>
          <cell r="B2592" t="str">
            <v>두카트140000_모험</v>
          </cell>
        </row>
        <row r="2593">
          <cell r="A2593">
            <v>95030141</v>
          </cell>
          <cell r="B2593" t="str">
            <v>두카트141000_모험</v>
          </cell>
        </row>
        <row r="2594">
          <cell r="A2594">
            <v>95030142</v>
          </cell>
          <cell r="B2594" t="str">
            <v>두카트142000_모험</v>
          </cell>
        </row>
        <row r="2595">
          <cell r="A2595">
            <v>95030143</v>
          </cell>
          <cell r="B2595" t="str">
            <v>두카트143000_모험</v>
          </cell>
        </row>
        <row r="2596">
          <cell r="A2596">
            <v>95030144</v>
          </cell>
          <cell r="B2596" t="str">
            <v>두카트144000_모험</v>
          </cell>
        </row>
        <row r="2597">
          <cell r="A2597">
            <v>95030145</v>
          </cell>
          <cell r="B2597" t="str">
            <v>두카트145000_모험</v>
          </cell>
        </row>
        <row r="2598">
          <cell r="A2598">
            <v>95030146</v>
          </cell>
          <cell r="B2598" t="str">
            <v>두카트146000_모험</v>
          </cell>
        </row>
        <row r="2599">
          <cell r="A2599">
            <v>95030147</v>
          </cell>
          <cell r="B2599" t="str">
            <v>두카트147000_모험</v>
          </cell>
        </row>
        <row r="2600">
          <cell r="A2600">
            <v>95030148</v>
          </cell>
          <cell r="B2600" t="str">
            <v>두카트148000_모험</v>
          </cell>
        </row>
        <row r="2601">
          <cell r="A2601">
            <v>95030149</v>
          </cell>
          <cell r="B2601" t="str">
            <v>두카트149000_모험</v>
          </cell>
        </row>
        <row r="2602">
          <cell r="A2602">
            <v>95030150</v>
          </cell>
          <cell r="B2602" t="str">
            <v>두카트150000_모험</v>
          </cell>
        </row>
        <row r="2603">
          <cell r="A2603">
            <v>95030151</v>
          </cell>
          <cell r="B2603" t="str">
            <v>두카트151000_모험</v>
          </cell>
        </row>
        <row r="2604">
          <cell r="A2604">
            <v>95030152</v>
          </cell>
          <cell r="B2604" t="str">
            <v>두카트152000_모험</v>
          </cell>
        </row>
        <row r="2605">
          <cell r="A2605">
            <v>95030153</v>
          </cell>
          <cell r="B2605" t="str">
            <v>두카트153000_모험</v>
          </cell>
        </row>
        <row r="2606">
          <cell r="A2606">
            <v>95030154</v>
          </cell>
          <cell r="B2606" t="str">
            <v>두카트154000_모험</v>
          </cell>
        </row>
        <row r="2607">
          <cell r="A2607">
            <v>95030155</v>
          </cell>
          <cell r="B2607" t="str">
            <v>두카트155000_모험</v>
          </cell>
        </row>
        <row r="2608">
          <cell r="A2608">
            <v>95030156</v>
          </cell>
          <cell r="B2608" t="str">
            <v>두카트156000_모험</v>
          </cell>
        </row>
        <row r="2609">
          <cell r="A2609">
            <v>95030157</v>
          </cell>
          <cell r="B2609" t="str">
            <v>두카트157000_모험</v>
          </cell>
        </row>
        <row r="2610">
          <cell r="A2610">
            <v>95030158</v>
          </cell>
          <cell r="B2610" t="str">
            <v>두카트158000_모험</v>
          </cell>
        </row>
        <row r="2611">
          <cell r="A2611">
            <v>95030159</v>
          </cell>
          <cell r="B2611" t="str">
            <v>두카트159000_모험</v>
          </cell>
        </row>
        <row r="2612">
          <cell r="A2612">
            <v>95030160</v>
          </cell>
          <cell r="B2612" t="str">
            <v>두카트160000_모험</v>
          </cell>
        </row>
        <row r="2613">
          <cell r="A2613">
            <v>95030161</v>
          </cell>
          <cell r="B2613" t="str">
            <v>두카트161000_모험</v>
          </cell>
        </row>
        <row r="2614">
          <cell r="A2614">
            <v>95030162</v>
          </cell>
          <cell r="B2614" t="str">
            <v>두카트162000_모험</v>
          </cell>
        </row>
        <row r="2615">
          <cell r="A2615">
            <v>95030163</v>
          </cell>
          <cell r="B2615" t="str">
            <v>두카트163000_모험</v>
          </cell>
        </row>
        <row r="2616">
          <cell r="A2616">
            <v>95030164</v>
          </cell>
          <cell r="B2616" t="str">
            <v>두카트164000_모험</v>
          </cell>
        </row>
        <row r="2617">
          <cell r="A2617">
            <v>95030165</v>
          </cell>
          <cell r="B2617" t="str">
            <v>두카트165000_모험</v>
          </cell>
        </row>
        <row r="2618">
          <cell r="A2618">
            <v>95030166</v>
          </cell>
          <cell r="B2618" t="str">
            <v>두카트166000_모험</v>
          </cell>
        </row>
        <row r="2619">
          <cell r="A2619">
            <v>95030167</v>
          </cell>
          <cell r="B2619" t="str">
            <v>두카트167000_모험</v>
          </cell>
        </row>
        <row r="2620">
          <cell r="A2620">
            <v>95030168</v>
          </cell>
          <cell r="B2620" t="str">
            <v>두카트168000_모험</v>
          </cell>
        </row>
        <row r="2621">
          <cell r="A2621">
            <v>95030169</v>
          </cell>
          <cell r="B2621" t="str">
            <v>두카트169000_모험</v>
          </cell>
        </row>
        <row r="2622">
          <cell r="A2622">
            <v>95030170</v>
          </cell>
          <cell r="B2622" t="str">
            <v>두카트170000_모험</v>
          </cell>
        </row>
        <row r="2623">
          <cell r="A2623">
            <v>95030171</v>
          </cell>
          <cell r="B2623" t="str">
            <v>두카트171000_모험</v>
          </cell>
        </row>
        <row r="2624">
          <cell r="A2624">
            <v>95030172</v>
          </cell>
          <cell r="B2624" t="str">
            <v>두카트172000_모험</v>
          </cell>
        </row>
        <row r="2625">
          <cell r="A2625">
            <v>95030173</v>
          </cell>
          <cell r="B2625" t="str">
            <v>두카트173000_모험</v>
          </cell>
        </row>
        <row r="2626">
          <cell r="A2626">
            <v>95030174</v>
          </cell>
          <cell r="B2626" t="str">
            <v>두카트174000_모험</v>
          </cell>
        </row>
        <row r="2627">
          <cell r="A2627">
            <v>95030175</v>
          </cell>
          <cell r="B2627" t="str">
            <v>두카트175000_모험</v>
          </cell>
        </row>
        <row r="2628">
          <cell r="A2628">
            <v>95030176</v>
          </cell>
          <cell r="B2628" t="str">
            <v>두카트176000_모험</v>
          </cell>
        </row>
        <row r="2629">
          <cell r="A2629">
            <v>95030177</v>
          </cell>
          <cell r="B2629" t="str">
            <v>두카트177000_모험</v>
          </cell>
        </row>
        <row r="2630">
          <cell r="A2630">
            <v>95030178</v>
          </cell>
          <cell r="B2630" t="str">
            <v>두카트178000_모험</v>
          </cell>
        </row>
        <row r="2631">
          <cell r="A2631">
            <v>95030179</v>
          </cell>
          <cell r="B2631" t="str">
            <v>두카트179000_모험</v>
          </cell>
        </row>
        <row r="2632">
          <cell r="A2632">
            <v>95030180</v>
          </cell>
          <cell r="B2632" t="str">
            <v>두카트180000_모험</v>
          </cell>
        </row>
        <row r="2633">
          <cell r="A2633">
            <v>95030181</v>
          </cell>
          <cell r="B2633" t="str">
            <v>두카트181000_모험</v>
          </cell>
        </row>
        <row r="2634">
          <cell r="A2634">
            <v>95030182</v>
          </cell>
          <cell r="B2634" t="str">
            <v>두카트182000_모험</v>
          </cell>
        </row>
        <row r="2635">
          <cell r="A2635">
            <v>95030183</v>
          </cell>
          <cell r="B2635" t="str">
            <v>두카트183000_모험</v>
          </cell>
        </row>
        <row r="2636">
          <cell r="A2636">
            <v>95030184</v>
          </cell>
          <cell r="B2636" t="str">
            <v>두카트184000_모험</v>
          </cell>
        </row>
        <row r="2637">
          <cell r="A2637">
            <v>95030185</v>
          </cell>
          <cell r="B2637" t="str">
            <v>두카트185000_모험</v>
          </cell>
        </row>
        <row r="2638">
          <cell r="A2638">
            <v>95030186</v>
          </cell>
          <cell r="B2638" t="str">
            <v>두카트186000_모험</v>
          </cell>
        </row>
        <row r="2639">
          <cell r="A2639">
            <v>95030187</v>
          </cell>
          <cell r="B2639" t="str">
            <v>두카트187000_모험</v>
          </cell>
        </row>
        <row r="2640">
          <cell r="A2640">
            <v>95030188</v>
          </cell>
          <cell r="B2640" t="str">
            <v>두카트188000_모험</v>
          </cell>
        </row>
        <row r="2641">
          <cell r="A2641">
            <v>95030189</v>
          </cell>
          <cell r="B2641" t="str">
            <v>두카트189000_모험</v>
          </cell>
        </row>
        <row r="2642">
          <cell r="A2642">
            <v>95030190</v>
          </cell>
          <cell r="B2642" t="str">
            <v>두카트190000_모험</v>
          </cell>
        </row>
        <row r="2643">
          <cell r="A2643">
            <v>95030191</v>
          </cell>
          <cell r="B2643" t="str">
            <v>두카트191000_모험</v>
          </cell>
        </row>
        <row r="2644">
          <cell r="A2644">
            <v>95030192</v>
          </cell>
          <cell r="B2644" t="str">
            <v>두카트192000_모험</v>
          </cell>
        </row>
        <row r="2645">
          <cell r="A2645">
            <v>95030193</v>
          </cell>
          <cell r="B2645" t="str">
            <v>두카트193000_모험</v>
          </cell>
        </row>
        <row r="2646">
          <cell r="A2646">
            <v>95030194</v>
          </cell>
          <cell r="B2646" t="str">
            <v>두카트194000_모험</v>
          </cell>
        </row>
        <row r="2647">
          <cell r="A2647">
            <v>95030195</v>
          </cell>
          <cell r="B2647" t="str">
            <v>두카트195000_모험</v>
          </cell>
        </row>
        <row r="2648">
          <cell r="A2648">
            <v>95030196</v>
          </cell>
          <cell r="B2648" t="str">
            <v>두카트196000_모험</v>
          </cell>
        </row>
        <row r="2649">
          <cell r="A2649">
            <v>95030197</v>
          </cell>
          <cell r="B2649" t="str">
            <v>두카트197000_모험</v>
          </cell>
        </row>
        <row r="2650">
          <cell r="A2650">
            <v>95030198</v>
          </cell>
          <cell r="B2650" t="str">
            <v>두카트198000_모험</v>
          </cell>
        </row>
        <row r="2651">
          <cell r="A2651">
            <v>95030199</v>
          </cell>
          <cell r="B2651" t="str">
            <v>두카트199000_모험</v>
          </cell>
        </row>
        <row r="2652">
          <cell r="A2652">
            <v>95030200</v>
          </cell>
          <cell r="B2652" t="str">
            <v>두카트200000_모험</v>
          </cell>
        </row>
        <row r="2653">
          <cell r="A2653">
            <v>95030201</v>
          </cell>
          <cell r="B2653" t="str">
            <v>두카트201000_모험</v>
          </cell>
        </row>
        <row r="2654">
          <cell r="A2654">
            <v>95030202</v>
          </cell>
          <cell r="B2654" t="str">
            <v>두카트202000_모험</v>
          </cell>
        </row>
        <row r="2655">
          <cell r="A2655">
            <v>95030203</v>
          </cell>
          <cell r="B2655" t="str">
            <v>두카트203000_모험</v>
          </cell>
        </row>
        <row r="2656">
          <cell r="A2656">
            <v>95030204</v>
          </cell>
          <cell r="B2656" t="str">
            <v>두카트204000_모험</v>
          </cell>
        </row>
        <row r="2657">
          <cell r="A2657">
            <v>95030205</v>
          </cell>
          <cell r="B2657" t="str">
            <v>두카트205000_모험</v>
          </cell>
        </row>
        <row r="2658">
          <cell r="A2658">
            <v>95030206</v>
          </cell>
          <cell r="B2658" t="str">
            <v>두카트206000_모험</v>
          </cell>
        </row>
        <row r="2659">
          <cell r="A2659">
            <v>95030207</v>
          </cell>
          <cell r="B2659" t="str">
            <v>두카트207000_모험</v>
          </cell>
        </row>
        <row r="2660">
          <cell r="A2660">
            <v>95030208</v>
          </cell>
          <cell r="B2660" t="str">
            <v>두카트208000_모험</v>
          </cell>
        </row>
        <row r="2661">
          <cell r="A2661">
            <v>95030209</v>
          </cell>
          <cell r="B2661" t="str">
            <v>두카트209000_모험</v>
          </cell>
        </row>
        <row r="2662">
          <cell r="A2662">
            <v>95030210</v>
          </cell>
          <cell r="B2662" t="str">
            <v>두카트210000_모험</v>
          </cell>
        </row>
        <row r="2663">
          <cell r="A2663">
            <v>95030211</v>
          </cell>
          <cell r="B2663" t="str">
            <v>두카트211000_모험</v>
          </cell>
        </row>
        <row r="2664">
          <cell r="A2664">
            <v>95030212</v>
          </cell>
          <cell r="B2664" t="str">
            <v>두카트212000_모험</v>
          </cell>
        </row>
        <row r="2665">
          <cell r="A2665">
            <v>95030213</v>
          </cell>
          <cell r="B2665" t="str">
            <v>두카트213000_모험</v>
          </cell>
        </row>
        <row r="2666">
          <cell r="A2666">
            <v>95030214</v>
          </cell>
          <cell r="B2666" t="str">
            <v>두카트214000_모험</v>
          </cell>
        </row>
        <row r="2667">
          <cell r="A2667">
            <v>95030215</v>
          </cell>
          <cell r="B2667" t="str">
            <v>두카트215000_모험</v>
          </cell>
        </row>
        <row r="2668">
          <cell r="A2668">
            <v>95030216</v>
          </cell>
          <cell r="B2668" t="str">
            <v>두카트216000_모험</v>
          </cell>
        </row>
        <row r="2669">
          <cell r="A2669">
            <v>95030217</v>
          </cell>
          <cell r="B2669" t="str">
            <v>두카트217000_모험</v>
          </cell>
        </row>
        <row r="2670">
          <cell r="A2670">
            <v>95030218</v>
          </cell>
          <cell r="B2670" t="str">
            <v>두카트218000_모험</v>
          </cell>
        </row>
        <row r="2671">
          <cell r="A2671">
            <v>95030219</v>
          </cell>
          <cell r="B2671" t="str">
            <v>두카트219000_모험</v>
          </cell>
        </row>
        <row r="2672">
          <cell r="A2672">
            <v>95030220</v>
          </cell>
          <cell r="B2672" t="str">
            <v>두카트220000_모험</v>
          </cell>
        </row>
        <row r="2673">
          <cell r="A2673">
            <v>95030221</v>
          </cell>
          <cell r="B2673" t="str">
            <v>두카트221000_모험</v>
          </cell>
        </row>
        <row r="2674">
          <cell r="A2674">
            <v>95030222</v>
          </cell>
          <cell r="B2674" t="str">
            <v>두카트222000_모험</v>
          </cell>
        </row>
        <row r="2675">
          <cell r="A2675">
            <v>95030223</v>
          </cell>
          <cell r="B2675" t="str">
            <v>두카트223000_모험</v>
          </cell>
        </row>
        <row r="2676">
          <cell r="A2676">
            <v>95030224</v>
          </cell>
          <cell r="B2676" t="str">
            <v>두카트224000_모험</v>
          </cell>
        </row>
        <row r="2677">
          <cell r="A2677">
            <v>95030225</v>
          </cell>
          <cell r="B2677" t="str">
            <v>두카트225000_모험</v>
          </cell>
        </row>
        <row r="2678">
          <cell r="A2678">
            <v>95030226</v>
          </cell>
          <cell r="B2678" t="str">
            <v>두카트226000_모험</v>
          </cell>
        </row>
        <row r="2679">
          <cell r="A2679">
            <v>95030227</v>
          </cell>
          <cell r="B2679" t="str">
            <v>두카트227000_모험</v>
          </cell>
        </row>
        <row r="2680">
          <cell r="A2680">
            <v>95030228</v>
          </cell>
          <cell r="B2680" t="str">
            <v>두카트228000_모험</v>
          </cell>
        </row>
        <row r="2681">
          <cell r="A2681">
            <v>95030229</v>
          </cell>
          <cell r="B2681" t="str">
            <v>두카트229000_모험</v>
          </cell>
        </row>
        <row r="2682">
          <cell r="A2682">
            <v>95030230</v>
          </cell>
          <cell r="B2682" t="str">
            <v>두카트230000_모험</v>
          </cell>
        </row>
        <row r="2683">
          <cell r="A2683">
            <v>95030231</v>
          </cell>
          <cell r="B2683" t="str">
            <v>두카트231000_모험</v>
          </cell>
        </row>
        <row r="2684">
          <cell r="A2684">
            <v>95030232</v>
          </cell>
          <cell r="B2684" t="str">
            <v>두카트232000_모험</v>
          </cell>
        </row>
        <row r="2685">
          <cell r="A2685">
            <v>95030233</v>
          </cell>
          <cell r="B2685" t="str">
            <v>두카트233000_모험</v>
          </cell>
        </row>
        <row r="2686">
          <cell r="A2686">
            <v>95030234</v>
          </cell>
          <cell r="B2686" t="str">
            <v>두카트234000_모험</v>
          </cell>
        </row>
        <row r="2687">
          <cell r="A2687">
            <v>95030235</v>
          </cell>
          <cell r="B2687" t="str">
            <v>두카트235000_모험</v>
          </cell>
        </row>
        <row r="2688">
          <cell r="A2688">
            <v>95030236</v>
          </cell>
          <cell r="B2688" t="str">
            <v>두카트236000_모험</v>
          </cell>
        </row>
        <row r="2689">
          <cell r="A2689">
            <v>95030237</v>
          </cell>
          <cell r="B2689" t="str">
            <v>두카트237000_모험</v>
          </cell>
        </row>
        <row r="2690">
          <cell r="A2690">
            <v>95030238</v>
          </cell>
          <cell r="B2690" t="str">
            <v>두카트238000_모험</v>
          </cell>
        </row>
        <row r="2691">
          <cell r="A2691">
            <v>95030239</v>
          </cell>
          <cell r="B2691" t="str">
            <v>두카트239000_모험</v>
          </cell>
        </row>
        <row r="2692">
          <cell r="A2692">
            <v>95030240</v>
          </cell>
          <cell r="B2692" t="str">
            <v>두카트240000_모험</v>
          </cell>
        </row>
        <row r="2693">
          <cell r="A2693">
            <v>95030241</v>
          </cell>
          <cell r="B2693" t="str">
            <v>두카트241000_모험</v>
          </cell>
        </row>
        <row r="2694">
          <cell r="A2694">
            <v>95030242</v>
          </cell>
          <cell r="B2694" t="str">
            <v>두카트242000_모험</v>
          </cell>
        </row>
        <row r="2695">
          <cell r="A2695">
            <v>95030243</v>
          </cell>
          <cell r="B2695" t="str">
            <v>두카트243000_모험</v>
          </cell>
        </row>
        <row r="2696">
          <cell r="A2696">
            <v>95030244</v>
          </cell>
          <cell r="B2696" t="str">
            <v>두카트244000_모험</v>
          </cell>
        </row>
        <row r="2697">
          <cell r="A2697">
            <v>95030245</v>
          </cell>
          <cell r="B2697" t="str">
            <v>두카트245000_모험</v>
          </cell>
        </row>
        <row r="2698">
          <cell r="A2698">
            <v>95030246</v>
          </cell>
          <cell r="B2698" t="str">
            <v>두카트246000_모험</v>
          </cell>
        </row>
        <row r="2699">
          <cell r="A2699">
            <v>95030247</v>
          </cell>
          <cell r="B2699" t="str">
            <v>두카트247000_모험</v>
          </cell>
        </row>
        <row r="2700">
          <cell r="A2700">
            <v>95030248</v>
          </cell>
          <cell r="B2700" t="str">
            <v>두카트248000_모험</v>
          </cell>
        </row>
        <row r="2701">
          <cell r="A2701">
            <v>95030249</v>
          </cell>
          <cell r="B2701" t="str">
            <v>두카트249000_모험</v>
          </cell>
        </row>
        <row r="2702">
          <cell r="A2702">
            <v>95030250</v>
          </cell>
          <cell r="B2702" t="str">
            <v>두카트250000_모험</v>
          </cell>
        </row>
        <row r="2703">
          <cell r="A2703">
            <v>95030251</v>
          </cell>
          <cell r="B2703" t="str">
            <v>두카트251000_모험</v>
          </cell>
        </row>
        <row r="2704">
          <cell r="A2704">
            <v>95030252</v>
          </cell>
          <cell r="B2704" t="str">
            <v>두카트252000_모험</v>
          </cell>
        </row>
        <row r="2705">
          <cell r="A2705">
            <v>95030253</v>
          </cell>
          <cell r="B2705" t="str">
            <v>두카트253000_모험</v>
          </cell>
        </row>
        <row r="2706">
          <cell r="A2706">
            <v>95030254</v>
          </cell>
          <cell r="B2706" t="str">
            <v>두카트254000_모험</v>
          </cell>
        </row>
        <row r="2707">
          <cell r="A2707">
            <v>95030255</v>
          </cell>
          <cell r="B2707" t="str">
            <v>두카트255000_모험</v>
          </cell>
        </row>
        <row r="2708">
          <cell r="A2708">
            <v>95030256</v>
          </cell>
          <cell r="B2708" t="str">
            <v>두카트256000_모험</v>
          </cell>
        </row>
        <row r="2709">
          <cell r="A2709">
            <v>95030257</v>
          </cell>
          <cell r="B2709" t="str">
            <v>두카트257000_모험</v>
          </cell>
        </row>
        <row r="2710">
          <cell r="A2710">
            <v>95030258</v>
          </cell>
          <cell r="B2710" t="str">
            <v>두카트258000_모험</v>
          </cell>
        </row>
        <row r="2711">
          <cell r="A2711">
            <v>95030259</v>
          </cell>
          <cell r="B2711" t="str">
            <v>두카트259000_모험</v>
          </cell>
        </row>
        <row r="2712">
          <cell r="A2712">
            <v>95030260</v>
          </cell>
          <cell r="B2712" t="str">
            <v>두카트260000_모험</v>
          </cell>
        </row>
        <row r="2713">
          <cell r="A2713">
            <v>95030261</v>
          </cell>
          <cell r="B2713" t="str">
            <v>두카트261000_모험</v>
          </cell>
        </row>
        <row r="2714">
          <cell r="A2714">
            <v>95030262</v>
          </cell>
          <cell r="B2714" t="str">
            <v>두카트262000_모험</v>
          </cell>
        </row>
        <row r="2715">
          <cell r="A2715">
            <v>95030263</v>
          </cell>
          <cell r="B2715" t="str">
            <v>두카트263000_모험</v>
          </cell>
        </row>
        <row r="2716">
          <cell r="A2716">
            <v>95030264</v>
          </cell>
          <cell r="B2716" t="str">
            <v>두카트264000_모험</v>
          </cell>
        </row>
        <row r="2717">
          <cell r="A2717">
            <v>95030265</v>
          </cell>
          <cell r="B2717" t="str">
            <v>두카트265000_모험</v>
          </cell>
        </row>
        <row r="2718">
          <cell r="A2718">
            <v>95030266</v>
          </cell>
          <cell r="B2718" t="str">
            <v>두카트266000_모험</v>
          </cell>
        </row>
        <row r="2719">
          <cell r="A2719">
            <v>95030267</v>
          </cell>
          <cell r="B2719" t="str">
            <v>두카트267000_모험</v>
          </cell>
        </row>
        <row r="2720">
          <cell r="A2720">
            <v>95030268</v>
          </cell>
          <cell r="B2720" t="str">
            <v>두카트268000_모험</v>
          </cell>
        </row>
        <row r="2721">
          <cell r="A2721">
            <v>95030269</v>
          </cell>
          <cell r="B2721" t="str">
            <v>두카트269000_모험</v>
          </cell>
        </row>
        <row r="2722">
          <cell r="A2722">
            <v>95030270</v>
          </cell>
          <cell r="B2722" t="str">
            <v>두카트270000_모험</v>
          </cell>
        </row>
        <row r="2723">
          <cell r="A2723">
            <v>95030271</v>
          </cell>
          <cell r="B2723" t="str">
            <v>두카트271000_모험</v>
          </cell>
        </row>
        <row r="2724">
          <cell r="A2724">
            <v>95030272</v>
          </cell>
          <cell r="B2724" t="str">
            <v>두카트272000_모험</v>
          </cell>
        </row>
        <row r="2725">
          <cell r="A2725">
            <v>95030273</v>
          </cell>
          <cell r="B2725" t="str">
            <v>두카트273000_모험</v>
          </cell>
        </row>
        <row r="2726">
          <cell r="A2726">
            <v>95030274</v>
          </cell>
          <cell r="B2726" t="str">
            <v>두카트274000_모험</v>
          </cell>
        </row>
        <row r="2727">
          <cell r="A2727">
            <v>95030275</v>
          </cell>
          <cell r="B2727" t="str">
            <v>두카트275000_모험</v>
          </cell>
        </row>
        <row r="2728">
          <cell r="A2728">
            <v>95030276</v>
          </cell>
          <cell r="B2728" t="str">
            <v>두카트276000_모험</v>
          </cell>
        </row>
        <row r="2729">
          <cell r="A2729">
            <v>95030277</v>
          </cell>
          <cell r="B2729" t="str">
            <v>두카트277000_모험</v>
          </cell>
        </row>
        <row r="2730">
          <cell r="A2730">
            <v>95030278</v>
          </cell>
          <cell r="B2730" t="str">
            <v>두카트278000_모험</v>
          </cell>
        </row>
        <row r="2731">
          <cell r="A2731">
            <v>95030279</v>
          </cell>
          <cell r="B2731" t="str">
            <v>두카트279000_모험</v>
          </cell>
        </row>
        <row r="2732">
          <cell r="A2732">
            <v>95030280</v>
          </cell>
          <cell r="B2732" t="str">
            <v>두카트280000_모험</v>
          </cell>
        </row>
        <row r="2733">
          <cell r="A2733">
            <v>95030281</v>
          </cell>
          <cell r="B2733" t="str">
            <v>두카트281000_모험</v>
          </cell>
        </row>
        <row r="2734">
          <cell r="A2734">
            <v>95030282</v>
          </cell>
          <cell r="B2734" t="str">
            <v>두카트282000_모험</v>
          </cell>
        </row>
        <row r="2735">
          <cell r="A2735">
            <v>95030283</v>
          </cell>
          <cell r="B2735" t="str">
            <v>두카트283000_모험</v>
          </cell>
        </row>
        <row r="2736">
          <cell r="A2736">
            <v>95030284</v>
          </cell>
          <cell r="B2736" t="str">
            <v>두카트284000_모험</v>
          </cell>
        </row>
        <row r="2737">
          <cell r="A2737">
            <v>95030285</v>
          </cell>
          <cell r="B2737" t="str">
            <v>두카트285000_모험</v>
          </cell>
        </row>
        <row r="2738">
          <cell r="A2738">
            <v>95030286</v>
          </cell>
          <cell r="B2738" t="str">
            <v>두카트286000_모험</v>
          </cell>
        </row>
        <row r="2739">
          <cell r="A2739">
            <v>95030287</v>
          </cell>
          <cell r="B2739" t="str">
            <v>두카트287000_모험</v>
          </cell>
        </row>
        <row r="2740">
          <cell r="A2740">
            <v>95030288</v>
          </cell>
          <cell r="B2740" t="str">
            <v>두카트288000_모험</v>
          </cell>
        </row>
        <row r="2741">
          <cell r="A2741">
            <v>95030289</v>
          </cell>
          <cell r="B2741" t="str">
            <v>두카트289000_모험</v>
          </cell>
        </row>
        <row r="2742">
          <cell r="A2742">
            <v>95030290</v>
          </cell>
          <cell r="B2742" t="str">
            <v>두카트290000_모험</v>
          </cell>
        </row>
        <row r="2743">
          <cell r="A2743">
            <v>95030291</v>
          </cell>
          <cell r="B2743" t="str">
            <v>두카트291000_모험</v>
          </cell>
        </row>
        <row r="2744">
          <cell r="A2744">
            <v>95030292</v>
          </cell>
          <cell r="B2744" t="str">
            <v>두카트292000_모험</v>
          </cell>
        </row>
        <row r="2745">
          <cell r="A2745">
            <v>95030293</v>
          </cell>
          <cell r="B2745" t="str">
            <v>두카트293000_모험</v>
          </cell>
        </row>
        <row r="2746">
          <cell r="A2746">
            <v>95030294</v>
          </cell>
          <cell r="B2746" t="str">
            <v>두카트294000_모험</v>
          </cell>
        </row>
        <row r="2747">
          <cell r="A2747">
            <v>95030295</v>
          </cell>
          <cell r="B2747" t="str">
            <v>두카트295000_모험</v>
          </cell>
        </row>
        <row r="2748">
          <cell r="A2748">
            <v>95030296</v>
          </cell>
          <cell r="B2748" t="str">
            <v>두카트296000_모험</v>
          </cell>
        </row>
        <row r="2749">
          <cell r="A2749">
            <v>95030297</v>
          </cell>
          <cell r="B2749" t="str">
            <v>두카트297000_모험</v>
          </cell>
        </row>
        <row r="2750">
          <cell r="A2750">
            <v>95030298</v>
          </cell>
          <cell r="B2750" t="str">
            <v>두카트298000_모험</v>
          </cell>
        </row>
        <row r="2751">
          <cell r="A2751">
            <v>95030299</v>
          </cell>
          <cell r="B2751" t="str">
            <v>두카트299000_모험</v>
          </cell>
        </row>
        <row r="2752">
          <cell r="A2752">
            <v>95030300</v>
          </cell>
          <cell r="B2752" t="str">
            <v>두카트300000_모험</v>
          </cell>
        </row>
        <row r="2753">
          <cell r="A2753">
            <v>95030301</v>
          </cell>
          <cell r="B2753" t="str">
            <v>두카트301000_모험</v>
          </cell>
        </row>
        <row r="2754">
          <cell r="A2754">
            <v>95030302</v>
          </cell>
          <cell r="B2754" t="str">
            <v>두카트302000_모험</v>
          </cell>
        </row>
        <row r="2755">
          <cell r="A2755">
            <v>95030303</v>
          </cell>
          <cell r="B2755" t="str">
            <v>두카트303000_모험</v>
          </cell>
        </row>
        <row r="2756">
          <cell r="A2756">
            <v>95030304</v>
          </cell>
          <cell r="B2756" t="str">
            <v>두카트304000_모험</v>
          </cell>
        </row>
        <row r="2757">
          <cell r="A2757">
            <v>95030305</v>
          </cell>
          <cell r="B2757" t="str">
            <v>두카트305000_모험</v>
          </cell>
        </row>
        <row r="2758">
          <cell r="A2758">
            <v>95030306</v>
          </cell>
          <cell r="B2758" t="str">
            <v>두카트306000_모험</v>
          </cell>
        </row>
        <row r="2759">
          <cell r="A2759">
            <v>95030307</v>
          </cell>
          <cell r="B2759" t="str">
            <v>두카트307000_모험</v>
          </cell>
        </row>
        <row r="2760">
          <cell r="A2760">
            <v>95030308</v>
          </cell>
          <cell r="B2760" t="str">
            <v>두카트308000_모험</v>
          </cell>
        </row>
        <row r="2761">
          <cell r="A2761">
            <v>95030309</v>
          </cell>
          <cell r="B2761" t="str">
            <v>두카트309000_모험</v>
          </cell>
        </row>
        <row r="2762">
          <cell r="A2762">
            <v>95030310</v>
          </cell>
          <cell r="B2762" t="str">
            <v>두카트310000_모험</v>
          </cell>
        </row>
        <row r="2763">
          <cell r="A2763">
            <v>95030311</v>
          </cell>
          <cell r="B2763" t="str">
            <v>두카트311000_모험</v>
          </cell>
        </row>
        <row r="2764">
          <cell r="A2764">
            <v>95030312</v>
          </cell>
          <cell r="B2764" t="str">
            <v>두카트312000_모험</v>
          </cell>
        </row>
        <row r="2765">
          <cell r="A2765">
            <v>95030313</v>
          </cell>
          <cell r="B2765" t="str">
            <v>두카트313000_모험</v>
          </cell>
        </row>
        <row r="2766">
          <cell r="A2766">
            <v>95030314</v>
          </cell>
          <cell r="B2766" t="str">
            <v>두카트314000_모험</v>
          </cell>
        </row>
        <row r="2767">
          <cell r="A2767">
            <v>95030315</v>
          </cell>
          <cell r="B2767" t="str">
            <v>두카트315000_모험</v>
          </cell>
        </row>
        <row r="2768">
          <cell r="A2768">
            <v>95030316</v>
          </cell>
          <cell r="B2768" t="str">
            <v>두카트316000_모험</v>
          </cell>
        </row>
        <row r="2769">
          <cell r="A2769">
            <v>95030317</v>
          </cell>
          <cell r="B2769" t="str">
            <v>두카트317000_모험</v>
          </cell>
        </row>
        <row r="2770">
          <cell r="A2770">
            <v>95030318</v>
          </cell>
          <cell r="B2770" t="str">
            <v>두카트318000_모험</v>
          </cell>
        </row>
        <row r="2771">
          <cell r="A2771">
            <v>95030319</v>
          </cell>
          <cell r="B2771" t="str">
            <v>두카트319000_모험</v>
          </cell>
        </row>
        <row r="2772">
          <cell r="A2772">
            <v>95030320</v>
          </cell>
          <cell r="B2772" t="str">
            <v>두카트320000_모험</v>
          </cell>
        </row>
        <row r="2773">
          <cell r="A2773">
            <v>95030321</v>
          </cell>
          <cell r="B2773" t="str">
            <v>두카트321000_모험</v>
          </cell>
        </row>
        <row r="2774">
          <cell r="A2774">
            <v>95030322</v>
          </cell>
          <cell r="B2774" t="str">
            <v>두카트322000_모험</v>
          </cell>
        </row>
        <row r="2775">
          <cell r="A2775">
            <v>95030323</v>
          </cell>
          <cell r="B2775" t="str">
            <v>두카트323000_모험</v>
          </cell>
        </row>
        <row r="2776">
          <cell r="A2776">
            <v>95030324</v>
          </cell>
          <cell r="B2776" t="str">
            <v>두카트324000_모험</v>
          </cell>
        </row>
        <row r="2777">
          <cell r="A2777">
            <v>95030325</v>
          </cell>
          <cell r="B2777" t="str">
            <v>두카트325000_모험</v>
          </cell>
        </row>
        <row r="2778">
          <cell r="A2778">
            <v>95030326</v>
          </cell>
          <cell r="B2778" t="str">
            <v>두카트326000_모험</v>
          </cell>
        </row>
        <row r="2779">
          <cell r="A2779">
            <v>95030327</v>
          </cell>
          <cell r="B2779" t="str">
            <v>두카트327000_모험</v>
          </cell>
        </row>
        <row r="2780">
          <cell r="A2780">
            <v>95030328</v>
          </cell>
          <cell r="B2780" t="str">
            <v>두카트328000_모험</v>
          </cell>
        </row>
        <row r="2781">
          <cell r="A2781">
            <v>95030329</v>
          </cell>
          <cell r="B2781" t="str">
            <v>두카트329000_모험</v>
          </cell>
        </row>
        <row r="2782">
          <cell r="A2782">
            <v>95030330</v>
          </cell>
          <cell r="B2782" t="str">
            <v>두카트330000_모험</v>
          </cell>
        </row>
        <row r="2783">
          <cell r="A2783">
            <v>95030331</v>
          </cell>
          <cell r="B2783" t="str">
            <v>두카트331000_모험</v>
          </cell>
        </row>
        <row r="2784">
          <cell r="A2784">
            <v>95030332</v>
          </cell>
          <cell r="B2784" t="str">
            <v>두카트332000_모험</v>
          </cell>
        </row>
        <row r="2785">
          <cell r="A2785">
            <v>95030333</v>
          </cell>
          <cell r="B2785" t="str">
            <v>두카트333000_모험</v>
          </cell>
        </row>
        <row r="2786">
          <cell r="A2786">
            <v>95030334</v>
          </cell>
          <cell r="B2786" t="str">
            <v>두카트334000_모험</v>
          </cell>
        </row>
        <row r="2787">
          <cell r="A2787">
            <v>95030335</v>
          </cell>
          <cell r="B2787" t="str">
            <v>두카트335000_모험</v>
          </cell>
        </row>
        <row r="2788">
          <cell r="A2788">
            <v>95030336</v>
          </cell>
          <cell r="B2788" t="str">
            <v>두카트336000_모험</v>
          </cell>
        </row>
        <row r="2789">
          <cell r="A2789">
            <v>95030337</v>
          </cell>
          <cell r="B2789" t="str">
            <v>두카트337000_모험</v>
          </cell>
        </row>
        <row r="2790">
          <cell r="A2790">
            <v>95030338</v>
          </cell>
          <cell r="B2790" t="str">
            <v>두카트338000_모험</v>
          </cell>
        </row>
        <row r="2791">
          <cell r="A2791">
            <v>95030339</v>
          </cell>
          <cell r="B2791" t="str">
            <v>두카트339000_모험</v>
          </cell>
        </row>
        <row r="2792">
          <cell r="A2792">
            <v>95030340</v>
          </cell>
          <cell r="B2792" t="str">
            <v>두카트340000_모험</v>
          </cell>
        </row>
        <row r="2793">
          <cell r="A2793">
            <v>95030341</v>
          </cell>
          <cell r="B2793" t="str">
            <v>두카트341000_모험</v>
          </cell>
        </row>
        <row r="2794">
          <cell r="A2794">
            <v>95030342</v>
          </cell>
          <cell r="B2794" t="str">
            <v>두카트342000_모험</v>
          </cell>
        </row>
        <row r="2795">
          <cell r="A2795">
            <v>95030343</v>
          </cell>
          <cell r="B2795" t="str">
            <v>두카트343000_모험</v>
          </cell>
        </row>
        <row r="2796">
          <cell r="A2796">
            <v>95030344</v>
          </cell>
          <cell r="B2796" t="str">
            <v>두카트344000_모험</v>
          </cell>
        </row>
        <row r="2797">
          <cell r="A2797">
            <v>95030345</v>
          </cell>
          <cell r="B2797" t="str">
            <v>두카트345000_모험</v>
          </cell>
        </row>
        <row r="2798">
          <cell r="A2798">
            <v>95030346</v>
          </cell>
          <cell r="B2798" t="str">
            <v>두카트346000_모험</v>
          </cell>
        </row>
        <row r="2799">
          <cell r="A2799">
            <v>95030347</v>
          </cell>
          <cell r="B2799" t="str">
            <v>두카트347000_모험</v>
          </cell>
        </row>
        <row r="2800">
          <cell r="A2800">
            <v>95030348</v>
          </cell>
          <cell r="B2800" t="str">
            <v>두카트348000_모험</v>
          </cell>
        </row>
        <row r="2801">
          <cell r="A2801">
            <v>95030349</v>
          </cell>
          <cell r="B2801" t="str">
            <v>두카트349000_모험</v>
          </cell>
        </row>
        <row r="2802">
          <cell r="A2802">
            <v>95030350</v>
          </cell>
          <cell r="B2802" t="str">
            <v>두카트350000_모험</v>
          </cell>
        </row>
        <row r="2803">
          <cell r="A2803">
            <v>95030351</v>
          </cell>
          <cell r="B2803" t="str">
            <v>두카트351000_모험</v>
          </cell>
        </row>
        <row r="2804">
          <cell r="A2804">
            <v>95030352</v>
          </cell>
          <cell r="B2804" t="str">
            <v>두카트352000_모험</v>
          </cell>
        </row>
        <row r="2805">
          <cell r="A2805">
            <v>95030353</v>
          </cell>
          <cell r="B2805" t="str">
            <v>두카트353000_모험</v>
          </cell>
        </row>
        <row r="2806">
          <cell r="A2806">
            <v>95030354</v>
          </cell>
          <cell r="B2806" t="str">
            <v>두카트354000_모험</v>
          </cell>
        </row>
        <row r="2807">
          <cell r="A2807">
            <v>95030355</v>
          </cell>
          <cell r="B2807" t="str">
            <v>두카트355000_모험</v>
          </cell>
        </row>
        <row r="2808">
          <cell r="A2808">
            <v>95030356</v>
          </cell>
          <cell r="B2808" t="str">
            <v>두카트356000_모험</v>
          </cell>
        </row>
        <row r="2809">
          <cell r="A2809">
            <v>95030357</v>
          </cell>
          <cell r="B2809" t="str">
            <v>두카트357000_모험</v>
          </cell>
        </row>
        <row r="2810">
          <cell r="A2810">
            <v>95030358</v>
          </cell>
          <cell r="B2810" t="str">
            <v>두카트358000_모험</v>
          </cell>
        </row>
        <row r="2811">
          <cell r="A2811">
            <v>95030359</v>
          </cell>
          <cell r="B2811" t="str">
            <v>두카트359000_모험</v>
          </cell>
        </row>
        <row r="2812">
          <cell r="A2812">
            <v>95030360</v>
          </cell>
          <cell r="B2812" t="str">
            <v>두카트360000_모험</v>
          </cell>
        </row>
        <row r="2813">
          <cell r="A2813">
            <v>95030361</v>
          </cell>
          <cell r="B2813" t="str">
            <v>두카트361000_모험</v>
          </cell>
        </row>
        <row r="2814">
          <cell r="A2814">
            <v>95030362</v>
          </cell>
          <cell r="B2814" t="str">
            <v>두카트362000_모험</v>
          </cell>
        </row>
        <row r="2815">
          <cell r="A2815">
            <v>95030363</v>
          </cell>
          <cell r="B2815" t="str">
            <v>두카트363000_모험</v>
          </cell>
        </row>
        <row r="2816">
          <cell r="A2816">
            <v>95030364</v>
          </cell>
          <cell r="B2816" t="str">
            <v>두카트364000_모험</v>
          </cell>
        </row>
        <row r="2817">
          <cell r="A2817">
            <v>95030365</v>
          </cell>
          <cell r="B2817" t="str">
            <v>두카트365000_모험</v>
          </cell>
        </row>
        <row r="2818">
          <cell r="A2818">
            <v>95030366</v>
          </cell>
          <cell r="B2818" t="str">
            <v>두카트366000_모험</v>
          </cell>
        </row>
        <row r="2819">
          <cell r="A2819">
            <v>95030367</v>
          </cell>
          <cell r="B2819" t="str">
            <v>두카트367000_모험</v>
          </cell>
        </row>
        <row r="2820">
          <cell r="A2820">
            <v>95030368</v>
          </cell>
          <cell r="B2820" t="str">
            <v>두카트368000_모험</v>
          </cell>
        </row>
        <row r="2821">
          <cell r="A2821">
            <v>95030369</v>
          </cell>
          <cell r="B2821" t="str">
            <v>두카트369000_모험</v>
          </cell>
        </row>
        <row r="2822">
          <cell r="A2822">
            <v>95030370</v>
          </cell>
          <cell r="B2822" t="str">
            <v>두카트370000_모험</v>
          </cell>
        </row>
        <row r="2823">
          <cell r="A2823">
            <v>95030371</v>
          </cell>
          <cell r="B2823" t="str">
            <v>두카트371000_모험</v>
          </cell>
        </row>
        <row r="2824">
          <cell r="A2824">
            <v>95030372</v>
          </cell>
          <cell r="B2824" t="str">
            <v>두카트372000_모험</v>
          </cell>
        </row>
        <row r="2825">
          <cell r="A2825">
            <v>95030373</v>
          </cell>
          <cell r="B2825" t="str">
            <v>두카트373000_모험</v>
          </cell>
        </row>
        <row r="2826">
          <cell r="A2826">
            <v>95030374</v>
          </cell>
          <cell r="B2826" t="str">
            <v>두카트374000_모험</v>
          </cell>
        </row>
        <row r="2827">
          <cell r="A2827">
            <v>95030375</v>
          </cell>
          <cell r="B2827" t="str">
            <v>두카트375000_모험</v>
          </cell>
        </row>
        <row r="2828">
          <cell r="A2828">
            <v>95030376</v>
          </cell>
          <cell r="B2828" t="str">
            <v>두카트376000_모험</v>
          </cell>
        </row>
        <row r="2829">
          <cell r="A2829">
            <v>95030377</v>
          </cell>
          <cell r="B2829" t="str">
            <v>두카트377000_모험</v>
          </cell>
        </row>
        <row r="2830">
          <cell r="A2830">
            <v>95030378</v>
          </cell>
          <cell r="B2830" t="str">
            <v>두카트378000_모험</v>
          </cell>
        </row>
        <row r="2831">
          <cell r="A2831">
            <v>95030379</v>
          </cell>
          <cell r="B2831" t="str">
            <v>두카트379000_모험</v>
          </cell>
        </row>
        <row r="2832">
          <cell r="A2832">
            <v>95030380</v>
          </cell>
          <cell r="B2832" t="str">
            <v>두카트380000_모험</v>
          </cell>
        </row>
        <row r="2833">
          <cell r="A2833">
            <v>95030381</v>
          </cell>
          <cell r="B2833" t="str">
            <v>두카트381000_모험</v>
          </cell>
        </row>
        <row r="2834">
          <cell r="A2834">
            <v>95030382</v>
          </cell>
          <cell r="B2834" t="str">
            <v>두카트382000_모험</v>
          </cell>
        </row>
        <row r="2835">
          <cell r="A2835">
            <v>95030383</v>
          </cell>
          <cell r="B2835" t="str">
            <v>두카트383000_모험</v>
          </cell>
        </row>
        <row r="2836">
          <cell r="A2836">
            <v>95030384</v>
          </cell>
          <cell r="B2836" t="str">
            <v>두카트384000_모험</v>
          </cell>
        </row>
        <row r="2837">
          <cell r="A2837">
            <v>95030385</v>
          </cell>
          <cell r="B2837" t="str">
            <v>두카트385000_모험</v>
          </cell>
        </row>
        <row r="2838">
          <cell r="A2838">
            <v>95030386</v>
          </cell>
          <cell r="B2838" t="str">
            <v>두카트386000_모험</v>
          </cell>
        </row>
        <row r="2839">
          <cell r="A2839">
            <v>95030387</v>
          </cell>
          <cell r="B2839" t="str">
            <v>두카트387000_모험</v>
          </cell>
        </row>
        <row r="2840">
          <cell r="A2840">
            <v>95030388</v>
          </cell>
          <cell r="B2840" t="str">
            <v>두카트388000_모험</v>
          </cell>
        </row>
        <row r="2841">
          <cell r="A2841">
            <v>95030389</v>
          </cell>
          <cell r="B2841" t="str">
            <v>두카트389000_모험</v>
          </cell>
        </row>
        <row r="2842">
          <cell r="A2842">
            <v>95030390</v>
          </cell>
          <cell r="B2842" t="str">
            <v>두카트390000_모험</v>
          </cell>
        </row>
        <row r="2843">
          <cell r="A2843">
            <v>95030391</v>
          </cell>
          <cell r="B2843" t="str">
            <v>두카트391000_모험</v>
          </cell>
        </row>
        <row r="2844">
          <cell r="A2844">
            <v>95030392</v>
          </cell>
          <cell r="B2844" t="str">
            <v>두카트392000_모험</v>
          </cell>
        </row>
        <row r="2845">
          <cell r="A2845">
            <v>95030393</v>
          </cell>
          <cell r="B2845" t="str">
            <v>두카트393000_모험</v>
          </cell>
        </row>
        <row r="2846">
          <cell r="A2846">
            <v>95030394</v>
          </cell>
          <cell r="B2846" t="str">
            <v>두카트394000_모험</v>
          </cell>
        </row>
        <row r="2847">
          <cell r="A2847">
            <v>95030395</v>
          </cell>
          <cell r="B2847" t="str">
            <v>두카트395000_모험</v>
          </cell>
        </row>
        <row r="2848">
          <cell r="A2848">
            <v>95030396</v>
          </cell>
          <cell r="B2848" t="str">
            <v>두카트396000_모험</v>
          </cell>
        </row>
        <row r="2849">
          <cell r="A2849">
            <v>95030397</v>
          </cell>
          <cell r="B2849" t="str">
            <v>두카트397000_모험</v>
          </cell>
        </row>
        <row r="2850">
          <cell r="A2850">
            <v>95030398</v>
          </cell>
          <cell r="B2850" t="str">
            <v>두카트398000_모험</v>
          </cell>
        </row>
        <row r="2851">
          <cell r="A2851">
            <v>95030399</v>
          </cell>
          <cell r="B2851" t="str">
            <v>두카트399000_모험</v>
          </cell>
        </row>
        <row r="2852">
          <cell r="A2852">
            <v>95030400</v>
          </cell>
          <cell r="B2852" t="str">
            <v>두카트400000_모험</v>
          </cell>
        </row>
        <row r="2853">
          <cell r="A2853">
            <v>95030401</v>
          </cell>
          <cell r="B2853" t="str">
            <v>두카트401000_모험</v>
          </cell>
        </row>
        <row r="2854">
          <cell r="A2854">
            <v>95030402</v>
          </cell>
          <cell r="B2854" t="str">
            <v>두카트402000_모험</v>
          </cell>
        </row>
        <row r="2855">
          <cell r="A2855">
            <v>95030403</v>
          </cell>
          <cell r="B2855" t="str">
            <v>두카트403000_모험</v>
          </cell>
        </row>
        <row r="2856">
          <cell r="A2856">
            <v>95030404</v>
          </cell>
          <cell r="B2856" t="str">
            <v>두카트404000_모험</v>
          </cell>
        </row>
        <row r="2857">
          <cell r="A2857">
            <v>95030405</v>
          </cell>
          <cell r="B2857" t="str">
            <v>두카트405000_모험</v>
          </cell>
        </row>
        <row r="2858">
          <cell r="A2858">
            <v>95030406</v>
          </cell>
          <cell r="B2858" t="str">
            <v>두카트406000_모험</v>
          </cell>
        </row>
        <row r="2859">
          <cell r="A2859">
            <v>95030407</v>
          </cell>
          <cell r="B2859" t="str">
            <v>두카트407000_모험</v>
          </cell>
        </row>
        <row r="2860">
          <cell r="A2860">
            <v>95030408</v>
          </cell>
          <cell r="B2860" t="str">
            <v>두카트408000_모험</v>
          </cell>
        </row>
        <row r="2861">
          <cell r="A2861">
            <v>95030409</v>
          </cell>
          <cell r="B2861" t="str">
            <v>두카트409000_모험</v>
          </cell>
        </row>
        <row r="2862">
          <cell r="A2862">
            <v>95030410</v>
          </cell>
          <cell r="B2862" t="str">
            <v>두카트410000_모험</v>
          </cell>
        </row>
        <row r="2863">
          <cell r="A2863">
            <v>95030411</v>
          </cell>
          <cell r="B2863" t="str">
            <v>두카트411000_모험</v>
          </cell>
        </row>
        <row r="2864">
          <cell r="A2864">
            <v>95030412</v>
          </cell>
          <cell r="B2864" t="str">
            <v>두카트412000_모험</v>
          </cell>
        </row>
        <row r="2865">
          <cell r="A2865">
            <v>95030413</v>
          </cell>
          <cell r="B2865" t="str">
            <v>두카트413000_모험</v>
          </cell>
        </row>
        <row r="2866">
          <cell r="A2866">
            <v>95030414</v>
          </cell>
          <cell r="B2866" t="str">
            <v>두카트414000_모험</v>
          </cell>
        </row>
        <row r="2867">
          <cell r="A2867">
            <v>95030415</v>
          </cell>
          <cell r="B2867" t="str">
            <v>두카트415000_모험</v>
          </cell>
        </row>
        <row r="2868">
          <cell r="A2868">
            <v>95030416</v>
          </cell>
          <cell r="B2868" t="str">
            <v>두카트416000_모험</v>
          </cell>
        </row>
        <row r="2869">
          <cell r="A2869">
            <v>95030417</v>
          </cell>
          <cell r="B2869" t="str">
            <v>두카트417000_모험</v>
          </cell>
        </row>
        <row r="2870">
          <cell r="A2870">
            <v>95030418</v>
          </cell>
          <cell r="B2870" t="str">
            <v>두카트418000_모험</v>
          </cell>
        </row>
        <row r="2871">
          <cell r="A2871">
            <v>95030419</v>
          </cell>
          <cell r="B2871" t="str">
            <v>두카트419000_모험</v>
          </cell>
        </row>
        <row r="2872">
          <cell r="A2872">
            <v>95030420</v>
          </cell>
          <cell r="B2872" t="str">
            <v>두카트420000_모험</v>
          </cell>
        </row>
        <row r="2873">
          <cell r="A2873">
            <v>95030421</v>
          </cell>
          <cell r="B2873" t="str">
            <v>두카트421000_모험</v>
          </cell>
        </row>
        <row r="2874">
          <cell r="A2874">
            <v>95030422</v>
          </cell>
          <cell r="B2874" t="str">
            <v>두카트422000_모험</v>
          </cell>
        </row>
        <row r="2875">
          <cell r="A2875">
            <v>95030423</v>
          </cell>
          <cell r="B2875" t="str">
            <v>두카트423000_모험</v>
          </cell>
        </row>
        <row r="2876">
          <cell r="A2876">
            <v>95030424</v>
          </cell>
          <cell r="B2876" t="str">
            <v>두카트424000_모험</v>
          </cell>
        </row>
        <row r="2877">
          <cell r="A2877">
            <v>95030425</v>
          </cell>
          <cell r="B2877" t="str">
            <v>두카트425000_모험</v>
          </cell>
        </row>
        <row r="2878">
          <cell r="A2878">
            <v>95030426</v>
          </cell>
          <cell r="B2878" t="str">
            <v>두카트426000_모험</v>
          </cell>
        </row>
        <row r="2879">
          <cell r="A2879">
            <v>95030427</v>
          </cell>
          <cell r="B2879" t="str">
            <v>두카트427000_모험</v>
          </cell>
        </row>
        <row r="2880">
          <cell r="A2880">
            <v>95030428</v>
          </cell>
          <cell r="B2880" t="str">
            <v>두카트428000_모험</v>
          </cell>
        </row>
        <row r="2881">
          <cell r="A2881">
            <v>95030429</v>
          </cell>
          <cell r="B2881" t="str">
            <v>두카트429000_모험</v>
          </cell>
        </row>
        <row r="2882">
          <cell r="A2882">
            <v>95030430</v>
          </cell>
          <cell r="B2882" t="str">
            <v>두카트430000_모험</v>
          </cell>
        </row>
        <row r="2883">
          <cell r="A2883">
            <v>95030431</v>
          </cell>
          <cell r="B2883" t="str">
            <v>두카트431000_모험</v>
          </cell>
        </row>
        <row r="2884">
          <cell r="A2884">
            <v>95030432</v>
          </cell>
          <cell r="B2884" t="str">
            <v>두카트432000_모험</v>
          </cell>
        </row>
        <row r="2885">
          <cell r="A2885">
            <v>95030433</v>
          </cell>
          <cell r="B2885" t="str">
            <v>두카트433000_모험</v>
          </cell>
        </row>
        <row r="2886">
          <cell r="A2886">
            <v>95030434</v>
          </cell>
          <cell r="B2886" t="str">
            <v>두카트434000_모험</v>
          </cell>
        </row>
        <row r="2887">
          <cell r="A2887">
            <v>95030435</v>
          </cell>
          <cell r="B2887" t="str">
            <v>두카트435000_모험</v>
          </cell>
        </row>
        <row r="2888">
          <cell r="A2888">
            <v>95030436</v>
          </cell>
          <cell r="B2888" t="str">
            <v>두카트436000_모험</v>
          </cell>
        </row>
        <row r="2889">
          <cell r="A2889">
            <v>95030437</v>
          </cell>
          <cell r="B2889" t="str">
            <v>두카트437000_모험</v>
          </cell>
        </row>
        <row r="2890">
          <cell r="A2890">
            <v>95030438</v>
          </cell>
          <cell r="B2890" t="str">
            <v>두카트438000_모험</v>
          </cell>
        </row>
        <row r="2891">
          <cell r="A2891">
            <v>95030439</v>
          </cell>
          <cell r="B2891" t="str">
            <v>두카트439000_모험</v>
          </cell>
        </row>
        <row r="2892">
          <cell r="A2892">
            <v>95030440</v>
          </cell>
          <cell r="B2892" t="str">
            <v>두카트440000_모험</v>
          </cell>
        </row>
        <row r="2893">
          <cell r="A2893">
            <v>95030441</v>
          </cell>
          <cell r="B2893" t="str">
            <v>두카트441000_모험</v>
          </cell>
        </row>
        <row r="2894">
          <cell r="A2894">
            <v>95030442</v>
          </cell>
          <cell r="B2894" t="str">
            <v>두카트442000_모험</v>
          </cell>
        </row>
        <row r="2895">
          <cell r="A2895">
            <v>95030443</v>
          </cell>
          <cell r="B2895" t="str">
            <v>두카트443000_모험</v>
          </cell>
        </row>
        <row r="2896">
          <cell r="A2896">
            <v>95030444</v>
          </cell>
          <cell r="B2896" t="str">
            <v>두카트444000_모험</v>
          </cell>
        </row>
        <row r="2897">
          <cell r="A2897">
            <v>95030445</v>
          </cell>
          <cell r="B2897" t="str">
            <v>두카트445000_모험</v>
          </cell>
        </row>
        <row r="2898">
          <cell r="A2898">
            <v>95030446</v>
          </cell>
          <cell r="B2898" t="str">
            <v>두카트446000_모험</v>
          </cell>
        </row>
        <row r="2899">
          <cell r="A2899">
            <v>95030447</v>
          </cell>
          <cell r="B2899" t="str">
            <v>두카트447000_모험</v>
          </cell>
        </row>
        <row r="2900">
          <cell r="A2900">
            <v>95030448</v>
          </cell>
          <cell r="B2900" t="str">
            <v>두카트448000_모험</v>
          </cell>
        </row>
        <row r="2901">
          <cell r="A2901">
            <v>95030449</v>
          </cell>
          <cell r="B2901" t="str">
            <v>두카트449000_모험</v>
          </cell>
        </row>
        <row r="2902">
          <cell r="A2902">
            <v>95030450</v>
          </cell>
          <cell r="B2902" t="str">
            <v>두카트450000_모험</v>
          </cell>
        </row>
        <row r="2903">
          <cell r="A2903">
            <v>95030451</v>
          </cell>
          <cell r="B2903" t="str">
            <v>두카트451000_모험</v>
          </cell>
        </row>
        <row r="2904">
          <cell r="A2904">
            <v>95030452</v>
          </cell>
          <cell r="B2904" t="str">
            <v>두카트452000_모험</v>
          </cell>
        </row>
        <row r="2905">
          <cell r="A2905">
            <v>95030453</v>
          </cell>
          <cell r="B2905" t="str">
            <v>두카트453000_모험</v>
          </cell>
        </row>
        <row r="2906">
          <cell r="A2906">
            <v>95030454</v>
          </cell>
          <cell r="B2906" t="str">
            <v>두카트454000_모험</v>
          </cell>
        </row>
        <row r="2907">
          <cell r="A2907">
            <v>95030455</v>
          </cell>
          <cell r="B2907" t="str">
            <v>두카트455000_모험</v>
          </cell>
        </row>
        <row r="2908">
          <cell r="A2908">
            <v>95030456</v>
          </cell>
          <cell r="B2908" t="str">
            <v>두카트456000_모험</v>
          </cell>
        </row>
        <row r="2909">
          <cell r="A2909">
            <v>95030457</v>
          </cell>
          <cell r="B2909" t="str">
            <v>두카트457000_모험</v>
          </cell>
        </row>
        <row r="2910">
          <cell r="A2910">
            <v>95030458</v>
          </cell>
          <cell r="B2910" t="str">
            <v>두카트458000_모험</v>
          </cell>
        </row>
        <row r="2911">
          <cell r="A2911">
            <v>95030459</v>
          </cell>
          <cell r="B2911" t="str">
            <v>두카트459000_모험</v>
          </cell>
        </row>
        <row r="2912">
          <cell r="A2912">
            <v>95030460</v>
          </cell>
          <cell r="B2912" t="str">
            <v>두카트460000_모험</v>
          </cell>
        </row>
        <row r="2913">
          <cell r="A2913">
            <v>95030461</v>
          </cell>
          <cell r="B2913" t="str">
            <v>두카트461000_모험</v>
          </cell>
        </row>
        <row r="2914">
          <cell r="A2914">
            <v>95030462</v>
          </cell>
          <cell r="B2914" t="str">
            <v>두카트462000_모험</v>
          </cell>
        </row>
        <row r="2915">
          <cell r="A2915">
            <v>95030463</v>
          </cell>
          <cell r="B2915" t="str">
            <v>두카트463000_모험</v>
          </cell>
        </row>
        <row r="2916">
          <cell r="A2916">
            <v>95030464</v>
          </cell>
          <cell r="B2916" t="str">
            <v>두카트464000_모험</v>
          </cell>
        </row>
        <row r="2917">
          <cell r="A2917">
            <v>95030465</v>
          </cell>
          <cell r="B2917" t="str">
            <v>두카트465000_모험</v>
          </cell>
        </row>
        <row r="2918">
          <cell r="A2918">
            <v>95030466</v>
          </cell>
          <cell r="B2918" t="str">
            <v>두카트466000_모험</v>
          </cell>
        </row>
        <row r="2919">
          <cell r="A2919">
            <v>95030467</v>
          </cell>
          <cell r="B2919" t="str">
            <v>두카트467000_모험</v>
          </cell>
        </row>
        <row r="2920">
          <cell r="A2920">
            <v>95030468</v>
          </cell>
          <cell r="B2920" t="str">
            <v>두카트468000_모험</v>
          </cell>
        </row>
        <row r="2921">
          <cell r="A2921">
            <v>95030469</v>
          </cell>
          <cell r="B2921" t="str">
            <v>두카트469000_모험</v>
          </cell>
        </row>
        <row r="2922">
          <cell r="A2922">
            <v>95030470</v>
          </cell>
          <cell r="B2922" t="str">
            <v>두카트470000_모험</v>
          </cell>
        </row>
        <row r="2923">
          <cell r="A2923">
            <v>95030471</v>
          </cell>
          <cell r="B2923" t="str">
            <v>두카트471000_모험</v>
          </cell>
        </row>
        <row r="2924">
          <cell r="A2924">
            <v>95030472</v>
          </cell>
          <cell r="B2924" t="str">
            <v>두카트472000_모험</v>
          </cell>
        </row>
        <row r="2925">
          <cell r="A2925">
            <v>95030473</v>
          </cell>
          <cell r="B2925" t="str">
            <v>두카트473000_모험</v>
          </cell>
        </row>
        <row r="2926">
          <cell r="A2926">
            <v>95030474</v>
          </cell>
          <cell r="B2926" t="str">
            <v>두카트474000_모험</v>
          </cell>
        </row>
        <row r="2927">
          <cell r="A2927">
            <v>95030475</v>
          </cell>
          <cell r="B2927" t="str">
            <v>두카트475000_모험</v>
          </cell>
        </row>
        <row r="2928">
          <cell r="A2928">
            <v>95030476</v>
          </cell>
          <cell r="B2928" t="str">
            <v>두카트476000_모험</v>
          </cell>
        </row>
        <row r="2929">
          <cell r="A2929">
            <v>95030477</v>
          </cell>
          <cell r="B2929" t="str">
            <v>두카트477000_모험</v>
          </cell>
        </row>
        <row r="2930">
          <cell r="A2930">
            <v>95030478</v>
          </cell>
          <cell r="B2930" t="str">
            <v>두카트478000_모험</v>
          </cell>
        </row>
        <row r="2931">
          <cell r="A2931">
            <v>95030479</v>
          </cell>
          <cell r="B2931" t="str">
            <v>두카트479000_모험</v>
          </cell>
        </row>
        <row r="2932">
          <cell r="A2932">
            <v>95030480</v>
          </cell>
          <cell r="B2932" t="str">
            <v>두카트480000_모험</v>
          </cell>
        </row>
        <row r="2933">
          <cell r="A2933">
            <v>95030481</v>
          </cell>
          <cell r="B2933" t="str">
            <v>두카트481000_모험</v>
          </cell>
        </row>
        <row r="2934">
          <cell r="A2934">
            <v>95030482</v>
          </cell>
          <cell r="B2934" t="str">
            <v>두카트482000_모험</v>
          </cell>
        </row>
        <row r="2935">
          <cell r="A2935">
            <v>95030483</v>
          </cell>
          <cell r="B2935" t="str">
            <v>두카트483000_모험</v>
          </cell>
        </row>
        <row r="2936">
          <cell r="A2936">
            <v>95030484</v>
          </cell>
          <cell r="B2936" t="str">
            <v>두카트484000_모험</v>
          </cell>
        </row>
        <row r="2937">
          <cell r="A2937">
            <v>95030485</v>
          </cell>
          <cell r="B2937" t="str">
            <v>두카트485000_모험</v>
          </cell>
        </row>
        <row r="2938">
          <cell r="A2938">
            <v>95030486</v>
          </cell>
          <cell r="B2938" t="str">
            <v>두카트486000_모험</v>
          </cell>
        </row>
        <row r="2939">
          <cell r="A2939">
            <v>95030487</v>
          </cell>
          <cell r="B2939" t="str">
            <v>두카트487000_모험</v>
          </cell>
        </row>
        <row r="2940">
          <cell r="A2940">
            <v>95030488</v>
          </cell>
          <cell r="B2940" t="str">
            <v>두카트488000_모험</v>
          </cell>
        </row>
        <row r="2941">
          <cell r="A2941">
            <v>95030489</v>
          </cell>
          <cell r="B2941" t="str">
            <v>두카트489000_모험</v>
          </cell>
        </row>
        <row r="2942">
          <cell r="A2942">
            <v>95030490</v>
          </cell>
          <cell r="B2942" t="str">
            <v>두카트490000_모험</v>
          </cell>
        </row>
        <row r="2943">
          <cell r="A2943">
            <v>95030491</v>
          </cell>
          <cell r="B2943" t="str">
            <v>두카트491000_모험</v>
          </cell>
        </row>
        <row r="2944">
          <cell r="A2944">
            <v>95030492</v>
          </cell>
          <cell r="B2944" t="str">
            <v>두카트492000_모험</v>
          </cell>
        </row>
        <row r="2945">
          <cell r="A2945">
            <v>95030493</v>
          </cell>
          <cell r="B2945" t="str">
            <v>두카트493000_모험</v>
          </cell>
        </row>
        <row r="2946">
          <cell r="A2946">
            <v>95030494</v>
          </cell>
          <cell r="B2946" t="str">
            <v>두카트494000_모험</v>
          </cell>
        </row>
        <row r="2947">
          <cell r="A2947">
            <v>95030495</v>
          </cell>
          <cell r="B2947" t="str">
            <v>두카트495000_모험</v>
          </cell>
        </row>
        <row r="2948">
          <cell r="A2948">
            <v>95030496</v>
          </cell>
          <cell r="B2948" t="str">
            <v>두카트496000_모험</v>
          </cell>
        </row>
        <row r="2949">
          <cell r="A2949">
            <v>95030497</v>
          </cell>
          <cell r="B2949" t="str">
            <v>두카트497000_모험</v>
          </cell>
        </row>
        <row r="2950">
          <cell r="A2950">
            <v>95030498</v>
          </cell>
          <cell r="B2950" t="str">
            <v>두카트498000_모험</v>
          </cell>
        </row>
        <row r="2951">
          <cell r="A2951">
            <v>95030499</v>
          </cell>
          <cell r="B2951" t="str">
            <v>두카트499000_모험</v>
          </cell>
        </row>
        <row r="2952">
          <cell r="A2952">
            <v>95030500</v>
          </cell>
          <cell r="B2952" t="str">
            <v>두카트500000_모험</v>
          </cell>
        </row>
        <row r="2953">
          <cell r="A2953">
            <v>95030501</v>
          </cell>
          <cell r="B2953" t="str">
            <v>두카트501000_모험</v>
          </cell>
        </row>
        <row r="2954">
          <cell r="A2954">
            <v>95030502</v>
          </cell>
          <cell r="B2954" t="str">
            <v>두카트502000_모험</v>
          </cell>
        </row>
        <row r="2955">
          <cell r="A2955">
            <v>95030503</v>
          </cell>
          <cell r="B2955" t="str">
            <v>두카트503000_모험</v>
          </cell>
        </row>
        <row r="2956">
          <cell r="A2956">
            <v>95030504</v>
          </cell>
          <cell r="B2956" t="str">
            <v>두카트504000_모험</v>
          </cell>
        </row>
        <row r="2957">
          <cell r="A2957">
            <v>95030505</v>
          </cell>
          <cell r="B2957" t="str">
            <v>두카트505000_모험</v>
          </cell>
        </row>
        <row r="2958">
          <cell r="A2958">
            <v>95030506</v>
          </cell>
          <cell r="B2958" t="str">
            <v>두카트506000_모험</v>
          </cell>
        </row>
        <row r="2959">
          <cell r="A2959">
            <v>95030507</v>
          </cell>
          <cell r="B2959" t="str">
            <v>두카트507000_모험</v>
          </cell>
        </row>
        <row r="2960">
          <cell r="A2960">
            <v>95030508</v>
          </cell>
          <cell r="B2960" t="str">
            <v>두카트508000_모험</v>
          </cell>
        </row>
        <row r="2961">
          <cell r="A2961">
            <v>95030509</v>
          </cell>
          <cell r="B2961" t="str">
            <v>두카트509000_모험</v>
          </cell>
        </row>
        <row r="2962">
          <cell r="A2962">
            <v>95030510</v>
          </cell>
          <cell r="B2962" t="str">
            <v>두카트510000_모험</v>
          </cell>
        </row>
        <row r="2963">
          <cell r="A2963">
            <v>95030511</v>
          </cell>
          <cell r="B2963" t="str">
            <v>두카트511000_모험</v>
          </cell>
        </row>
        <row r="2964">
          <cell r="A2964">
            <v>95030512</v>
          </cell>
          <cell r="B2964" t="str">
            <v>두카트512000_모험</v>
          </cell>
        </row>
        <row r="2965">
          <cell r="A2965">
            <v>95030513</v>
          </cell>
          <cell r="B2965" t="str">
            <v>두카트513000_모험</v>
          </cell>
        </row>
        <row r="2966">
          <cell r="A2966">
            <v>95030514</v>
          </cell>
          <cell r="B2966" t="str">
            <v>두카트514000_모험</v>
          </cell>
        </row>
        <row r="2967">
          <cell r="A2967">
            <v>95030515</v>
          </cell>
          <cell r="B2967" t="str">
            <v>두카트515000_모험</v>
          </cell>
        </row>
        <row r="2968">
          <cell r="A2968">
            <v>95030516</v>
          </cell>
          <cell r="B2968" t="str">
            <v>두카트516000_모험</v>
          </cell>
        </row>
        <row r="2969">
          <cell r="A2969">
            <v>95030517</v>
          </cell>
          <cell r="B2969" t="str">
            <v>두카트517000_모험</v>
          </cell>
        </row>
        <row r="2970">
          <cell r="A2970">
            <v>95030518</v>
          </cell>
          <cell r="B2970" t="str">
            <v>두카트518000_모험</v>
          </cell>
        </row>
        <row r="2971">
          <cell r="A2971">
            <v>95030519</v>
          </cell>
          <cell r="B2971" t="str">
            <v>두카트519000_모험</v>
          </cell>
        </row>
        <row r="2972">
          <cell r="A2972">
            <v>95030520</v>
          </cell>
          <cell r="B2972" t="str">
            <v>두카트520000_모험</v>
          </cell>
        </row>
        <row r="2973">
          <cell r="A2973">
            <v>95030521</v>
          </cell>
          <cell r="B2973" t="str">
            <v>두카트521000_모험</v>
          </cell>
        </row>
        <row r="2974">
          <cell r="A2974">
            <v>95030522</v>
          </cell>
          <cell r="B2974" t="str">
            <v>두카트522000_모험</v>
          </cell>
        </row>
        <row r="2975">
          <cell r="A2975">
            <v>95030523</v>
          </cell>
          <cell r="B2975" t="str">
            <v>두카트523000_모험</v>
          </cell>
        </row>
        <row r="2976">
          <cell r="A2976">
            <v>95030524</v>
          </cell>
          <cell r="B2976" t="str">
            <v>두카트524000_모험</v>
          </cell>
        </row>
        <row r="2977">
          <cell r="A2977">
            <v>95030525</v>
          </cell>
          <cell r="B2977" t="str">
            <v>두카트525000_모험</v>
          </cell>
        </row>
        <row r="2978">
          <cell r="A2978">
            <v>95030526</v>
          </cell>
          <cell r="B2978" t="str">
            <v>두카트526000_모험</v>
          </cell>
        </row>
        <row r="2979">
          <cell r="A2979">
            <v>95030527</v>
          </cell>
          <cell r="B2979" t="str">
            <v>두카트527000_모험</v>
          </cell>
        </row>
        <row r="2980">
          <cell r="A2980">
            <v>95030528</v>
          </cell>
          <cell r="B2980" t="str">
            <v>두카트528000_모험</v>
          </cell>
        </row>
        <row r="2981">
          <cell r="A2981">
            <v>95030529</v>
          </cell>
          <cell r="B2981" t="str">
            <v>두카트529000_모험</v>
          </cell>
        </row>
        <row r="2982">
          <cell r="A2982">
            <v>95030530</v>
          </cell>
          <cell r="B2982" t="str">
            <v>두카트530000_모험</v>
          </cell>
        </row>
        <row r="2983">
          <cell r="A2983">
            <v>95030531</v>
          </cell>
          <cell r="B2983" t="str">
            <v>두카트531000_모험</v>
          </cell>
        </row>
        <row r="2984">
          <cell r="A2984">
            <v>95030532</v>
          </cell>
          <cell r="B2984" t="str">
            <v>두카트532000_모험</v>
          </cell>
        </row>
        <row r="2985">
          <cell r="A2985">
            <v>95030533</v>
          </cell>
          <cell r="B2985" t="str">
            <v>두카트533000_모험</v>
          </cell>
        </row>
        <row r="2986">
          <cell r="A2986">
            <v>95030534</v>
          </cell>
          <cell r="B2986" t="str">
            <v>두카트534000_모험</v>
          </cell>
        </row>
        <row r="2987">
          <cell r="A2987">
            <v>95030535</v>
          </cell>
          <cell r="B2987" t="str">
            <v>두카트535000_모험</v>
          </cell>
        </row>
        <row r="2988">
          <cell r="A2988">
            <v>95030536</v>
          </cell>
          <cell r="B2988" t="str">
            <v>두카트536000_모험</v>
          </cell>
        </row>
        <row r="2989">
          <cell r="A2989">
            <v>95030537</v>
          </cell>
          <cell r="B2989" t="str">
            <v>두카트537000_모험</v>
          </cell>
        </row>
        <row r="2990">
          <cell r="A2990">
            <v>95030538</v>
          </cell>
          <cell r="B2990" t="str">
            <v>두카트538000_모험</v>
          </cell>
        </row>
        <row r="2991">
          <cell r="A2991">
            <v>95030539</v>
          </cell>
          <cell r="B2991" t="str">
            <v>두카트539000_모험</v>
          </cell>
        </row>
        <row r="2992">
          <cell r="A2992">
            <v>95030540</v>
          </cell>
          <cell r="B2992" t="str">
            <v>두카트540000_모험</v>
          </cell>
        </row>
        <row r="2993">
          <cell r="A2993">
            <v>95030541</v>
          </cell>
          <cell r="B2993" t="str">
            <v>두카트541000_모험</v>
          </cell>
        </row>
        <row r="2994">
          <cell r="A2994">
            <v>95030542</v>
          </cell>
          <cell r="B2994" t="str">
            <v>두카트542000_모험</v>
          </cell>
        </row>
        <row r="2995">
          <cell r="A2995">
            <v>95030543</v>
          </cell>
          <cell r="B2995" t="str">
            <v>두카트543000_모험</v>
          </cell>
        </row>
        <row r="2996">
          <cell r="A2996">
            <v>95030544</v>
          </cell>
          <cell r="B2996" t="str">
            <v>두카트544000_모험</v>
          </cell>
        </row>
        <row r="2997">
          <cell r="A2997">
            <v>95030545</v>
          </cell>
          <cell r="B2997" t="str">
            <v>두카트545000_모험</v>
          </cell>
        </row>
        <row r="2998">
          <cell r="A2998">
            <v>95030546</v>
          </cell>
          <cell r="B2998" t="str">
            <v>두카트546000_모험</v>
          </cell>
        </row>
        <row r="2999">
          <cell r="A2999">
            <v>95030547</v>
          </cell>
          <cell r="B2999" t="str">
            <v>두카트547000_모험</v>
          </cell>
        </row>
        <row r="3000">
          <cell r="A3000">
            <v>95030548</v>
          </cell>
          <cell r="B3000" t="str">
            <v>두카트548000_모험</v>
          </cell>
        </row>
        <row r="3001">
          <cell r="A3001">
            <v>95030549</v>
          </cell>
          <cell r="B3001" t="str">
            <v>두카트549000_모험</v>
          </cell>
        </row>
        <row r="3002">
          <cell r="A3002">
            <v>95030550</v>
          </cell>
          <cell r="B3002" t="str">
            <v>두카트550000_모험</v>
          </cell>
        </row>
        <row r="3003">
          <cell r="A3003">
            <v>95030551</v>
          </cell>
          <cell r="B3003" t="str">
            <v>두카트551000_모험</v>
          </cell>
        </row>
        <row r="3004">
          <cell r="A3004">
            <v>95030552</v>
          </cell>
          <cell r="B3004" t="str">
            <v>두카트552000_모험</v>
          </cell>
        </row>
        <row r="3005">
          <cell r="A3005">
            <v>95030553</v>
          </cell>
          <cell r="B3005" t="str">
            <v>두카트553000_모험</v>
          </cell>
        </row>
        <row r="3006">
          <cell r="A3006">
            <v>95030554</v>
          </cell>
          <cell r="B3006" t="str">
            <v>두카트554000_모험</v>
          </cell>
        </row>
        <row r="3007">
          <cell r="A3007">
            <v>95030555</v>
          </cell>
          <cell r="B3007" t="str">
            <v>두카트555000_모험</v>
          </cell>
        </row>
        <row r="3008">
          <cell r="A3008">
            <v>95030556</v>
          </cell>
          <cell r="B3008" t="str">
            <v>두카트556000_모험</v>
          </cell>
        </row>
        <row r="3009">
          <cell r="A3009">
            <v>95030557</v>
          </cell>
          <cell r="B3009" t="str">
            <v>두카트557000_모험</v>
          </cell>
        </row>
        <row r="3010">
          <cell r="A3010">
            <v>95030558</v>
          </cell>
          <cell r="B3010" t="str">
            <v>두카트558000_모험</v>
          </cell>
        </row>
        <row r="3011">
          <cell r="A3011">
            <v>95030559</v>
          </cell>
          <cell r="B3011" t="str">
            <v>두카트559000_모험</v>
          </cell>
        </row>
        <row r="3012">
          <cell r="A3012">
            <v>95030560</v>
          </cell>
          <cell r="B3012" t="str">
            <v>두카트560000_모험</v>
          </cell>
        </row>
        <row r="3013">
          <cell r="A3013">
            <v>95030561</v>
          </cell>
          <cell r="B3013" t="str">
            <v>두카트561000_모험</v>
          </cell>
        </row>
        <row r="3014">
          <cell r="A3014">
            <v>95030562</v>
          </cell>
          <cell r="B3014" t="str">
            <v>두카트562000_모험</v>
          </cell>
        </row>
        <row r="3015">
          <cell r="A3015">
            <v>95030563</v>
          </cell>
          <cell r="B3015" t="str">
            <v>두카트563000_모험</v>
          </cell>
        </row>
        <row r="3016">
          <cell r="A3016">
            <v>95030564</v>
          </cell>
          <cell r="B3016" t="str">
            <v>두카트564000_모험</v>
          </cell>
        </row>
        <row r="3017">
          <cell r="A3017">
            <v>95030565</v>
          </cell>
          <cell r="B3017" t="str">
            <v>두카트565000_모험</v>
          </cell>
        </row>
        <row r="3018">
          <cell r="A3018">
            <v>95030566</v>
          </cell>
          <cell r="B3018" t="str">
            <v>두카트566000_모험</v>
          </cell>
        </row>
        <row r="3019">
          <cell r="A3019">
            <v>95030567</v>
          </cell>
          <cell r="B3019" t="str">
            <v>두카트567000_모험</v>
          </cell>
        </row>
        <row r="3020">
          <cell r="A3020">
            <v>95030568</v>
          </cell>
          <cell r="B3020" t="str">
            <v>두카트568000_모험</v>
          </cell>
        </row>
        <row r="3021">
          <cell r="A3021">
            <v>95030569</v>
          </cell>
          <cell r="B3021" t="str">
            <v>두카트569000_모험</v>
          </cell>
        </row>
        <row r="3022">
          <cell r="A3022">
            <v>95030570</v>
          </cell>
          <cell r="B3022" t="str">
            <v>두카트570000_모험</v>
          </cell>
        </row>
        <row r="3023">
          <cell r="A3023">
            <v>95030571</v>
          </cell>
          <cell r="B3023" t="str">
            <v>두카트571000_모험</v>
          </cell>
        </row>
        <row r="3024">
          <cell r="A3024">
            <v>95030572</v>
          </cell>
          <cell r="B3024" t="str">
            <v>두카트572000_모험</v>
          </cell>
        </row>
        <row r="3025">
          <cell r="A3025">
            <v>95030573</v>
          </cell>
          <cell r="B3025" t="str">
            <v>두카트573000_모험</v>
          </cell>
        </row>
        <row r="3026">
          <cell r="A3026">
            <v>95030574</v>
          </cell>
          <cell r="B3026" t="str">
            <v>두카트574000_모험</v>
          </cell>
        </row>
        <row r="3027">
          <cell r="A3027">
            <v>95030575</v>
          </cell>
          <cell r="B3027" t="str">
            <v>두카트575000_모험</v>
          </cell>
        </row>
        <row r="3028">
          <cell r="A3028">
            <v>95030576</v>
          </cell>
          <cell r="B3028" t="str">
            <v>두카트576000_모험</v>
          </cell>
        </row>
        <row r="3029">
          <cell r="A3029">
            <v>95030577</v>
          </cell>
          <cell r="B3029" t="str">
            <v>두카트577000_모험</v>
          </cell>
        </row>
        <row r="3030">
          <cell r="A3030">
            <v>95030578</v>
          </cell>
          <cell r="B3030" t="str">
            <v>두카트578000_모험</v>
          </cell>
        </row>
        <row r="3031">
          <cell r="A3031">
            <v>95030579</v>
          </cell>
          <cell r="B3031" t="str">
            <v>두카트579000_모험</v>
          </cell>
        </row>
        <row r="3032">
          <cell r="A3032">
            <v>95030580</v>
          </cell>
          <cell r="B3032" t="str">
            <v>두카트580000_모험</v>
          </cell>
        </row>
        <row r="3033">
          <cell r="A3033">
            <v>95030581</v>
          </cell>
          <cell r="B3033" t="str">
            <v>두카트581000_모험</v>
          </cell>
        </row>
        <row r="3034">
          <cell r="A3034">
            <v>95030582</v>
          </cell>
          <cell r="B3034" t="str">
            <v>두카트582000_모험</v>
          </cell>
        </row>
        <row r="3035">
          <cell r="A3035">
            <v>95030583</v>
          </cell>
          <cell r="B3035" t="str">
            <v>두카트583000_모험</v>
          </cell>
        </row>
        <row r="3036">
          <cell r="A3036">
            <v>95030584</v>
          </cell>
          <cell r="B3036" t="str">
            <v>두카트584000_모험</v>
          </cell>
        </row>
        <row r="3037">
          <cell r="A3037">
            <v>95030585</v>
          </cell>
          <cell r="B3037" t="str">
            <v>두카트585000_모험</v>
          </cell>
        </row>
        <row r="3038">
          <cell r="A3038">
            <v>95030586</v>
          </cell>
          <cell r="B3038" t="str">
            <v>두카트586000_모험</v>
          </cell>
        </row>
        <row r="3039">
          <cell r="A3039">
            <v>95030587</v>
          </cell>
          <cell r="B3039" t="str">
            <v>두카트587000_모험</v>
          </cell>
        </row>
        <row r="3040">
          <cell r="A3040">
            <v>95030588</v>
          </cell>
          <cell r="B3040" t="str">
            <v>두카트588000_모험</v>
          </cell>
        </row>
        <row r="3041">
          <cell r="A3041">
            <v>95030589</v>
          </cell>
          <cell r="B3041" t="str">
            <v>두카트589000_모험</v>
          </cell>
        </row>
        <row r="3042">
          <cell r="A3042">
            <v>95030590</v>
          </cell>
          <cell r="B3042" t="str">
            <v>두카트590000_모험</v>
          </cell>
        </row>
        <row r="3043">
          <cell r="A3043">
            <v>95030591</v>
          </cell>
          <cell r="B3043" t="str">
            <v>두카트591000_모험</v>
          </cell>
        </row>
        <row r="3044">
          <cell r="A3044">
            <v>95030592</v>
          </cell>
          <cell r="B3044" t="str">
            <v>두카트592000_모험</v>
          </cell>
        </row>
        <row r="3045">
          <cell r="A3045">
            <v>95030593</v>
          </cell>
          <cell r="B3045" t="str">
            <v>두카트593000_모험</v>
          </cell>
        </row>
        <row r="3046">
          <cell r="A3046">
            <v>95030594</v>
          </cell>
          <cell r="B3046" t="str">
            <v>두카트594000_모험</v>
          </cell>
        </row>
        <row r="3047">
          <cell r="A3047">
            <v>95030595</v>
          </cell>
          <cell r="B3047" t="str">
            <v>두카트595000_모험</v>
          </cell>
        </row>
        <row r="3048">
          <cell r="A3048">
            <v>95030596</v>
          </cell>
          <cell r="B3048" t="str">
            <v>두카트596000_모험</v>
          </cell>
        </row>
        <row r="3049">
          <cell r="A3049">
            <v>95030597</v>
          </cell>
          <cell r="B3049" t="str">
            <v>두카트597000_모험</v>
          </cell>
        </row>
        <row r="3050">
          <cell r="A3050">
            <v>95030598</v>
          </cell>
          <cell r="B3050" t="str">
            <v>두카트598000_모험</v>
          </cell>
        </row>
        <row r="3051">
          <cell r="A3051">
            <v>95030599</v>
          </cell>
          <cell r="B3051" t="str">
            <v>두카트599000_모험</v>
          </cell>
        </row>
        <row r="3052">
          <cell r="A3052">
            <v>95030600</v>
          </cell>
          <cell r="B3052" t="str">
            <v>두카트600000_모험</v>
          </cell>
        </row>
        <row r="3053">
          <cell r="A3053">
            <v>95030601</v>
          </cell>
          <cell r="B3053" t="str">
            <v>두카트601000_모험</v>
          </cell>
        </row>
        <row r="3054">
          <cell r="A3054">
            <v>95030602</v>
          </cell>
          <cell r="B3054" t="str">
            <v>두카트602000_모험</v>
          </cell>
        </row>
        <row r="3055">
          <cell r="A3055">
            <v>95030603</v>
          </cell>
          <cell r="B3055" t="str">
            <v>두카트603000_모험</v>
          </cell>
        </row>
        <row r="3056">
          <cell r="A3056">
            <v>95030604</v>
          </cell>
          <cell r="B3056" t="str">
            <v>두카트604000_모험</v>
          </cell>
        </row>
        <row r="3057">
          <cell r="A3057">
            <v>95030605</v>
          </cell>
          <cell r="B3057" t="str">
            <v>두카트605000_모험</v>
          </cell>
        </row>
        <row r="3058">
          <cell r="A3058">
            <v>95030606</v>
          </cell>
          <cell r="B3058" t="str">
            <v>두카트606000_모험</v>
          </cell>
        </row>
        <row r="3059">
          <cell r="A3059">
            <v>95030607</v>
          </cell>
          <cell r="B3059" t="str">
            <v>두카트607000_모험</v>
          </cell>
        </row>
        <row r="3060">
          <cell r="A3060">
            <v>95030608</v>
          </cell>
          <cell r="B3060" t="str">
            <v>두카트608000_모험</v>
          </cell>
        </row>
        <row r="3061">
          <cell r="A3061">
            <v>95030609</v>
          </cell>
          <cell r="B3061" t="str">
            <v>두카트609000_모험</v>
          </cell>
        </row>
        <row r="3062">
          <cell r="A3062">
            <v>95030610</v>
          </cell>
          <cell r="B3062" t="str">
            <v>두카트610000_모험</v>
          </cell>
        </row>
        <row r="3063">
          <cell r="A3063">
            <v>95030611</v>
          </cell>
          <cell r="B3063" t="str">
            <v>두카트611000_모험</v>
          </cell>
        </row>
        <row r="3064">
          <cell r="A3064">
            <v>95030612</v>
          </cell>
          <cell r="B3064" t="str">
            <v>두카트612000_모험</v>
          </cell>
        </row>
        <row r="3065">
          <cell r="A3065">
            <v>95030613</v>
          </cell>
          <cell r="B3065" t="str">
            <v>두카트613000_모험</v>
          </cell>
        </row>
        <row r="3066">
          <cell r="A3066">
            <v>95030614</v>
          </cell>
          <cell r="B3066" t="str">
            <v>두카트614000_모험</v>
          </cell>
        </row>
        <row r="3067">
          <cell r="A3067">
            <v>95030615</v>
          </cell>
          <cell r="B3067" t="str">
            <v>두카트615000_모험</v>
          </cell>
        </row>
        <row r="3068">
          <cell r="A3068">
            <v>95030616</v>
          </cell>
          <cell r="B3068" t="str">
            <v>두카트616000_모험</v>
          </cell>
        </row>
        <row r="3069">
          <cell r="A3069">
            <v>95030617</v>
          </cell>
          <cell r="B3069" t="str">
            <v>두카트617000_모험</v>
          </cell>
        </row>
        <row r="3070">
          <cell r="A3070">
            <v>95030618</v>
          </cell>
          <cell r="B3070" t="str">
            <v>두카트618000_모험</v>
          </cell>
        </row>
        <row r="3071">
          <cell r="A3071">
            <v>95030619</v>
          </cell>
          <cell r="B3071" t="str">
            <v>두카트619000_모험</v>
          </cell>
        </row>
        <row r="3072">
          <cell r="A3072">
            <v>95030620</v>
          </cell>
          <cell r="B3072" t="str">
            <v>두카트620000_모험</v>
          </cell>
        </row>
        <row r="3073">
          <cell r="A3073">
            <v>95030621</v>
          </cell>
          <cell r="B3073" t="str">
            <v>두카트621000_모험</v>
          </cell>
        </row>
        <row r="3074">
          <cell r="A3074">
            <v>95030622</v>
          </cell>
          <cell r="B3074" t="str">
            <v>두카트622000_모험</v>
          </cell>
        </row>
        <row r="3075">
          <cell r="A3075">
            <v>95030623</v>
          </cell>
          <cell r="B3075" t="str">
            <v>두카트623000_모험</v>
          </cell>
        </row>
        <row r="3076">
          <cell r="A3076">
            <v>95030624</v>
          </cell>
          <cell r="B3076" t="str">
            <v>두카트624000_모험</v>
          </cell>
        </row>
        <row r="3077">
          <cell r="A3077">
            <v>95030625</v>
          </cell>
          <cell r="B3077" t="str">
            <v>두카트625000_모험</v>
          </cell>
        </row>
        <row r="3078">
          <cell r="A3078">
            <v>95030626</v>
          </cell>
          <cell r="B3078" t="str">
            <v>두카트626000_모험</v>
          </cell>
        </row>
        <row r="3079">
          <cell r="A3079">
            <v>95030627</v>
          </cell>
          <cell r="B3079" t="str">
            <v>두카트627000_모험</v>
          </cell>
        </row>
        <row r="3080">
          <cell r="A3080">
            <v>95030628</v>
          </cell>
          <cell r="B3080" t="str">
            <v>두카트628000_모험</v>
          </cell>
        </row>
        <row r="3081">
          <cell r="A3081">
            <v>95030629</v>
          </cell>
          <cell r="B3081" t="str">
            <v>두카트629000_모험</v>
          </cell>
        </row>
        <row r="3082">
          <cell r="A3082">
            <v>95030630</v>
          </cell>
          <cell r="B3082" t="str">
            <v>두카트630000_모험</v>
          </cell>
        </row>
        <row r="3083">
          <cell r="A3083">
            <v>95030631</v>
          </cell>
          <cell r="B3083" t="str">
            <v>두카트631000_모험</v>
          </cell>
        </row>
        <row r="3084">
          <cell r="A3084">
            <v>95030632</v>
          </cell>
          <cell r="B3084" t="str">
            <v>두카트632000_모험</v>
          </cell>
        </row>
        <row r="3085">
          <cell r="A3085">
            <v>95030633</v>
          </cell>
          <cell r="B3085" t="str">
            <v>두카트633000_모험</v>
          </cell>
        </row>
        <row r="3086">
          <cell r="A3086">
            <v>95030634</v>
          </cell>
          <cell r="B3086" t="str">
            <v>두카트634000_모험</v>
          </cell>
        </row>
        <row r="3087">
          <cell r="A3087">
            <v>95030635</v>
          </cell>
          <cell r="B3087" t="str">
            <v>두카트635000_모험</v>
          </cell>
        </row>
        <row r="3088">
          <cell r="A3088">
            <v>95030636</v>
          </cell>
          <cell r="B3088" t="str">
            <v>두카트636000_모험</v>
          </cell>
        </row>
        <row r="3089">
          <cell r="A3089">
            <v>95030637</v>
          </cell>
          <cell r="B3089" t="str">
            <v>두카트637000_모험</v>
          </cell>
        </row>
        <row r="3090">
          <cell r="A3090">
            <v>95030638</v>
          </cell>
          <cell r="B3090" t="str">
            <v>두카트638000_모험</v>
          </cell>
        </row>
        <row r="3091">
          <cell r="A3091">
            <v>95030639</v>
          </cell>
          <cell r="B3091" t="str">
            <v>두카트639000_모험</v>
          </cell>
        </row>
        <row r="3092">
          <cell r="A3092">
            <v>95030640</v>
          </cell>
          <cell r="B3092" t="str">
            <v>두카트640000_모험</v>
          </cell>
        </row>
        <row r="3093">
          <cell r="A3093">
            <v>95030641</v>
          </cell>
          <cell r="B3093" t="str">
            <v>두카트641000_모험</v>
          </cell>
        </row>
        <row r="3094">
          <cell r="A3094">
            <v>95030642</v>
          </cell>
          <cell r="B3094" t="str">
            <v>두카트642000_모험</v>
          </cell>
        </row>
        <row r="3095">
          <cell r="A3095">
            <v>95030643</v>
          </cell>
          <cell r="B3095" t="str">
            <v>두카트643000_모험</v>
          </cell>
        </row>
        <row r="3096">
          <cell r="A3096">
            <v>95030644</v>
          </cell>
          <cell r="B3096" t="str">
            <v>두카트644000_모험</v>
          </cell>
        </row>
        <row r="3097">
          <cell r="A3097">
            <v>95030645</v>
          </cell>
          <cell r="B3097" t="str">
            <v>두카트645000_모험</v>
          </cell>
        </row>
        <row r="3098">
          <cell r="A3098">
            <v>95030646</v>
          </cell>
          <cell r="B3098" t="str">
            <v>두카트646000_모험</v>
          </cell>
        </row>
        <row r="3099">
          <cell r="A3099">
            <v>95030647</v>
          </cell>
          <cell r="B3099" t="str">
            <v>두카트647000_모험</v>
          </cell>
        </row>
        <row r="3100">
          <cell r="A3100">
            <v>95030648</v>
          </cell>
          <cell r="B3100" t="str">
            <v>두카트648000_모험</v>
          </cell>
        </row>
        <row r="3101">
          <cell r="A3101">
            <v>95030649</v>
          </cell>
          <cell r="B3101" t="str">
            <v>두카트649000_모험</v>
          </cell>
        </row>
        <row r="3102">
          <cell r="A3102">
            <v>95030650</v>
          </cell>
          <cell r="B3102" t="str">
            <v>두카트650000_모험</v>
          </cell>
        </row>
        <row r="3103">
          <cell r="A3103">
            <v>95030651</v>
          </cell>
          <cell r="B3103" t="str">
            <v>두카트651000_모험</v>
          </cell>
        </row>
        <row r="3104">
          <cell r="A3104">
            <v>95030652</v>
          </cell>
          <cell r="B3104" t="str">
            <v>두카트652000_모험</v>
          </cell>
        </row>
        <row r="3105">
          <cell r="A3105">
            <v>95030653</v>
          </cell>
          <cell r="B3105" t="str">
            <v>두카트653000_모험</v>
          </cell>
        </row>
        <row r="3106">
          <cell r="A3106">
            <v>95030654</v>
          </cell>
          <cell r="B3106" t="str">
            <v>두카트654000_모험</v>
          </cell>
        </row>
        <row r="3107">
          <cell r="A3107">
            <v>95030655</v>
          </cell>
          <cell r="B3107" t="str">
            <v>두카트655000_모험</v>
          </cell>
        </row>
        <row r="3108">
          <cell r="A3108">
            <v>95030656</v>
          </cell>
          <cell r="B3108" t="str">
            <v>두카트656000_모험</v>
          </cell>
        </row>
        <row r="3109">
          <cell r="A3109">
            <v>95030657</v>
          </cell>
          <cell r="B3109" t="str">
            <v>두카트657000_모험</v>
          </cell>
        </row>
        <row r="3110">
          <cell r="A3110">
            <v>95030658</v>
          </cell>
          <cell r="B3110" t="str">
            <v>두카트658000_모험</v>
          </cell>
        </row>
        <row r="3111">
          <cell r="A3111">
            <v>95030659</v>
          </cell>
          <cell r="B3111" t="str">
            <v>두카트659000_모험</v>
          </cell>
        </row>
        <row r="3112">
          <cell r="A3112">
            <v>95030660</v>
          </cell>
          <cell r="B3112" t="str">
            <v>두카트660000_모험</v>
          </cell>
        </row>
        <row r="3113">
          <cell r="A3113">
            <v>95030661</v>
          </cell>
          <cell r="B3113" t="str">
            <v>두카트661000_모험</v>
          </cell>
        </row>
        <row r="3114">
          <cell r="A3114">
            <v>95030662</v>
          </cell>
          <cell r="B3114" t="str">
            <v>두카트662000_모험</v>
          </cell>
        </row>
        <row r="3115">
          <cell r="A3115">
            <v>95030663</v>
          </cell>
          <cell r="B3115" t="str">
            <v>두카트663000_모험</v>
          </cell>
        </row>
        <row r="3116">
          <cell r="A3116">
            <v>95030664</v>
          </cell>
          <cell r="B3116" t="str">
            <v>두카트664000_모험</v>
          </cell>
        </row>
        <row r="3117">
          <cell r="A3117">
            <v>95030665</v>
          </cell>
          <cell r="B3117" t="str">
            <v>두카트665000_모험</v>
          </cell>
        </row>
        <row r="3118">
          <cell r="A3118">
            <v>95030666</v>
          </cell>
          <cell r="B3118" t="str">
            <v>두카트666000_모험</v>
          </cell>
        </row>
        <row r="3119">
          <cell r="A3119">
            <v>95030667</v>
          </cell>
          <cell r="B3119" t="str">
            <v>두카트667000_모험</v>
          </cell>
        </row>
        <row r="3120">
          <cell r="A3120">
            <v>95030668</v>
          </cell>
          <cell r="B3120" t="str">
            <v>두카트668000_모험</v>
          </cell>
        </row>
        <row r="3121">
          <cell r="A3121">
            <v>95030669</v>
          </cell>
          <cell r="B3121" t="str">
            <v>두카트669000_모험</v>
          </cell>
        </row>
        <row r="3122">
          <cell r="A3122">
            <v>95030670</v>
          </cell>
          <cell r="B3122" t="str">
            <v>두카트670000_모험</v>
          </cell>
        </row>
        <row r="3123">
          <cell r="A3123">
            <v>95030671</v>
          </cell>
          <cell r="B3123" t="str">
            <v>두카트671000_모험</v>
          </cell>
        </row>
        <row r="3124">
          <cell r="A3124">
            <v>95030672</v>
          </cell>
          <cell r="B3124" t="str">
            <v>두카트672000_모험</v>
          </cell>
        </row>
        <row r="3125">
          <cell r="A3125">
            <v>95030673</v>
          </cell>
          <cell r="B3125" t="str">
            <v>두카트673000_모험</v>
          </cell>
        </row>
        <row r="3126">
          <cell r="A3126">
            <v>95030674</v>
          </cell>
          <cell r="B3126" t="str">
            <v>두카트674000_모험</v>
          </cell>
        </row>
        <row r="3127">
          <cell r="A3127">
            <v>95030675</v>
          </cell>
          <cell r="B3127" t="str">
            <v>두카트675000_모험</v>
          </cell>
        </row>
        <row r="3128">
          <cell r="A3128">
            <v>95030676</v>
          </cell>
          <cell r="B3128" t="str">
            <v>두카트676000_모험</v>
          </cell>
        </row>
        <row r="3129">
          <cell r="A3129">
            <v>95030677</v>
          </cell>
          <cell r="B3129" t="str">
            <v>두카트677000_모험</v>
          </cell>
        </row>
        <row r="3130">
          <cell r="A3130">
            <v>95030678</v>
          </cell>
          <cell r="B3130" t="str">
            <v>두카트678000_모험</v>
          </cell>
        </row>
        <row r="3131">
          <cell r="A3131">
            <v>95030679</v>
          </cell>
          <cell r="B3131" t="str">
            <v>두카트679000_모험</v>
          </cell>
        </row>
        <row r="3132">
          <cell r="A3132">
            <v>95030680</v>
          </cell>
          <cell r="B3132" t="str">
            <v>두카트680000_모험</v>
          </cell>
        </row>
        <row r="3133">
          <cell r="A3133">
            <v>95030681</v>
          </cell>
          <cell r="B3133" t="str">
            <v>두카트681000_모험</v>
          </cell>
        </row>
        <row r="3134">
          <cell r="A3134">
            <v>95030682</v>
          </cell>
          <cell r="B3134" t="str">
            <v>두카트682000_모험</v>
          </cell>
        </row>
        <row r="3135">
          <cell r="A3135">
            <v>95030683</v>
          </cell>
          <cell r="B3135" t="str">
            <v>두카트683000_모험</v>
          </cell>
        </row>
        <row r="3136">
          <cell r="A3136">
            <v>95030684</v>
          </cell>
          <cell r="B3136" t="str">
            <v>두카트684000_모험</v>
          </cell>
        </row>
        <row r="3137">
          <cell r="A3137">
            <v>95030685</v>
          </cell>
          <cell r="B3137" t="str">
            <v>두카트685000_모험</v>
          </cell>
        </row>
        <row r="3138">
          <cell r="A3138">
            <v>95030686</v>
          </cell>
          <cell r="B3138" t="str">
            <v>두카트686000_모험</v>
          </cell>
        </row>
        <row r="3139">
          <cell r="A3139">
            <v>95030687</v>
          </cell>
          <cell r="B3139" t="str">
            <v>두카트687000_모험</v>
          </cell>
        </row>
        <row r="3140">
          <cell r="A3140">
            <v>95030688</v>
          </cell>
          <cell r="B3140" t="str">
            <v>두카트688000_모험</v>
          </cell>
        </row>
        <row r="3141">
          <cell r="A3141">
            <v>95030689</v>
          </cell>
          <cell r="B3141" t="str">
            <v>두카트689000_모험</v>
          </cell>
        </row>
        <row r="3142">
          <cell r="A3142">
            <v>95030690</v>
          </cell>
          <cell r="B3142" t="str">
            <v>두카트690000_모험</v>
          </cell>
        </row>
        <row r="3143">
          <cell r="A3143">
            <v>95030691</v>
          </cell>
          <cell r="B3143" t="str">
            <v>두카트691000_모험</v>
          </cell>
        </row>
        <row r="3144">
          <cell r="A3144">
            <v>95030692</v>
          </cell>
          <cell r="B3144" t="str">
            <v>두카트692000_모험</v>
          </cell>
        </row>
        <row r="3145">
          <cell r="A3145">
            <v>95030693</v>
          </cell>
          <cell r="B3145" t="str">
            <v>두카트693000_모험</v>
          </cell>
        </row>
        <row r="3146">
          <cell r="A3146">
            <v>95030694</v>
          </cell>
          <cell r="B3146" t="str">
            <v>두카트694000_모험</v>
          </cell>
        </row>
        <row r="3147">
          <cell r="A3147">
            <v>95030695</v>
          </cell>
          <cell r="B3147" t="str">
            <v>두카트695000_모험</v>
          </cell>
        </row>
        <row r="3148">
          <cell r="A3148">
            <v>95030696</v>
          </cell>
          <cell r="B3148" t="str">
            <v>두카트696000_모험</v>
          </cell>
        </row>
        <row r="3149">
          <cell r="A3149">
            <v>95030697</v>
          </cell>
          <cell r="B3149" t="str">
            <v>두카트697000_모험</v>
          </cell>
        </row>
        <row r="3150">
          <cell r="A3150">
            <v>95030698</v>
          </cell>
          <cell r="B3150" t="str">
            <v>두카트698000_모험</v>
          </cell>
        </row>
        <row r="3151">
          <cell r="A3151">
            <v>95030699</v>
          </cell>
          <cell r="B3151" t="str">
            <v>두카트699000_모험</v>
          </cell>
        </row>
        <row r="3152">
          <cell r="A3152">
            <v>95030700</v>
          </cell>
          <cell r="B3152" t="str">
            <v>두카트700000_모험</v>
          </cell>
        </row>
        <row r="3153">
          <cell r="A3153">
            <v>95030701</v>
          </cell>
          <cell r="B3153" t="str">
            <v>업적 보상1</v>
          </cell>
        </row>
        <row r="3154">
          <cell r="A3154">
            <v>95030702</v>
          </cell>
          <cell r="B3154" t="str">
            <v>업적 보상2</v>
          </cell>
        </row>
        <row r="3155">
          <cell r="A3155">
            <v>95030703</v>
          </cell>
          <cell r="B3155" t="str">
            <v>업적 보상3</v>
          </cell>
        </row>
        <row r="3156">
          <cell r="A3156">
            <v>95030704</v>
          </cell>
          <cell r="B3156" t="str">
            <v>테스트 과제 1종</v>
          </cell>
        </row>
        <row r="3157">
          <cell r="A3157">
            <v>95030705</v>
          </cell>
          <cell r="B3157" t="str">
            <v>테스트 과제 2종</v>
          </cell>
        </row>
        <row r="3158">
          <cell r="A3158">
            <v>95030706</v>
          </cell>
          <cell r="B3158" t="str">
            <v>테스트 과제 3종</v>
          </cell>
        </row>
        <row r="3159">
          <cell r="A3159">
            <v>95030707</v>
          </cell>
          <cell r="B3159" t="str">
            <v>테스트 과제 모험</v>
          </cell>
        </row>
        <row r="3160">
          <cell r="A3160">
            <v>95030708</v>
          </cell>
          <cell r="B3160" t="str">
            <v>테스트 과제 전투</v>
          </cell>
        </row>
        <row r="3161">
          <cell r="A3161">
            <v>95030709</v>
          </cell>
          <cell r="B3161" t="str">
            <v>테스트 과제 교역</v>
          </cell>
        </row>
        <row r="3162">
          <cell r="A3162">
            <v>95030710</v>
          </cell>
          <cell r="B3162" t="str">
            <v>작위 업적 보상1</v>
          </cell>
        </row>
        <row r="3163">
          <cell r="A3163">
            <v>95030711</v>
          </cell>
          <cell r="B3163" t="str">
            <v>작위 업적 보상2</v>
          </cell>
        </row>
        <row r="3164">
          <cell r="A3164">
            <v>95030712</v>
          </cell>
          <cell r="B3164" t="str">
            <v>300개</v>
          </cell>
        </row>
        <row r="3165">
          <cell r="A3165">
            <v>95030713</v>
          </cell>
          <cell r="B3165" t="str">
            <v>500개</v>
          </cell>
        </row>
        <row r="3166">
          <cell r="A3166">
            <v>95030714</v>
          </cell>
          <cell r="B3166" t="str">
            <v>1,000개</v>
          </cell>
        </row>
        <row r="3167">
          <cell r="A3167">
            <v>95030715</v>
          </cell>
          <cell r="B3167" t="str">
            <v>3,000개</v>
          </cell>
        </row>
        <row r="3168">
          <cell r="A3168">
            <v>95030716</v>
          </cell>
          <cell r="B3168" t="str">
            <v>5,000개</v>
          </cell>
        </row>
        <row r="3169">
          <cell r="A3169">
            <v>95030717</v>
          </cell>
          <cell r="B3169" t="str">
            <v>9,000개</v>
          </cell>
        </row>
        <row r="3170">
          <cell r="A3170">
            <v>95030718</v>
          </cell>
          <cell r="B3170" t="str">
            <v>라 핀타 인도서</v>
          </cell>
        </row>
        <row r="3171">
          <cell r="A3171">
            <v>95030719</v>
          </cell>
          <cell r="B3171" t="str">
            <v>슬루프 인도서</v>
          </cell>
        </row>
        <row r="3172">
          <cell r="A3172">
            <v>95030720</v>
          </cell>
          <cell r="B3172" t="str">
            <v>펠러커 인도서</v>
          </cell>
        </row>
        <row r="3173">
          <cell r="A3173">
            <v>95030721</v>
          </cell>
          <cell r="B3173" t="str">
            <v>갤리 인도서</v>
          </cell>
        </row>
        <row r="3174">
          <cell r="A3174">
            <v>95030722</v>
          </cell>
          <cell r="B3174" t="str">
            <v>삼부크 인도서</v>
          </cell>
        </row>
        <row r="3175">
          <cell r="A3175">
            <v>95030723</v>
          </cell>
          <cell r="B3175" t="str">
            <v>나오 인도서</v>
          </cell>
        </row>
        <row r="3176">
          <cell r="A3176">
            <v>95030724</v>
          </cell>
          <cell r="B3176" t="str">
            <v>--미사용</v>
          </cell>
        </row>
        <row r="3177">
          <cell r="A3177">
            <v>95030725</v>
          </cell>
          <cell r="B3177" t="str">
            <v>최고급 재료 상자</v>
          </cell>
        </row>
        <row r="3178">
          <cell r="A3178">
            <v>95030726</v>
          </cell>
          <cell r="B3178" t="str">
            <v>초급 재료 상자</v>
          </cell>
        </row>
        <row r="3179">
          <cell r="A3179">
            <v>95030727</v>
          </cell>
          <cell r="B3179" t="str">
            <v>중급 재료 상자</v>
          </cell>
        </row>
        <row r="3180">
          <cell r="A3180">
            <v>95030728</v>
          </cell>
          <cell r="B3180" t="str">
            <v>고급 재료 상자</v>
          </cell>
        </row>
        <row r="3181">
          <cell r="A3181">
            <v>95030729</v>
          </cell>
          <cell r="B3181" t="str">
            <v>100개</v>
          </cell>
        </row>
        <row r="3182">
          <cell r="A3182">
            <v>95030730</v>
          </cell>
          <cell r="B3182" t="str">
            <v>536개</v>
          </cell>
        </row>
        <row r="3183">
          <cell r="A3183">
            <v>95030731</v>
          </cell>
          <cell r="B3183" t="str">
            <v>990개</v>
          </cell>
        </row>
        <row r="3184">
          <cell r="A3184">
            <v>95030732</v>
          </cell>
          <cell r="B3184" t="str">
            <v>초급 승급 상자</v>
          </cell>
        </row>
        <row r="3185">
          <cell r="A3185">
            <v>95030733</v>
          </cell>
          <cell r="B3185" t="str">
            <v>중급 모험 승급 상자</v>
          </cell>
        </row>
        <row r="3186">
          <cell r="A3186">
            <v>95030734</v>
          </cell>
          <cell r="B3186" t="str">
            <v>중급 교역 승급 상자</v>
          </cell>
        </row>
        <row r="3187">
          <cell r="A3187">
            <v>95030735</v>
          </cell>
          <cell r="B3187" t="str">
            <v>중급 전투 승급 상자</v>
          </cell>
        </row>
        <row r="3188">
          <cell r="A3188">
            <v>95030736</v>
          </cell>
          <cell r="B3188" t="str">
            <v>고급 모험 승급 상자</v>
          </cell>
        </row>
        <row r="3189">
          <cell r="A3189">
            <v>95030737</v>
          </cell>
          <cell r="B3189" t="str">
            <v>고급 교역 승급 상자</v>
          </cell>
        </row>
        <row r="3190">
          <cell r="A3190">
            <v>95030738</v>
          </cell>
          <cell r="B3190" t="str">
            <v>고급 전투 승급 상자</v>
          </cell>
        </row>
        <row r="3191">
          <cell r="A3191">
            <v>95030739</v>
          </cell>
          <cell r="B3191" t="str">
            <v>중급 모험 학습 상자</v>
          </cell>
        </row>
        <row r="3192">
          <cell r="A3192">
            <v>95030740</v>
          </cell>
          <cell r="B3192" t="str">
            <v>중급 교역 학습 상자</v>
          </cell>
        </row>
        <row r="3193">
          <cell r="A3193">
            <v>95030741</v>
          </cell>
          <cell r="B3193" t="str">
            <v>중급 전투 학습 상자</v>
          </cell>
        </row>
        <row r="3194">
          <cell r="A3194">
            <v>95030742</v>
          </cell>
          <cell r="B3194" t="str">
            <v>고급 모험 학습 상자</v>
          </cell>
        </row>
        <row r="3195">
          <cell r="A3195">
            <v>95030743</v>
          </cell>
          <cell r="B3195" t="str">
            <v>고급 교역 학습 상자</v>
          </cell>
        </row>
        <row r="3196">
          <cell r="A3196">
            <v>95030744</v>
          </cell>
          <cell r="B3196" t="str">
            <v>고급 전투 학습 상자</v>
          </cell>
        </row>
        <row r="3197">
          <cell r="A3197">
            <v>95030745</v>
          </cell>
          <cell r="B3197" t="str">
            <v>건조 가속 상자</v>
          </cell>
        </row>
        <row r="3198">
          <cell r="A3198">
            <v>95030746</v>
          </cell>
          <cell r="B3198" t="str">
            <v>고용 가속 상자</v>
          </cell>
        </row>
        <row r="3199">
          <cell r="A3199">
            <v>95030747</v>
          </cell>
          <cell r="B3199" t="str">
            <v>고급 격려 가속 상자</v>
          </cell>
        </row>
        <row r="3200">
          <cell r="A3200">
            <v>95030748</v>
          </cell>
          <cell r="B3200" t="str">
            <v>고급 승급 가속 상자</v>
          </cell>
        </row>
        <row r="3201">
          <cell r="A3201">
            <v>95030749</v>
          </cell>
          <cell r="B3201" t="str">
            <v>고급 학습 가속 상자</v>
          </cell>
        </row>
        <row r="3202">
          <cell r="A3202">
            <v>95030750</v>
          </cell>
          <cell r="B3202" t="str">
            <v>견습 해적의 보물상자</v>
          </cell>
        </row>
        <row r="3203">
          <cell r="A3203">
            <v>95030751</v>
          </cell>
          <cell r="B3203" t="str">
            <v>견습 상인의 보물상자</v>
          </cell>
        </row>
        <row r="3204">
          <cell r="A3204">
            <v>95030752</v>
          </cell>
          <cell r="B3204" t="str">
            <v>견습 모험가의 보물상자</v>
          </cell>
        </row>
        <row r="3205">
          <cell r="A3205">
            <v>95030753</v>
          </cell>
          <cell r="B3205" t="str">
            <v>대해적의 보물상자</v>
          </cell>
        </row>
        <row r="3206">
          <cell r="A3206">
            <v>95030754</v>
          </cell>
          <cell r="B3206" t="str">
            <v>대상인의 보물상자</v>
          </cell>
        </row>
        <row r="3207">
          <cell r="A3207">
            <v>95030755</v>
          </cell>
          <cell r="B3207" t="str">
            <v>모험가의 보물상자</v>
          </cell>
        </row>
        <row r="3208">
          <cell r="A3208">
            <v>95030756</v>
          </cell>
          <cell r="B3208" t="str">
            <v>마일리지_장미차</v>
          </cell>
        </row>
        <row r="3209">
          <cell r="A3209">
            <v>95030757</v>
          </cell>
          <cell r="B3209" t="str">
            <v>마일리지_딸기 타르트</v>
          </cell>
        </row>
        <row r="3210">
          <cell r="A3210">
            <v>95030758</v>
          </cell>
          <cell r="B3210" t="str">
            <v>마일리지_다이아몬드 브로치</v>
          </cell>
        </row>
        <row r="3211">
          <cell r="A3211">
            <v>95030759</v>
          </cell>
          <cell r="B3211" t="str">
            <v>마일리지_도자기 주전자</v>
          </cell>
        </row>
        <row r="3212">
          <cell r="A3212">
            <v>95030760</v>
          </cell>
          <cell r="B3212" t="str">
            <v>마일리지_깃털 부채</v>
          </cell>
        </row>
        <row r="3213">
          <cell r="A3213">
            <v>95030761</v>
          </cell>
          <cell r="B3213" t="str">
            <v>마일리지_도자기 파이프</v>
          </cell>
        </row>
        <row r="3214">
          <cell r="A3214">
            <v>95030762</v>
          </cell>
          <cell r="B3214" t="str">
            <v>마일리지_B등급 공용 도면</v>
          </cell>
        </row>
        <row r="3215">
          <cell r="A3215">
            <v>95030763</v>
          </cell>
          <cell r="B3215" t="str">
            <v>마일리지_C등급 공용 계약서</v>
          </cell>
        </row>
        <row r="3216">
          <cell r="A3216">
            <v>95030764</v>
          </cell>
          <cell r="B3216" t="str">
            <v>마일리지_B등급 공용 계약서</v>
          </cell>
        </row>
        <row r="3217">
          <cell r="A3217">
            <v>95030765</v>
          </cell>
          <cell r="B3217" t="str">
            <v>마일리지_A등급 공용 계약서</v>
          </cell>
        </row>
        <row r="3218">
          <cell r="A3218">
            <v>95030766</v>
          </cell>
          <cell r="B3218" t="str">
            <v>마일리지_고래 문장 도안</v>
          </cell>
        </row>
        <row r="3219">
          <cell r="A3219">
            <v>95030767</v>
          </cell>
          <cell r="B3219" t="str">
            <v>마일리지_바이킹 문장 도안</v>
          </cell>
        </row>
        <row r="3220">
          <cell r="A3220">
            <v>95030768</v>
          </cell>
          <cell r="B3220" t="str">
            <v>마일리지_나스카 문장 도안</v>
          </cell>
        </row>
        <row r="3221">
          <cell r="A3221">
            <v>95030769</v>
          </cell>
          <cell r="B3221" t="str">
            <v>마일리지_드래곤 문장 도안</v>
          </cell>
        </row>
        <row r="3222">
          <cell r="A3222">
            <v>95030770</v>
          </cell>
          <cell r="B3222" t="str">
            <v>마일리지_라의 눈 문장 도안</v>
          </cell>
        </row>
        <row r="3223">
          <cell r="A3223">
            <v>95030771</v>
          </cell>
          <cell r="B3223" t="str">
            <v>마일리지_쌍두독수리 문장 도안</v>
          </cell>
        </row>
        <row r="3224">
          <cell r="A3224">
            <v>95030772</v>
          </cell>
          <cell r="B3224" t="str">
            <v>마일리지_메두사 문장 도안</v>
          </cell>
        </row>
        <row r="3225">
          <cell r="A3225">
            <v>95030773</v>
          </cell>
          <cell r="B3225" t="str">
            <v>마일리지_모아이 문장 도안</v>
          </cell>
        </row>
        <row r="3226">
          <cell r="A3226">
            <v>95030774</v>
          </cell>
          <cell r="B3226" t="str">
            <v>마일리지_사자 문장 도안</v>
          </cell>
        </row>
        <row r="3227">
          <cell r="A3227">
            <v>95030775</v>
          </cell>
          <cell r="B3227" t="str">
            <v>마일리지_성마르코 사자 문장 도안</v>
          </cell>
        </row>
        <row r="3228">
          <cell r="A3228">
            <v>95030776</v>
          </cell>
          <cell r="B3228" t="str">
            <v>마일리지_소녀 문장 도안</v>
          </cell>
        </row>
        <row r="3229">
          <cell r="A3229">
            <v>95030777</v>
          </cell>
          <cell r="B3229" t="str">
            <v>마일리지_앤버잭 문장 도안</v>
          </cell>
        </row>
        <row r="3230">
          <cell r="A3230">
            <v>95030778</v>
          </cell>
          <cell r="B3230" t="str">
            <v>마일리지_야수 문장 도안</v>
          </cell>
        </row>
        <row r="3231">
          <cell r="A3231">
            <v>95030779</v>
          </cell>
          <cell r="B3231" t="str">
            <v>마일리지_용 문장 도안</v>
          </cell>
        </row>
        <row r="3232">
          <cell r="A3232">
            <v>95030780</v>
          </cell>
          <cell r="B3232" t="str">
            <v>마일리지_폭스 문장 도안</v>
          </cell>
        </row>
        <row r="3233">
          <cell r="A3233">
            <v>95030781</v>
          </cell>
          <cell r="B3233" t="str">
            <v>마일리지_호랑이 문장 도안</v>
          </cell>
        </row>
        <row r="3234">
          <cell r="A3234">
            <v>95030782</v>
          </cell>
          <cell r="B3234" t="str">
            <v>마일리지_가을의 금문장 도안</v>
          </cell>
        </row>
        <row r="3235">
          <cell r="A3235">
            <v>95030783</v>
          </cell>
          <cell r="B3235" t="str">
            <v>마일리지_겨울의 금문장 도안</v>
          </cell>
        </row>
        <row r="3236">
          <cell r="A3236">
            <v>95030784</v>
          </cell>
          <cell r="B3236" t="str">
            <v>마일리지_봄의 금문장 도안</v>
          </cell>
        </row>
        <row r="3237">
          <cell r="A3237">
            <v>95030785</v>
          </cell>
          <cell r="B3237" t="str">
            <v>마일리지_여름의 금문장 도안</v>
          </cell>
        </row>
        <row r="3238">
          <cell r="A3238">
            <v>95030786</v>
          </cell>
          <cell r="B3238" t="str">
            <v>마일리지_청룡 문장 도안</v>
          </cell>
        </row>
        <row r="3239">
          <cell r="A3239">
            <v>95030787</v>
          </cell>
          <cell r="B3239" t="str">
            <v>마일리지_현무 문장 도안</v>
          </cell>
        </row>
        <row r="3240">
          <cell r="A3240">
            <v>95030788</v>
          </cell>
          <cell r="B3240" t="str">
            <v>마일리지_백호 문장 도안</v>
          </cell>
        </row>
        <row r="3241">
          <cell r="A3241">
            <v>95030789</v>
          </cell>
          <cell r="B3241" t="str">
            <v>마일리지_주작 문장 도안</v>
          </cell>
        </row>
        <row r="3242">
          <cell r="A3242">
            <v>95030790</v>
          </cell>
          <cell r="B3242" t="str">
            <v>마일리지_미들튼 가문의 문장 도안</v>
          </cell>
        </row>
        <row r="3243">
          <cell r="A3243">
            <v>95030791</v>
          </cell>
          <cell r="B3243" t="str">
            <v>마일리지_바다 여단 문장 도안</v>
          </cell>
        </row>
        <row r="3244">
          <cell r="A3244">
            <v>95030792</v>
          </cell>
          <cell r="B3244" t="str">
            <v>마일리지_발바리아 해적 문장 도안</v>
          </cell>
        </row>
        <row r="3245">
          <cell r="A3245">
            <v>95030793</v>
          </cell>
          <cell r="B3245" t="str">
            <v>마일리지_베르니에 자작가 문장 도안</v>
          </cell>
        </row>
        <row r="3246">
          <cell r="A3246">
            <v>95030794</v>
          </cell>
          <cell r="B3246" t="str">
            <v>마일리지_살미엔트 길드 문장 도안</v>
          </cell>
        </row>
        <row r="3247">
          <cell r="A3247">
            <v>95030795</v>
          </cell>
          <cell r="B3247" t="str">
            <v>마일리지_탈출 문장 도안</v>
          </cell>
        </row>
        <row r="3248">
          <cell r="A3248">
            <v>95030796</v>
          </cell>
          <cell r="B3248" t="str">
            <v>마일리지_흑고래 용병함대 문장 도안</v>
          </cell>
        </row>
        <row r="3249">
          <cell r="A3249">
            <v>95030797</v>
          </cell>
          <cell r="B3249" t="str">
            <v>마일리지_도깨비 문장 도안</v>
          </cell>
        </row>
        <row r="3250">
          <cell r="A3250">
            <v>95030798</v>
          </cell>
          <cell r="B3250" t="str">
            <v>마일리지_블록 무늬 도안</v>
          </cell>
        </row>
        <row r="3251">
          <cell r="A3251">
            <v>95030799</v>
          </cell>
          <cell r="B3251" t="str">
            <v>마일리지_데칼코마니 무늬 도안</v>
          </cell>
        </row>
        <row r="3252">
          <cell r="A3252">
            <v>95030800</v>
          </cell>
          <cell r="B3252" t="str">
            <v>마일리지_나비 무늬 도안</v>
          </cell>
        </row>
        <row r="3253">
          <cell r="A3253">
            <v>95030801</v>
          </cell>
          <cell r="B3253" t="str">
            <v>마일리지_장미 무늬 도안</v>
          </cell>
        </row>
        <row r="3254">
          <cell r="A3254">
            <v>95030802</v>
          </cell>
          <cell r="B3254" t="str">
            <v>마일리지_특수 무늬 도안</v>
          </cell>
        </row>
        <row r="3255">
          <cell r="A3255">
            <v>95030803</v>
          </cell>
          <cell r="B3255" t="str">
            <v>마일리지_동양풍 무늬 도안</v>
          </cell>
        </row>
        <row r="3256">
          <cell r="A3256">
            <v>95030804</v>
          </cell>
          <cell r="B3256" t="str">
            <v>항해 도구함</v>
          </cell>
        </row>
        <row r="3257">
          <cell r="A3257">
            <v>95030805</v>
          </cell>
          <cell r="B3257" t="str">
            <v>C등급 공용 계약서</v>
          </cell>
        </row>
        <row r="3258">
          <cell r="A3258">
            <v>95030806</v>
          </cell>
          <cell r="B3258" t="str">
            <v>B등급 공용 계약서</v>
          </cell>
        </row>
        <row r="3259">
          <cell r="A3259">
            <v>95030807</v>
          </cell>
          <cell r="B3259" t="str">
            <v>A등급 공용 계약서</v>
          </cell>
        </row>
        <row r="3260">
          <cell r="A3260">
            <v>95030808</v>
          </cell>
          <cell r="B3260" t="str">
            <v>S등급 공용 계약서</v>
          </cell>
        </row>
        <row r="3261">
          <cell r="A3261">
            <v>95030809</v>
          </cell>
          <cell r="B3261" t="str">
            <v>선박 보상 테스트</v>
          </cell>
        </row>
        <row r="3262">
          <cell r="A3262">
            <v>95030810</v>
          </cell>
          <cell r="B3262" t="str">
            <v>상자 교환권</v>
          </cell>
        </row>
        <row r="3263">
          <cell r="A3263">
            <v>95030811</v>
          </cell>
          <cell r="B3263" t="str">
            <v>무료 부활 횟수 증가LV1</v>
          </cell>
        </row>
        <row r="3264">
          <cell r="A3264">
            <v>95030812</v>
          </cell>
          <cell r="B3264" t="str">
            <v>무료 부활 횟수 증가LV2</v>
          </cell>
        </row>
        <row r="3265">
          <cell r="A3265">
            <v>95030813</v>
          </cell>
          <cell r="B3265" t="str">
            <v>무료 부활 횟수 증가LV3</v>
          </cell>
        </row>
        <row r="3266">
          <cell r="A3266">
            <v>95030814</v>
          </cell>
          <cell r="B3266" t="str">
            <v>무료 기적 횟수 증가LV1</v>
          </cell>
        </row>
        <row r="3267">
          <cell r="A3267">
            <v>95030815</v>
          </cell>
          <cell r="B3267" t="str">
            <v>무료 기적 횟수 증가LV2</v>
          </cell>
        </row>
        <row r="3268">
          <cell r="A3268">
            <v>95030816</v>
          </cell>
          <cell r="B3268" t="str">
            <v>휴전협정서</v>
          </cell>
        </row>
        <row r="3269">
          <cell r="A3269">
            <v>95030900</v>
          </cell>
          <cell r="B3269" t="str">
            <v>공헌도_비단 손수건</v>
          </cell>
        </row>
        <row r="3270">
          <cell r="A3270">
            <v>95030901</v>
          </cell>
          <cell r="B3270" t="str">
            <v>공헌도_북극에서 살아남기</v>
          </cell>
        </row>
        <row r="3271">
          <cell r="A3271">
            <v>95030902</v>
          </cell>
          <cell r="B3271" t="str">
            <v>공헌도_황금 라마</v>
          </cell>
        </row>
        <row r="3272">
          <cell r="A3272">
            <v>95030903</v>
          </cell>
          <cell r="B3272" t="str">
            <v>공헌도_문구 세트</v>
          </cell>
        </row>
        <row r="3273">
          <cell r="A3273">
            <v>95030904</v>
          </cell>
          <cell r="B3273" t="str">
            <v>공헌도_B등급 공용 도면</v>
          </cell>
        </row>
        <row r="3274">
          <cell r="A3274">
            <v>95030905</v>
          </cell>
          <cell r="B3274" t="str">
            <v>공헌도_C등급 공용 계약서</v>
          </cell>
        </row>
        <row r="3275">
          <cell r="A3275">
            <v>95030906</v>
          </cell>
          <cell r="B3275" t="str">
            <v>공헌도_B등급 공용 계약서</v>
          </cell>
        </row>
        <row r="3276">
          <cell r="A3276">
            <v>95030907</v>
          </cell>
          <cell r="B3276" t="str">
            <v>공헌도_기사 문장</v>
          </cell>
        </row>
        <row r="3277">
          <cell r="A3277">
            <v>95030908</v>
          </cell>
          <cell r="B3277" t="str">
            <v>공헌도_여인 문장</v>
          </cell>
        </row>
        <row r="3278">
          <cell r="A3278">
            <v>95030909</v>
          </cell>
          <cell r="B3278" t="str">
            <v>공헌도_장식 문장</v>
          </cell>
        </row>
        <row r="3279">
          <cell r="A3279">
            <v>95030910</v>
          </cell>
          <cell r="B3279" t="str">
            <v>공헌도_대해적 문장</v>
          </cell>
        </row>
        <row r="3280">
          <cell r="A3280">
            <v>95030911</v>
          </cell>
          <cell r="B3280" t="str">
            <v>공헌도_가네샤 문장</v>
          </cell>
        </row>
        <row r="3281">
          <cell r="A3281">
            <v>95030912</v>
          </cell>
          <cell r="B3281" t="str">
            <v>공헌도_가루다 문장</v>
          </cell>
        </row>
        <row r="3282">
          <cell r="A3282">
            <v>95030913</v>
          </cell>
          <cell r="B3282" t="str">
            <v>공헌도_보야쥬 문장</v>
          </cell>
        </row>
        <row r="3283">
          <cell r="A3283">
            <v>95030914</v>
          </cell>
          <cell r="B3283" t="str">
            <v>공헌도_그리폰 문장</v>
          </cell>
        </row>
        <row r="3284">
          <cell r="A3284">
            <v>95030915</v>
          </cell>
          <cell r="B3284" t="str">
            <v>공헌도_샐러맨더 문장</v>
          </cell>
        </row>
        <row r="3285">
          <cell r="A3285">
            <v>95030916</v>
          </cell>
          <cell r="B3285" t="str">
            <v>공헌도_용사냥의 문장</v>
          </cell>
        </row>
        <row r="3286">
          <cell r="A3286">
            <v>95030917</v>
          </cell>
          <cell r="B3286" t="str">
            <v>공헌도_유니콘 문장</v>
          </cell>
        </row>
        <row r="3287">
          <cell r="A3287">
            <v>95030918</v>
          </cell>
          <cell r="B3287" t="str">
            <v>공헌도_유인원 문장</v>
          </cell>
        </row>
        <row r="3288">
          <cell r="A3288">
            <v>95030919</v>
          </cell>
          <cell r="B3288" t="str">
            <v>공헌도_제독 문장</v>
          </cell>
        </row>
        <row r="3289">
          <cell r="A3289">
            <v>95030920</v>
          </cell>
          <cell r="B3289" t="str">
            <v>공헌도_케살코아틀 문장</v>
          </cell>
        </row>
        <row r="3290">
          <cell r="A3290">
            <v>95030921</v>
          </cell>
          <cell r="B3290" t="str">
            <v>공헌도_페어리 문장</v>
          </cell>
        </row>
        <row r="3291">
          <cell r="A3291">
            <v>95030922</v>
          </cell>
          <cell r="B3291" t="str">
            <v>공헌도_적송</v>
          </cell>
        </row>
        <row r="3292">
          <cell r="A3292">
            <v>95030923</v>
          </cell>
          <cell r="B3292" t="str">
            <v>공헌도_적송 돛대</v>
          </cell>
        </row>
        <row r="3293">
          <cell r="A3293">
            <v>95030924</v>
          </cell>
          <cell r="B3293" t="str">
            <v>공헌도_중형 포문</v>
          </cell>
        </row>
        <row r="3294">
          <cell r="A3294">
            <v>95030925</v>
          </cell>
          <cell r="B3294" t="str">
            <v>공헌도_중형 용골</v>
          </cell>
        </row>
        <row r="3295">
          <cell r="A3295">
            <v>95030926</v>
          </cell>
          <cell r="B3295" t="str">
            <v>공헌도_오리나무</v>
          </cell>
        </row>
        <row r="3296">
          <cell r="A3296">
            <v>95030927</v>
          </cell>
          <cell r="B3296" t="str">
            <v>공헌도_오리나무 돛대</v>
          </cell>
        </row>
        <row r="3297">
          <cell r="A3297">
            <v>95030928</v>
          </cell>
          <cell r="B3297" t="str">
            <v>공헌도_개량형 중형 포문</v>
          </cell>
        </row>
        <row r="3298">
          <cell r="A3298">
            <v>95030929</v>
          </cell>
          <cell r="B3298" t="str">
            <v>공헌도_C급 장비 의뢰서</v>
          </cell>
        </row>
        <row r="3299">
          <cell r="A3299">
            <v>95030930</v>
          </cell>
          <cell r="B3299" t="str">
            <v>공헌도_C급 녹색 광석</v>
          </cell>
        </row>
        <row r="3300">
          <cell r="A3300">
            <v>95030931</v>
          </cell>
          <cell r="B3300" t="str">
            <v>공헌도_C급 푸른색 광석</v>
          </cell>
        </row>
        <row r="3301">
          <cell r="A3301">
            <v>95030932</v>
          </cell>
          <cell r="B3301" t="str">
            <v>공헌도_C급 붉은색 광석</v>
          </cell>
        </row>
        <row r="3302">
          <cell r="A3302">
            <v>95030933</v>
          </cell>
          <cell r="B3302" t="str">
            <v>공헌도_B급 장비 의뢰서</v>
          </cell>
        </row>
        <row r="3303">
          <cell r="A3303">
            <v>95030934</v>
          </cell>
          <cell r="B3303" t="str">
            <v>공헌도_B급 녹색 광석</v>
          </cell>
        </row>
        <row r="3304">
          <cell r="A3304">
            <v>95030935</v>
          </cell>
          <cell r="B3304" t="str">
            <v>공헌도_B급 푸른색 광석</v>
          </cell>
        </row>
        <row r="3305">
          <cell r="A3305">
            <v>95030936</v>
          </cell>
          <cell r="B3305" t="str">
            <v>공헌도_B급 붉은색 광석</v>
          </cell>
        </row>
        <row r="3306">
          <cell r="A3306">
            <v>95030937</v>
          </cell>
          <cell r="B3306" t="str">
            <v>공헌도_C급 부품 의뢰서</v>
          </cell>
        </row>
        <row r="3307">
          <cell r="A3307">
            <v>95030938</v>
          </cell>
          <cell r="B3307" t="str">
            <v>공헌도_C급 가공 금속</v>
          </cell>
        </row>
        <row r="3308">
          <cell r="A3308">
            <v>95030939</v>
          </cell>
          <cell r="B3308" t="str">
            <v>공헌도_C급 가공 철재</v>
          </cell>
        </row>
        <row r="3309">
          <cell r="A3309">
            <v>95030940</v>
          </cell>
          <cell r="B3309" t="str">
            <v>공헌도_C급 가공 목재</v>
          </cell>
        </row>
        <row r="3310">
          <cell r="A3310">
            <v>95030941</v>
          </cell>
          <cell r="B3310" t="str">
            <v>공헌도_B급 부품 의뢰서</v>
          </cell>
        </row>
        <row r="3311">
          <cell r="A3311">
            <v>95030942</v>
          </cell>
          <cell r="B3311" t="str">
            <v>공헌도_B급 가공 금속</v>
          </cell>
        </row>
        <row r="3312">
          <cell r="A3312">
            <v>95030943</v>
          </cell>
          <cell r="B3312" t="str">
            <v>공헌도_B급 가공 철재</v>
          </cell>
        </row>
        <row r="3313">
          <cell r="A3313">
            <v>95030944</v>
          </cell>
          <cell r="B3313" t="str">
            <v>공헌도_B급 가공 목재</v>
          </cell>
        </row>
        <row r="3314">
          <cell r="A3314">
            <v>95031000</v>
          </cell>
          <cell r="B3314" t="str">
            <v>국가 코드 비활성화 대체 지급 상품(bitflag)</v>
          </cell>
        </row>
        <row r="3315">
          <cell r="A3315">
            <v>95031001</v>
          </cell>
          <cell r="B3315" t="str">
            <v>초급 성장 특권1</v>
          </cell>
        </row>
        <row r="3316">
          <cell r="A3316">
            <v>95031002</v>
          </cell>
          <cell r="B3316" t="str">
            <v>초급 성장 특권2</v>
          </cell>
        </row>
        <row r="3317">
          <cell r="A3317">
            <v>95031003</v>
          </cell>
          <cell r="B3317" t="str">
            <v>초급 성장 특권3</v>
          </cell>
        </row>
        <row r="3318">
          <cell r="A3318">
            <v>95031004</v>
          </cell>
          <cell r="B3318" t="str">
            <v>초급 성장 특권4</v>
          </cell>
        </row>
        <row r="3319">
          <cell r="A3319">
            <v>95031005</v>
          </cell>
          <cell r="B3319" t="str">
            <v>초급 성장 특권5</v>
          </cell>
        </row>
        <row r="3320">
          <cell r="A3320">
            <v>95031006</v>
          </cell>
          <cell r="B3320" t="str">
            <v>초급 성장 특권6</v>
          </cell>
        </row>
        <row r="3321">
          <cell r="A3321">
            <v>95031007</v>
          </cell>
          <cell r="B3321" t="str">
            <v>초급 성장 특권7</v>
          </cell>
        </row>
        <row r="3322">
          <cell r="A3322">
            <v>95031008</v>
          </cell>
          <cell r="B3322" t="str">
            <v>초급 성장 특권8</v>
          </cell>
        </row>
        <row r="3323">
          <cell r="A3323">
            <v>95031009</v>
          </cell>
          <cell r="B3323" t="str">
            <v>초급 성장 특권9</v>
          </cell>
        </row>
        <row r="3324">
          <cell r="A3324">
            <v>95031010</v>
          </cell>
          <cell r="B3324" t="str">
            <v>중급 성장 특권1</v>
          </cell>
        </row>
        <row r="3325">
          <cell r="A3325">
            <v>95031011</v>
          </cell>
          <cell r="B3325" t="str">
            <v>중급 성장 특권2</v>
          </cell>
        </row>
        <row r="3326">
          <cell r="A3326">
            <v>95031012</v>
          </cell>
          <cell r="B3326" t="str">
            <v>중급 성장 특권3</v>
          </cell>
        </row>
        <row r="3327">
          <cell r="A3327">
            <v>95031013</v>
          </cell>
          <cell r="B3327" t="str">
            <v>중급 성장 특권4</v>
          </cell>
        </row>
        <row r="3328">
          <cell r="A3328">
            <v>95031014</v>
          </cell>
          <cell r="B3328" t="str">
            <v>중급 성장 특권5</v>
          </cell>
        </row>
        <row r="3329">
          <cell r="A3329">
            <v>95031015</v>
          </cell>
          <cell r="B3329" t="str">
            <v>중급 성장 특권6</v>
          </cell>
        </row>
        <row r="3330">
          <cell r="A3330">
            <v>95031016</v>
          </cell>
          <cell r="B3330" t="str">
            <v>중급 성장 특권7</v>
          </cell>
        </row>
        <row r="3331">
          <cell r="A3331">
            <v>95031017</v>
          </cell>
          <cell r="B3331" t="str">
            <v>중급 성장 특권8</v>
          </cell>
        </row>
        <row r="3332">
          <cell r="A3332">
            <v>95031018</v>
          </cell>
          <cell r="B3332" t="str">
            <v>중급 성장 특권9</v>
          </cell>
        </row>
        <row r="3333">
          <cell r="A3333">
            <v>95031019</v>
          </cell>
          <cell r="B3333" t="str">
            <v>중급 성장 특권10</v>
          </cell>
        </row>
        <row r="3334">
          <cell r="A3334">
            <v>95031020</v>
          </cell>
          <cell r="B3334" t="str">
            <v>고급 성장 특권1</v>
          </cell>
        </row>
        <row r="3335">
          <cell r="A3335">
            <v>95031021</v>
          </cell>
          <cell r="B3335" t="str">
            <v>고급 성장 특권2</v>
          </cell>
        </row>
        <row r="3336">
          <cell r="A3336">
            <v>95031022</v>
          </cell>
          <cell r="B3336" t="str">
            <v>고급 성장 특권3</v>
          </cell>
        </row>
        <row r="3337">
          <cell r="A3337">
            <v>95031023</v>
          </cell>
          <cell r="B3337" t="str">
            <v>고급 성장 특권4</v>
          </cell>
        </row>
        <row r="3338">
          <cell r="A3338">
            <v>95031024</v>
          </cell>
          <cell r="B3338" t="str">
            <v>고급 성장 특권5</v>
          </cell>
        </row>
        <row r="3339">
          <cell r="A3339">
            <v>95031025</v>
          </cell>
          <cell r="B3339" t="str">
            <v>고급 성장 특권6</v>
          </cell>
        </row>
        <row r="3340">
          <cell r="A3340">
            <v>95031026</v>
          </cell>
          <cell r="B3340" t="str">
            <v>고급 성장 특권7</v>
          </cell>
        </row>
        <row r="3341">
          <cell r="A3341">
            <v>95031027</v>
          </cell>
          <cell r="B3341" t="str">
            <v>고급 성장 특권8</v>
          </cell>
        </row>
        <row r="3342">
          <cell r="A3342">
            <v>95031028</v>
          </cell>
          <cell r="B3342" t="str">
            <v>고급 성장 특권9</v>
          </cell>
        </row>
        <row r="3343">
          <cell r="A3343">
            <v>95031029</v>
          </cell>
          <cell r="B3343" t="str">
            <v>고급 성장 특권10</v>
          </cell>
        </row>
        <row r="3344">
          <cell r="A3344">
            <v>95031030</v>
          </cell>
          <cell r="B3344" t="str">
            <v>최고급 성장 특권1</v>
          </cell>
        </row>
        <row r="3345">
          <cell r="A3345">
            <v>95031031</v>
          </cell>
          <cell r="B3345" t="str">
            <v>최고급 성장 특권2</v>
          </cell>
        </row>
        <row r="3346">
          <cell r="A3346">
            <v>95031032</v>
          </cell>
          <cell r="B3346" t="str">
            <v>최고급 성장 특권3</v>
          </cell>
        </row>
        <row r="3347">
          <cell r="A3347">
            <v>95031033</v>
          </cell>
          <cell r="B3347" t="str">
            <v>최고급 성장 특권4</v>
          </cell>
        </row>
        <row r="3348">
          <cell r="A3348">
            <v>95031034</v>
          </cell>
          <cell r="B3348" t="str">
            <v>최고급 성장 특권5</v>
          </cell>
        </row>
        <row r="3349">
          <cell r="A3349">
            <v>95031035</v>
          </cell>
          <cell r="B3349" t="str">
            <v>최고급 성장 특권6</v>
          </cell>
        </row>
        <row r="3350">
          <cell r="A3350">
            <v>95031036</v>
          </cell>
          <cell r="B3350" t="str">
            <v>최고급 성장 특권7</v>
          </cell>
        </row>
        <row r="3351">
          <cell r="A3351">
            <v>95031037</v>
          </cell>
          <cell r="B3351" t="str">
            <v>최고급 성장 특권8</v>
          </cell>
        </row>
        <row r="3352">
          <cell r="A3352">
            <v>95031038</v>
          </cell>
          <cell r="B3352" t="str">
            <v>최고급 성장 특권9</v>
          </cell>
        </row>
        <row r="3353">
          <cell r="A3353">
            <v>95031039</v>
          </cell>
          <cell r="B3353" t="str">
            <v>최고급 성장 특권10</v>
          </cell>
        </row>
        <row r="3354">
          <cell r="A3354">
            <v>95031040</v>
          </cell>
          <cell r="B3354" t="str">
            <v>장인의 성장 특권1</v>
          </cell>
        </row>
        <row r="3355">
          <cell r="A3355">
            <v>95031041</v>
          </cell>
          <cell r="B3355" t="str">
            <v>장인의 성장 특권2</v>
          </cell>
        </row>
        <row r="3356">
          <cell r="A3356">
            <v>95031042</v>
          </cell>
          <cell r="B3356" t="str">
            <v>장인의 성장 특권3</v>
          </cell>
        </row>
        <row r="3357">
          <cell r="A3357">
            <v>95031043</v>
          </cell>
          <cell r="B3357" t="str">
            <v>장인의 성장 특권4</v>
          </cell>
        </row>
        <row r="3358">
          <cell r="A3358">
            <v>95031044</v>
          </cell>
          <cell r="B3358" t="str">
            <v>장인의 성장 특권5</v>
          </cell>
        </row>
        <row r="3359">
          <cell r="A3359">
            <v>95031045</v>
          </cell>
          <cell r="B3359" t="str">
            <v>장인의 성장 특권6</v>
          </cell>
        </row>
        <row r="3360">
          <cell r="A3360">
            <v>95031046</v>
          </cell>
          <cell r="B3360" t="str">
            <v>장인의 성장 특권7</v>
          </cell>
        </row>
        <row r="3361">
          <cell r="A3361">
            <v>95031047</v>
          </cell>
          <cell r="B3361" t="str">
            <v>장인의 성장 특권8</v>
          </cell>
        </row>
        <row r="3362">
          <cell r="A3362">
            <v>95031048</v>
          </cell>
          <cell r="B3362" t="str">
            <v>장인의 성장 특권9</v>
          </cell>
        </row>
        <row r="3363">
          <cell r="A3363">
            <v>95031049</v>
          </cell>
          <cell r="B3363" t="str">
            <v>장인의 성장 특권10</v>
          </cell>
        </row>
        <row r="3364">
          <cell r="A3364">
            <v>95031050</v>
          </cell>
          <cell r="B3364" t="str">
            <v>술탄과의 만남_무료1</v>
          </cell>
        </row>
        <row r="3365">
          <cell r="A3365">
            <v>95031051</v>
          </cell>
          <cell r="B3365" t="str">
            <v>술탄과의 만남_무료2</v>
          </cell>
        </row>
        <row r="3366">
          <cell r="A3366">
            <v>95031052</v>
          </cell>
          <cell r="B3366" t="str">
            <v>술탄과의 만남_무료3</v>
          </cell>
        </row>
        <row r="3367">
          <cell r="A3367">
            <v>95031053</v>
          </cell>
          <cell r="B3367" t="str">
            <v>술탄과의 만남_무료4</v>
          </cell>
        </row>
        <row r="3368">
          <cell r="A3368">
            <v>95031054</v>
          </cell>
          <cell r="B3368" t="str">
            <v>술탄과의 만남_무료5</v>
          </cell>
        </row>
        <row r="3369">
          <cell r="A3369">
            <v>95031055</v>
          </cell>
          <cell r="B3369" t="str">
            <v>술탄과의 만남_무료6</v>
          </cell>
        </row>
        <row r="3370">
          <cell r="A3370">
            <v>95031056</v>
          </cell>
          <cell r="B3370" t="str">
            <v>술탄과의 만남_무료7</v>
          </cell>
        </row>
        <row r="3371">
          <cell r="A3371">
            <v>95031057</v>
          </cell>
          <cell r="B3371" t="str">
            <v>술탄과의 만남_무료8</v>
          </cell>
        </row>
        <row r="3372">
          <cell r="A3372">
            <v>95031058</v>
          </cell>
          <cell r="B3372" t="str">
            <v>술탄과의 만남_무료9</v>
          </cell>
        </row>
        <row r="3373">
          <cell r="A3373">
            <v>95031059</v>
          </cell>
          <cell r="B3373" t="str">
            <v>술탄과의 만남_무료10</v>
          </cell>
        </row>
        <row r="3374">
          <cell r="A3374">
            <v>95031060</v>
          </cell>
          <cell r="B3374" t="str">
            <v>술탄과의 만남_무료11</v>
          </cell>
        </row>
        <row r="3375">
          <cell r="A3375">
            <v>95031061</v>
          </cell>
          <cell r="B3375" t="str">
            <v>술탄과의 만남_무료12</v>
          </cell>
        </row>
        <row r="3376">
          <cell r="A3376">
            <v>95031062</v>
          </cell>
          <cell r="B3376" t="str">
            <v>술탄과의 만남_무료13</v>
          </cell>
        </row>
        <row r="3377">
          <cell r="A3377">
            <v>95031063</v>
          </cell>
          <cell r="B3377" t="str">
            <v>술탄과의 만남_무료14</v>
          </cell>
        </row>
        <row r="3378">
          <cell r="A3378">
            <v>95031064</v>
          </cell>
          <cell r="B3378" t="str">
            <v>술탄과의 만남_무료15</v>
          </cell>
        </row>
        <row r="3379">
          <cell r="A3379">
            <v>95031065</v>
          </cell>
          <cell r="B3379" t="str">
            <v>술탄과의 만남_유료1</v>
          </cell>
        </row>
        <row r="3380">
          <cell r="A3380">
            <v>95031066</v>
          </cell>
          <cell r="B3380" t="str">
            <v>술탄과의 만남_유료2</v>
          </cell>
        </row>
        <row r="3381">
          <cell r="A3381">
            <v>95031067</v>
          </cell>
          <cell r="B3381" t="str">
            <v>술탄과의 만남_유료3</v>
          </cell>
        </row>
        <row r="3382">
          <cell r="A3382">
            <v>95031068</v>
          </cell>
          <cell r="B3382" t="str">
            <v>술탄과의 만남_유료4</v>
          </cell>
        </row>
        <row r="3383">
          <cell r="A3383">
            <v>95031069</v>
          </cell>
          <cell r="B3383" t="str">
            <v>술탄과의 만남_유료5</v>
          </cell>
        </row>
        <row r="3384">
          <cell r="A3384">
            <v>95031070</v>
          </cell>
          <cell r="B3384" t="str">
            <v>술탄과의 만남_유료6</v>
          </cell>
        </row>
        <row r="3385">
          <cell r="A3385">
            <v>95031071</v>
          </cell>
          <cell r="B3385" t="str">
            <v>술탄과의 만남_유료7</v>
          </cell>
        </row>
        <row r="3386">
          <cell r="A3386">
            <v>95031072</v>
          </cell>
          <cell r="B3386" t="str">
            <v>술탄과의 만남_유료8</v>
          </cell>
        </row>
        <row r="3387">
          <cell r="A3387">
            <v>95031073</v>
          </cell>
          <cell r="B3387" t="str">
            <v>술탄과의 만남_유료9</v>
          </cell>
        </row>
        <row r="3388">
          <cell r="A3388">
            <v>95031074</v>
          </cell>
          <cell r="B3388" t="str">
            <v>술탄과의 만남_유료10</v>
          </cell>
        </row>
        <row r="3389">
          <cell r="A3389">
            <v>95031075</v>
          </cell>
          <cell r="B3389" t="str">
            <v>술탄과의 만남_유료11</v>
          </cell>
        </row>
        <row r="3390">
          <cell r="A3390">
            <v>95031076</v>
          </cell>
          <cell r="B3390" t="str">
            <v>술탄과의 만남_유료12</v>
          </cell>
        </row>
        <row r="3391">
          <cell r="A3391">
            <v>95031077</v>
          </cell>
          <cell r="B3391" t="str">
            <v>술탄과의 만남_유료13</v>
          </cell>
        </row>
        <row r="3392">
          <cell r="A3392">
            <v>95031078</v>
          </cell>
          <cell r="B3392" t="str">
            <v>술탄과의 만남_유료14</v>
          </cell>
        </row>
        <row r="3393">
          <cell r="A3393">
            <v>95031079</v>
          </cell>
          <cell r="B3393" t="str">
            <v>술탄과의 만남_유료15</v>
          </cell>
        </row>
        <row r="3394">
          <cell r="A3394">
            <v>95031080</v>
          </cell>
          <cell r="B3394" t="str">
            <v>5-6등급 선박 특권_무료1</v>
          </cell>
        </row>
        <row r="3395">
          <cell r="A3395">
            <v>95031081</v>
          </cell>
          <cell r="B3395" t="str">
            <v>5-6등급 선박 특권_무료2</v>
          </cell>
        </row>
        <row r="3396">
          <cell r="A3396">
            <v>95031082</v>
          </cell>
          <cell r="B3396" t="str">
            <v>5-6등급 선박 특권_무료3</v>
          </cell>
        </row>
        <row r="3397">
          <cell r="A3397">
            <v>95031083</v>
          </cell>
          <cell r="B3397" t="str">
            <v>5-6등급 선박 특권_무료4</v>
          </cell>
        </row>
        <row r="3398">
          <cell r="A3398">
            <v>95031084</v>
          </cell>
          <cell r="B3398" t="str">
            <v>5-6등급 선박 특권_무료5</v>
          </cell>
        </row>
        <row r="3399">
          <cell r="A3399">
            <v>95031085</v>
          </cell>
          <cell r="B3399" t="str">
            <v>5-6등급 선박 특권_무료6</v>
          </cell>
        </row>
        <row r="3400">
          <cell r="A3400">
            <v>95031086</v>
          </cell>
          <cell r="B3400" t="str">
            <v>5-6등급 선박 특권_무료7</v>
          </cell>
        </row>
        <row r="3401">
          <cell r="A3401">
            <v>95031087</v>
          </cell>
          <cell r="B3401" t="str">
            <v>5-6등급 선박 특권_무료8</v>
          </cell>
        </row>
        <row r="3402">
          <cell r="A3402">
            <v>95031088</v>
          </cell>
          <cell r="B3402" t="str">
            <v>5-6등급 선박 특권_무료9</v>
          </cell>
        </row>
        <row r="3403">
          <cell r="A3403">
            <v>95031089</v>
          </cell>
          <cell r="B3403" t="str">
            <v>5-6등급 선박 특권_무료10</v>
          </cell>
        </row>
        <row r="3404">
          <cell r="A3404">
            <v>95031090</v>
          </cell>
          <cell r="B3404" t="str">
            <v>5-6등급 선박 특권_무료11</v>
          </cell>
        </row>
        <row r="3405">
          <cell r="A3405">
            <v>95031091</v>
          </cell>
          <cell r="B3405" t="str">
            <v>5-6등급 선박 특권_무료12</v>
          </cell>
        </row>
        <row r="3406">
          <cell r="A3406">
            <v>95031092</v>
          </cell>
          <cell r="B3406" t="str">
            <v>5-6등급 선박 특권_무료13</v>
          </cell>
        </row>
        <row r="3407">
          <cell r="A3407">
            <v>95031093</v>
          </cell>
          <cell r="B3407" t="str">
            <v>5-6등급 선박 특권_무료14</v>
          </cell>
        </row>
        <row r="3408">
          <cell r="A3408">
            <v>95031094</v>
          </cell>
          <cell r="B3408" t="str">
            <v>5-6등급 선박 특권_무료15</v>
          </cell>
        </row>
        <row r="3409">
          <cell r="A3409">
            <v>95031095</v>
          </cell>
          <cell r="B3409" t="str">
            <v>5-6등급 선박 특권_유료1</v>
          </cell>
        </row>
        <row r="3410">
          <cell r="A3410">
            <v>95031096</v>
          </cell>
          <cell r="B3410" t="str">
            <v>5-6등급 선박 특권_유료2</v>
          </cell>
        </row>
        <row r="3411">
          <cell r="A3411">
            <v>95031097</v>
          </cell>
          <cell r="B3411" t="str">
            <v>5-6등급 선박 특권_유료3</v>
          </cell>
        </row>
        <row r="3412">
          <cell r="A3412">
            <v>95031098</v>
          </cell>
          <cell r="B3412" t="str">
            <v>5-6등급 선박 특권_유료4</v>
          </cell>
        </row>
        <row r="3413">
          <cell r="A3413">
            <v>95031099</v>
          </cell>
          <cell r="B3413" t="str">
            <v>5-6등급 선박 특권_유료5</v>
          </cell>
        </row>
        <row r="3414">
          <cell r="A3414">
            <v>95031100</v>
          </cell>
          <cell r="B3414" t="str">
            <v>5-6등급 선박 특권_유료6</v>
          </cell>
        </row>
        <row r="3415">
          <cell r="A3415">
            <v>95031101</v>
          </cell>
          <cell r="B3415" t="str">
            <v>5-6등급 선박 특권_유료7</v>
          </cell>
        </row>
        <row r="3416">
          <cell r="A3416">
            <v>95031102</v>
          </cell>
          <cell r="B3416" t="str">
            <v>5-6등급 선박 특권_유료8</v>
          </cell>
        </row>
        <row r="3417">
          <cell r="A3417">
            <v>95031103</v>
          </cell>
          <cell r="B3417" t="str">
            <v>5-6등급 선박 특권_유료9</v>
          </cell>
        </row>
        <row r="3418">
          <cell r="A3418">
            <v>95031104</v>
          </cell>
          <cell r="B3418" t="str">
            <v>5-6등급 선박 특권_유료10</v>
          </cell>
        </row>
        <row r="3419">
          <cell r="A3419">
            <v>95031105</v>
          </cell>
          <cell r="B3419" t="str">
            <v>5-6등급 선박 특권_유료11</v>
          </cell>
        </row>
        <row r="3420">
          <cell r="A3420">
            <v>95031106</v>
          </cell>
          <cell r="B3420" t="str">
            <v>5-6등급 선박 특권_유료12</v>
          </cell>
        </row>
        <row r="3421">
          <cell r="A3421">
            <v>95031107</v>
          </cell>
          <cell r="B3421" t="str">
            <v>5-6등급 선박 특권_유료13</v>
          </cell>
        </row>
        <row r="3422">
          <cell r="A3422">
            <v>95031108</v>
          </cell>
          <cell r="B3422" t="str">
            <v>5-6등급 선박 특권_유료14</v>
          </cell>
        </row>
        <row r="3423">
          <cell r="A3423">
            <v>95031109</v>
          </cell>
          <cell r="B3423" t="str">
            <v>5-6등급 선박 특권_유료15</v>
          </cell>
        </row>
        <row r="3424">
          <cell r="A3424">
            <v>95031110</v>
          </cell>
          <cell r="B3424" t="str">
            <v>7-8등급 선박 특권_무료1</v>
          </cell>
        </row>
        <row r="3425">
          <cell r="A3425">
            <v>95031111</v>
          </cell>
          <cell r="B3425" t="str">
            <v>7-8등급 선박 특권_무료2</v>
          </cell>
        </row>
        <row r="3426">
          <cell r="A3426">
            <v>95031112</v>
          </cell>
          <cell r="B3426" t="str">
            <v>7-8등급 선박 특권_무료3</v>
          </cell>
        </row>
        <row r="3427">
          <cell r="A3427">
            <v>95031113</v>
          </cell>
          <cell r="B3427" t="str">
            <v>7-8등급 선박 특권_무료4</v>
          </cell>
        </row>
        <row r="3428">
          <cell r="A3428">
            <v>95031114</v>
          </cell>
          <cell r="B3428" t="str">
            <v>7-8등급 선박 특권_무료5</v>
          </cell>
        </row>
        <row r="3429">
          <cell r="A3429">
            <v>95031115</v>
          </cell>
          <cell r="B3429" t="str">
            <v>7-8등급 선박 특권_무료6</v>
          </cell>
        </row>
        <row r="3430">
          <cell r="A3430">
            <v>95031116</v>
          </cell>
          <cell r="B3430" t="str">
            <v>7-8등급 선박 특권_무료7</v>
          </cell>
        </row>
        <row r="3431">
          <cell r="A3431">
            <v>95031117</v>
          </cell>
          <cell r="B3431" t="str">
            <v>7-8등급 선박 특권_무료8</v>
          </cell>
        </row>
        <row r="3432">
          <cell r="A3432">
            <v>95031118</v>
          </cell>
          <cell r="B3432" t="str">
            <v>7-8등급 선박 특권_무료9</v>
          </cell>
        </row>
        <row r="3433">
          <cell r="A3433">
            <v>95031119</v>
          </cell>
          <cell r="B3433" t="str">
            <v>7-8등급 선박 특권_무료10</v>
          </cell>
        </row>
        <row r="3434">
          <cell r="A3434">
            <v>95031120</v>
          </cell>
          <cell r="B3434" t="str">
            <v>7-8등급 선박 특권_무료11</v>
          </cell>
        </row>
        <row r="3435">
          <cell r="A3435">
            <v>95031121</v>
          </cell>
          <cell r="B3435" t="str">
            <v>7-8등급 선박 특권_무료12</v>
          </cell>
        </row>
        <row r="3436">
          <cell r="A3436">
            <v>95031122</v>
          </cell>
          <cell r="B3436" t="str">
            <v>7-8등급 선박 특권_무료13</v>
          </cell>
        </row>
        <row r="3437">
          <cell r="A3437">
            <v>95031123</v>
          </cell>
          <cell r="B3437" t="str">
            <v>7-8등급 선박 특권_무료14</v>
          </cell>
        </row>
        <row r="3438">
          <cell r="A3438">
            <v>95031124</v>
          </cell>
          <cell r="B3438" t="str">
            <v>7-8등급 선박 특권_무료15</v>
          </cell>
        </row>
        <row r="3439">
          <cell r="A3439">
            <v>95031125</v>
          </cell>
          <cell r="B3439" t="str">
            <v>7-8등급 선박 특권_유료1</v>
          </cell>
        </row>
        <row r="3440">
          <cell r="A3440">
            <v>95031126</v>
          </cell>
          <cell r="B3440" t="str">
            <v>7-8등급 선박 특권_유료2</v>
          </cell>
        </row>
        <row r="3441">
          <cell r="A3441">
            <v>95031127</v>
          </cell>
          <cell r="B3441" t="str">
            <v>7-8등급 선박 특권_유료3</v>
          </cell>
        </row>
        <row r="3442">
          <cell r="A3442">
            <v>95031128</v>
          </cell>
          <cell r="B3442" t="str">
            <v>7-8등급 선박 특권_유료4</v>
          </cell>
        </row>
        <row r="3443">
          <cell r="A3443">
            <v>95031129</v>
          </cell>
          <cell r="B3443" t="str">
            <v>7-8등급 선박 특권_유료5</v>
          </cell>
        </row>
        <row r="3444">
          <cell r="A3444">
            <v>95031130</v>
          </cell>
          <cell r="B3444" t="str">
            <v>7-8등급 선박 특권_유료6</v>
          </cell>
        </row>
        <row r="3445">
          <cell r="A3445">
            <v>95031131</v>
          </cell>
          <cell r="B3445" t="str">
            <v>7-8등급 선박 특권_유료7</v>
          </cell>
        </row>
        <row r="3446">
          <cell r="A3446">
            <v>95031132</v>
          </cell>
          <cell r="B3446" t="str">
            <v>7-8등급 선박 특권_유료8</v>
          </cell>
        </row>
        <row r="3447">
          <cell r="A3447">
            <v>95031133</v>
          </cell>
          <cell r="B3447" t="str">
            <v>7-8등급 선박 특권_유료9</v>
          </cell>
        </row>
        <row r="3448">
          <cell r="A3448">
            <v>95031134</v>
          </cell>
          <cell r="B3448" t="str">
            <v>7-8등급 선박 특권_유료10</v>
          </cell>
        </row>
        <row r="3449">
          <cell r="A3449">
            <v>95031135</v>
          </cell>
          <cell r="B3449" t="str">
            <v>7-8등급 선박 특권_유료11</v>
          </cell>
        </row>
        <row r="3450">
          <cell r="A3450">
            <v>95031136</v>
          </cell>
          <cell r="B3450" t="str">
            <v>7-8등급 선박 특권_유료12</v>
          </cell>
        </row>
        <row r="3451">
          <cell r="A3451">
            <v>95031137</v>
          </cell>
          <cell r="B3451" t="str">
            <v>7-8등급 선박 특권_유료13</v>
          </cell>
        </row>
        <row r="3452">
          <cell r="A3452">
            <v>95031138</v>
          </cell>
          <cell r="B3452" t="str">
            <v>7-8등급 선박 특권_유료14</v>
          </cell>
        </row>
        <row r="3453">
          <cell r="A3453">
            <v>95031139</v>
          </cell>
          <cell r="B3453" t="str">
            <v>7-8등급 선박 특권_유료15</v>
          </cell>
        </row>
        <row r="3454">
          <cell r="A3454">
            <v>95031140</v>
          </cell>
          <cell r="B3454" t="str">
            <v>9-10등급 선박 특권_무료1</v>
          </cell>
        </row>
        <row r="3455">
          <cell r="A3455">
            <v>95031141</v>
          </cell>
          <cell r="B3455" t="str">
            <v>9-10등급 선박 특권_무료2</v>
          </cell>
        </row>
        <row r="3456">
          <cell r="A3456">
            <v>95031142</v>
          </cell>
          <cell r="B3456" t="str">
            <v>9-10등급 선박 특권_무료3</v>
          </cell>
        </row>
        <row r="3457">
          <cell r="A3457">
            <v>95031143</v>
          </cell>
          <cell r="B3457" t="str">
            <v>9-10등급 선박 특권_무료4</v>
          </cell>
        </row>
        <row r="3458">
          <cell r="A3458">
            <v>95031144</v>
          </cell>
          <cell r="B3458" t="str">
            <v>9-10등급 선박 특권_무료5</v>
          </cell>
        </row>
        <row r="3459">
          <cell r="A3459">
            <v>95031145</v>
          </cell>
          <cell r="B3459" t="str">
            <v>9-10등급 선박 특권_무료6</v>
          </cell>
        </row>
        <row r="3460">
          <cell r="A3460">
            <v>95031146</v>
          </cell>
          <cell r="B3460" t="str">
            <v>9-10등급 선박 특권_무료7</v>
          </cell>
        </row>
        <row r="3461">
          <cell r="A3461">
            <v>95031147</v>
          </cell>
          <cell r="B3461" t="str">
            <v>9-10등급 선박 특권_무료8</v>
          </cell>
        </row>
        <row r="3462">
          <cell r="A3462">
            <v>95031148</v>
          </cell>
          <cell r="B3462" t="str">
            <v>9-10등급 선박 특권_무료9</v>
          </cell>
        </row>
        <row r="3463">
          <cell r="A3463">
            <v>95031149</v>
          </cell>
          <cell r="B3463" t="str">
            <v>9-10등급 선박 특권_무료10</v>
          </cell>
        </row>
        <row r="3464">
          <cell r="A3464">
            <v>95031150</v>
          </cell>
          <cell r="B3464" t="str">
            <v>9-10등급 선박 특권_무료11</v>
          </cell>
        </row>
        <row r="3465">
          <cell r="A3465">
            <v>95031151</v>
          </cell>
          <cell r="B3465" t="str">
            <v>9-10등급 선박 특권_무료12</v>
          </cell>
        </row>
        <row r="3466">
          <cell r="A3466">
            <v>95031152</v>
          </cell>
          <cell r="B3466" t="str">
            <v>9-10등급 선박 특권_무료13</v>
          </cell>
        </row>
        <row r="3467">
          <cell r="A3467">
            <v>95031153</v>
          </cell>
          <cell r="B3467" t="str">
            <v>9-10등급 선박 특권_무료14</v>
          </cell>
        </row>
        <row r="3468">
          <cell r="A3468">
            <v>95031154</v>
          </cell>
          <cell r="B3468" t="str">
            <v>9-10등급 선박 특권_무료15</v>
          </cell>
        </row>
        <row r="3469">
          <cell r="A3469">
            <v>95031155</v>
          </cell>
          <cell r="B3469" t="str">
            <v>9-10등급 선박 특권_유료1</v>
          </cell>
        </row>
        <row r="3470">
          <cell r="A3470">
            <v>95031156</v>
          </cell>
          <cell r="B3470" t="str">
            <v>9-10등급 선박 특권_유료2</v>
          </cell>
        </row>
        <row r="3471">
          <cell r="A3471">
            <v>95031157</v>
          </cell>
          <cell r="B3471" t="str">
            <v>9-10등급 선박 특권_유료3</v>
          </cell>
        </row>
        <row r="3472">
          <cell r="A3472">
            <v>95031158</v>
          </cell>
          <cell r="B3472" t="str">
            <v>9-10등급 선박 특권_유료4</v>
          </cell>
        </row>
        <row r="3473">
          <cell r="A3473">
            <v>95031159</v>
          </cell>
          <cell r="B3473" t="str">
            <v>9-10등급 선박 특권_유료5</v>
          </cell>
        </row>
        <row r="3474">
          <cell r="A3474">
            <v>95031160</v>
          </cell>
          <cell r="B3474" t="str">
            <v>9-10등급 선박 특권_유료6</v>
          </cell>
        </row>
        <row r="3475">
          <cell r="A3475">
            <v>95031161</v>
          </cell>
          <cell r="B3475" t="str">
            <v>9-10등급 선박 특권_유료7</v>
          </cell>
        </row>
        <row r="3476">
          <cell r="A3476">
            <v>95031162</v>
          </cell>
          <cell r="B3476" t="str">
            <v>9-10등급 선박 특권_유료8</v>
          </cell>
        </row>
        <row r="3477">
          <cell r="A3477">
            <v>95031163</v>
          </cell>
          <cell r="B3477" t="str">
            <v>9-10등급 선박 특권_유료9</v>
          </cell>
        </row>
        <row r="3478">
          <cell r="A3478">
            <v>95031164</v>
          </cell>
          <cell r="B3478" t="str">
            <v>9-10등급 선박 특권_유료10</v>
          </cell>
        </row>
        <row r="3479">
          <cell r="A3479">
            <v>95031165</v>
          </cell>
          <cell r="B3479" t="str">
            <v>9-10등급 선박 특권_유료11</v>
          </cell>
        </row>
        <row r="3480">
          <cell r="A3480">
            <v>95031166</v>
          </cell>
          <cell r="B3480" t="str">
            <v>9-10등급 선박 특권_유료12</v>
          </cell>
        </row>
        <row r="3481">
          <cell r="A3481">
            <v>95031167</v>
          </cell>
          <cell r="B3481" t="str">
            <v>9-10등급 선박 특권_유료13</v>
          </cell>
        </row>
        <row r="3482">
          <cell r="A3482">
            <v>95031168</v>
          </cell>
          <cell r="B3482" t="str">
            <v>9-10등급 선박 특권_유료14</v>
          </cell>
        </row>
        <row r="3483">
          <cell r="A3483">
            <v>95031169</v>
          </cell>
          <cell r="B3483" t="str">
            <v>9-10등급 선박 특권_유료15</v>
          </cell>
        </row>
        <row r="3484">
          <cell r="A3484">
            <v>95031170</v>
          </cell>
          <cell r="B3484" t="str">
            <v>11등급 선박 특권_무료1</v>
          </cell>
        </row>
        <row r="3485">
          <cell r="A3485">
            <v>95031171</v>
          </cell>
          <cell r="B3485" t="str">
            <v>11등급 선박 특권_무료2</v>
          </cell>
        </row>
        <row r="3486">
          <cell r="A3486">
            <v>95031172</v>
          </cell>
          <cell r="B3486" t="str">
            <v>11등급 선박 특권_무료3</v>
          </cell>
        </row>
        <row r="3487">
          <cell r="A3487">
            <v>95031173</v>
          </cell>
          <cell r="B3487" t="str">
            <v>11등급 선박 특권_무료4</v>
          </cell>
        </row>
        <row r="3488">
          <cell r="A3488">
            <v>95031174</v>
          </cell>
          <cell r="B3488" t="str">
            <v>11등급 선박 특권_무료5</v>
          </cell>
        </row>
        <row r="3489">
          <cell r="A3489">
            <v>95031175</v>
          </cell>
          <cell r="B3489" t="str">
            <v>11등급 선박 특권_무료6</v>
          </cell>
        </row>
        <row r="3490">
          <cell r="A3490">
            <v>95031176</v>
          </cell>
          <cell r="B3490" t="str">
            <v>11등급 선박 특권_무료7</v>
          </cell>
        </row>
        <row r="3491">
          <cell r="A3491">
            <v>95031177</v>
          </cell>
          <cell r="B3491" t="str">
            <v>11등급 선박 특권_무료8</v>
          </cell>
        </row>
        <row r="3492">
          <cell r="A3492">
            <v>95031178</v>
          </cell>
          <cell r="B3492" t="str">
            <v>11등급 선박 특권_무료9</v>
          </cell>
        </row>
        <row r="3493">
          <cell r="A3493">
            <v>95031179</v>
          </cell>
          <cell r="B3493" t="str">
            <v>11등급 선박 특권_무료10</v>
          </cell>
        </row>
        <row r="3494">
          <cell r="A3494">
            <v>95031180</v>
          </cell>
          <cell r="B3494" t="str">
            <v>11등급 선박 특권_무료11</v>
          </cell>
        </row>
        <row r="3495">
          <cell r="A3495">
            <v>95031181</v>
          </cell>
          <cell r="B3495" t="str">
            <v>11등급 선박 특권_무료12</v>
          </cell>
        </row>
        <row r="3496">
          <cell r="A3496">
            <v>95031182</v>
          </cell>
          <cell r="B3496" t="str">
            <v>11등급 선박 특권_무료13</v>
          </cell>
        </row>
        <row r="3497">
          <cell r="A3497">
            <v>95031183</v>
          </cell>
          <cell r="B3497" t="str">
            <v>11등급 선박 특권_무료14</v>
          </cell>
        </row>
        <row r="3498">
          <cell r="A3498">
            <v>95031184</v>
          </cell>
          <cell r="B3498" t="str">
            <v>11등급 선박 특권_무료15</v>
          </cell>
        </row>
        <row r="3499">
          <cell r="A3499">
            <v>95031185</v>
          </cell>
          <cell r="B3499" t="str">
            <v>11등급 선박 특권_유료1</v>
          </cell>
        </row>
        <row r="3500">
          <cell r="A3500">
            <v>95031186</v>
          </cell>
          <cell r="B3500" t="str">
            <v>11등급 선박 특권_유료2</v>
          </cell>
        </row>
        <row r="3501">
          <cell r="A3501">
            <v>95031187</v>
          </cell>
          <cell r="B3501" t="str">
            <v>11등급 선박 특권_유료3</v>
          </cell>
        </row>
        <row r="3502">
          <cell r="A3502">
            <v>95031188</v>
          </cell>
          <cell r="B3502" t="str">
            <v>11등급 선박 특권_유료4</v>
          </cell>
        </row>
        <row r="3503">
          <cell r="A3503">
            <v>95031189</v>
          </cell>
          <cell r="B3503" t="str">
            <v>11등급 선박 특권_유료5</v>
          </cell>
        </row>
        <row r="3504">
          <cell r="A3504">
            <v>95031190</v>
          </cell>
          <cell r="B3504" t="str">
            <v>11등급 선박 특권_유료6</v>
          </cell>
        </row>
        <row r="3505">
          <cell r="A3505">
            <v>95031191</v>
          </cell>
          <cell r="B3505" t="str">
            <v>11등급 선박 특권_유료7</v>
          </cell>
        </row>
        <row r="3506">
          <cell r="A3506">
            <v>95031192</v>
          </cell>
          <cell r="B3506" t="str">
            <v>11등급 선박 특권_유료8</v>
          </cell>
        </row>
        <row r="3507">
          <cell r="A3507">
            <v>95031193</v>
          </cell>
          <cell r="B3507" t="str">
            <v>11등급 선박 특권_유료9</v>
          </cell>
        </row>
        <row r="3508">
          <cell r="A3508">
            <v>95031194</v>
          </cell>
          <cell r="B3508" t="str">
            <v>11등급 선박 특권_유료10</v>
          </cell>
        </row>
        <row r="3509">
          <cell r="A3509">
            <v>95031195</v>
          </cell>
          <cell r="B3509" t="str">
            <v>11등급 선박 특권_유료11</v>
          </cell>
        </row>
        <row r="3510">
          <cell r="A3510">
            <v>95031196</v>
          </cell>
          <cell r="B3510" t="str">
            <v>11등급 선박 특권_유료12</v>
          </cell>
        </row>
        <row r="3511">
          <cell r="A3511">
            <v>95031197</v>
          </cell>
          <cell r="B3511" t="str">
            <v>11등급 선박 특권_유료13</v>
          </cell>
        </row>
        <row r="3512">
          <cell r="A3512">
            <v>95031198</v>
          </cell>
          <cell r="B3512" t="str">
            <v>11등급 선박 특권_유료14</v>
          </cell>
        </row>
        <row r="3513">
          <cell r="A3513">
            <v>95031199</v>
          </cell>
          <cell r="B3513" t="str">
            <v>11등급 선박 특권_유료15</v>
          </cell>
        </row>
        <row r="3514">
          <cell r="A3514">
            <v>95031200</v>
          </cell>
          <cell r="B3514" t="str">
            <v>연금 특권1</v>
          </cell>
        </row>
        <row r="3515">
          <cell r="A3515">
            <v>95031201</v>
          </cell>
          <cell r="B3515" t="str">
            <v>연금 특권2</v>
          </cell>
        </row>
        <row r="3516">
          <cell r="A3516">
            <v>95031202</v>
          </cell>
          <cell r="B3516" t="str">
            <v>연금 특권3</v>
          </cell>
        </row>
        <row r="3517">
          <cell r="A3517">
            <v>95031203</v>
          </cell>
          <cell r="B3517" t="str">
            <v>연금 특권4</v>
          </cell>
        </row>
        <row r="3518">
          <cell r="A3518">
            <v>95031204</v>
          </cell>
          <cell r="B3518" t="str">
            <v>연금 특권5</v>
          </cell>
        </row>
        <row r="3519">
          <cell r="A3519">
            <v>95031205</v>
          </cell>
          <cell r="B3519" t="str">
            <v>연금 특권6</v>
          </cell>
        </row>
        <row r="3520">
          <cell r="A3520">
            <v>95031206</v>
          </cell>
          <cell r="B3520" t="str">
            <v>연금 특권7</v>
          </cell>
        </row>
        <row r="3521">
          <cell r="A3521">
            <v>95031207</v>
          </cell>
          <cell r="B3521" t="str">
            <v>연금 특권8</v>
          </cell>
        </row>
        <row r="3522">
          <cell r="A3522">
            <v>95031208</v>
          </cell>
          <cell r="B3522" t="str">
            <v>연금 특권9</v>
          </cell>
        </row>
        <row r="3523">
          <cell r="A3523">
            <v>95031209</v>
          </cell>
          <cell r="B3523" t="str">
            <v>연금 특권10</v>
          </cell>
        </row>
        <row r="3524">
          <cell r="A3524">
            <v>95031210</v>
          </cell>
          <cell r="B3524" t="str">
            <v>모험의 시작</v>
          </cell>
        </row>
        <row r="3525">
          <cell r="A3525">
            <v>95031211</v>
          </cell>
          <cell r="B3525" t="str">
            <v>교역의 시작</v>
          </cell>
        </row>
        <row r="3526">
          <cell r="A3526">
            <v>95031212</v>
          </cell>
          <cell r="B3526" t="str">
            <v>해전의 시작</v>
          </cell>
        </row>
        <row r="3527">
          <cell r="A3527">
            <v>95031213</v>
          </cell>
          <cell r="B3527" t="str">
            <v>시작의 상자</v>
          </cell>
        </row>
        <row r="3528">
          <cell r="A3528">
            <v>95031214</v>
          </cell>
          <cell r="B3528" t="str">
            <v>커터 인도서</v>
          </cell>
        </row>
        <row r="3529">
          <cell r="A3529">
            <v>95031215</v>
          </cell>
          <cell r="B3529" t="str">
            <v>핀네스 인도서</v>
          </cell>
        </row>
        <row r="3530">
          <cell r="A3530">
            <v>95031216</v>
          </cell>
          <cell r="B3530" t="str">
            <v>프류트 인도서</v>
          </cell>
        </row>
        <row r="3531">
          <cell r="A3531">
            <v>95031217</v>
          </cell>
          <cell r="B3531" t="str">
            <v>11~12등급 선박 재료 상자</v>
          </cell>
        </row>
        <row r="3532">
          <cell r="A3532">
            <v>95031218</v>
          </cell>
          <cell r="B3532" t="str">
            <v>고급 건조 가속 상자</v>
          </cell>
        </row>
        <row r="3533">
          <cell r="A3533">
            <v>95031219</v>
          </cell>
          <cell r="B3533" t="str">
            <v>고급 고용 가속 상자</v>
          </cell>
        </row>
        <row r="3534">
          <cell r="A3534">
            <v>95031220</v>
          </cell>
          <cell r="B3534" t="str">
            <v>항해사 승급 패스1</v>
          </cell>
        </row>
        <row r="3535">
          <cell r="A3535">
            <v>95031221</v>
          </cell>
          <cell r="B3535" t="str">
            <v>항해사 승급 패스2</v>
          </cell>
        </row>
        <row r="3536">
          <cell r="A3536">
            <v>95031222</v>
          </cell>
          <cell r="B3536" t="str">
            <v>항해사 승급 패스3</v>
          </cell>
        </row>
        <row r="3537">
          <cell r="A3537">
            <v>95031223</v>
          </cell>
          <cell r="B3537" t="str">
            <v>항해사 승급 패스4</v>
          </cell>
        </row>
        <row r="3538">
          <cell r="A3538">
            <v>95031224</v>
          </cell>
          <cell r="B3538" t="str">
            <v>항해사 승급 패스5</v>
          </cell>
        </row>
        <row r="3539">
          <cell r="A3539">
            <v>95031225</v>
          </cell>
          <cell r="B3539" t="str">
            <v>가속권 패스1</v>
          </cell>
        </row>
        <row r="3540">
          <cell r="A3540">
            <v>95031226</v>
          </cell>
          <cell r="B3540" t="str">
            <v>가속권 패스2</v>
          </cell>
        </row>
        <row r="3541">
          <cell r="A3541">
            <v>95031227</v>
          </cell>
          <cell r="B3541" t="str">
            <v>가속권 패스3</v>
          </cell>
        </row>
        <row r="3542">
          <cell r="A3542">
            <v>95031228</v>
          </cell>
          <cell r="B3542" t="str">
            <v>가속권 패스4</v>
          </cell>
        </row>
        <row r="3543">
          <cell r="A3543">
            <v>95031229</v>
          </cell>
          <cell r="B3543" t="str">
            <v>가속권 패스5</v>
          </cell>
        </row>
        <row r="3544">
          <cell r="A3544">
            <v>95031230</v>
          </cell>
          <cell r="B3544" t="str">
            <v>가속권 패스6</v>
          </cell>
        </row>
        <row r="3545">
          <cell r="A3545">
            <v>95031231</v>
          </cell>
          <cell r="B3545" t="str">
            <v>가속권 패스7</v>
          </cell>
        </row>
        <row r="3546">
          <cell r="A3546">
            <v>95031232</v>
          </cell>
          <cell r="B3546" t="str">
            <v>가속권 패스8</v>
          </cell>
        </row>
        <row r="3547">
          <cell r="A3547">
            <v>95031233</v>
          </cell>
          <cell r="B3547" t="str">
            <v>가속권 패스9</v>
          </cell>
        </row>
        <row r="3548">
          <cell r="A3548">
            <v>95031234</v>
          </cell>
          <cell r="B3548" t="str">
            <v>가속권 패스10</v>
          </cell>
        </row>
        <row r="3549">
          <cell r="A3549">
            <v>95031235</v>
          </cell>
          <cell r="B3549" t="str">
            <v>가속권 패스11</v>
          </cell>
        </row>
        <row r="3550">
          <cell r="A3550">
            <v>95031236</v>
          </cell>
          <cell r="B3550" t="str">
            <v>스타트 부품 패키지</v>
          </cell>
        </row>
        <row r="3551">
          <cell r="A3551">
            <v>95031237</v>
          </cell>
          <cell r="B3551" t="str">
            <v>시작의 상자2</v>
          </cell>
        </row>
        <row r="3552">
          <cell r="A3552">
            <v>95031238</v>
          </cell>
          <cell r="B3552" t="str">
            <v>초급 연금 특권1</v>
          </cell>
        </row>
        <row r="3553">
          <cell r="A3553">
            <v>95031239</v>
          </cell>
          <cell r="B3553" t="str">
            <v>초급 연금 특권2</v>
          </cell>
        </row>
        <row r="3554">
          <cell r="A3554">
            <v>95031240</v>
          </cell>
          <cell r="B3554" t="str">
            <v>초급 연금 특권3</v>
          </cell>
        </row>
        <row r="3555">
          <cell r="A3555">
            <v>95031241</v>
          </cell>
          <cell r="B3555" t="str">
            <v>초급 연금 특권4</v>
          </cell>
        </row>
        <row r="3556">
          <cell r="A3556">
            <v>95031242</v>
          </cell>
          <cell r="B3556" t="str">
            <v>초급 연금 특권5</v>
          </cell>
        </row>
        <row r="3557">
          <cell r="A3557">
            <v>95031243</v>
          </cell>
          <cell r="B3557" t="str">
            <v>초급 연금 특권6</v>
          </cell>
        </row>
        <row r="3558">
          <cell r="A3558">
            <v>95031244</v>
          </cell>
          <cell r="B3558" t="str">
            <v>초급 연금 특권7</v>
          </cell>
        </row>
        <row r="3559">
          <cell r="A3559">
            <v>95031245</v>
          </cell>
          <cell r="B3559" t="str">
            <v>초급 연금 특권8</v>
          </cell>
        </row>
        <row r="3560">
          <cell r="A3560">
            <v>95031246</v>
          </cell>
          <cell r="B3560" t="str">
            <v>초급 연금 특권9</v>
          </cell>
        </row>
        <row r="3561">
          <cell r="A3561">
            <v>95031247</v>
          </cell>
          <cell r="B3561" t="str">
            <v>초급 연금 특권10</v>
          </cell>
        </row>
        <row r="3562">
          <cell r="A3562">
            <v>95031248</v>
          </cell>
          <cell r="B3562" t="str">
            <v>에이스의 숙명1</v>
          </cell>
        </row>
        <row r="3563">
          <cell r="A3563">
            <v>95031249</v>
          </cell>
          <cell r="B3563" t="str">
            <v>에이스의 숙명2</v>
          </cell>
        </row>
        <row r="3564">
          <cell r="A3564">
            <v>95031250</v>
          </cell>
          <cell r="B3564" t="str">
            <v>에이스의 숙명3</v>
          </cell>
        </row>
        <row r="3565">
          <cell r="A3565">
            <v>95031251</v>
          </cell>
          <cell r="B3565" t="str">
            <v>에이스의 숙명4</v>
          </cell>
        </row>
        <row r="3566">
          <cell r="A3566">
            <v>95031252</v>
          </cell>
          <cell r="B3566" t="str">
            <v>에이스의 숙명5</v>
          </cell>
        </row>
        <row r="3567">
          <cell r="A3567">
            <v>95031253</v>
          </cell>
          <cell r="B3567" t="str">
            <v>갈릴레이와의 만남_무료1</v>
          </cell>
        </row>
        <row r="3568">
          <cell r="A3568">
            <v>95031254</v>
          </cell>
          <cell r="B3568" t="str">
            <v>갈릴레이와의 만남_무료2</v>
          </cell>
        </row>
        <row r="3569">
          <cell r="A3569">
            <v>95031255</v>
          </cell>
          <cell r="B3569" t="str">
            <v>갈릴레이와의 만남_무료3</v>
          </cell>
        </row>
        <row r="3570">
          <cell r="A3570">
            <v>95031256</v>
          </cell>
          <cell r="B3570" t="str">
            <v>갈릴레이와의 만남_무료4</v>
          </cell>
        </row>
        <row r="3571">
          <cell r="A3571">
            <v>95031257</v>
          </cell>
          <cell r="B3571" t="str">
            <v>갈릴레이와의 만남_무료5</v>
          </cell>
        </row>
        <row r="3572">
          <cell r="A3572">
            <v>95031258</v>
          </cell>
          <cell r="B3572" t="str">
            <v>갈릴레이와의 만남_무료6</v>
          </cell>
        </row>
        <row r="3573">
          <cell r="A3573">
            <v>95031259</v>
          </cell>
          <cell r="B3573" t="str">
            <v>갈릴레이와의 만남_무료7</v>
          </cell>
        </row>
        <row r="3574">
          <cell r="A3574">
            <v>95031260</v>
          </cell>
          <cell r="B3574" t="str">
            <v>갈릴레이와의 만남_무료8</v>
          </cell>
        </row>
        <row r="3575">
          <cell r="A3575">
            <v>95031261</v>
          </cell>
          <cell r="B3575" t="str">
            <v>갈릴레이와의 만남_무료9</v>
          </cell>
        </row>
        <row r="3576">
          <cell r="A3576">
            <v>95031262</v>
          </cell>
          <cell r="B3576" t="str">
            <v>갈릴레이와의 만남_무료10</v>
          </cell>
        </row>
        <row r="3577">
          <cell r="A3577">
            <v>95031263</v>
          </cell>
          <cell r="B3577" t="str">
            <v>갈릴레이와의 만남_무료11</v>
          </cell>
        </row>
        <row r="3578">
          <cell r="A3578">
            <v>95031264</v>
          </cell>
          <cell r="B3578" t="str">
            <v>갈릴레이와의 만남_무료12</v>
          </cell>
        </row>
        <row r="3579">
          <cell r="A3579">
            <v>95031265</v>
          </cell>
          <cell r="B3579" t="str">
            <v>갈릴레이와의 만남_무료13</v>
          </cell>
        </row>
        <row r="3580">
          <cell r="A3580">
            <v>95031266</v>
          </cell>
          <cell r="B3580" t="str">
            <v>갈릴레이와의 만남_무료14</v>
          </cell>
        </row>
        <row r="3581">
          <cell r="A3581">
            <v>95031267</v>
          </cell>
          <cell r="B3581" t="str">
            <v>갈릴레이와의 만남_무료15</v>
          </cell>
        </row>
        <row r="3582">
          <cell r="A3582">
            <v>95031268</v>
          </cell>
          <cell r="B3582" t="str">
            <v>갈릴레이와의 만남_유료1</v>
          </cell>
        </row>
        <row r="3583">
          <cell r="A3583">
            <v>95031269</v>
          </cell>
          <cell r="B3583" t="str">
            <v>갈릴레이와의 만남_유료2</v>
          </cell>
        </row>
        <row r="3584">
          <cell r="A3584">
            <v>95031270</v>
          </cell>
          <cell r="B3584" t="str">
            <v>갈릴레이와의 만남_유료3</v>
          </cell>
        </row>
        <row r="3585">
          <cell r="A3585">
            <v>95031271</v>
          </cell>
          <cell r="B3585" t="str">
            <v>갈릴레이와의 만남_유료4</v>
          </cell>
        </row>
        <row r="3586">
          <cell r="A3586">
            <v>95031272</v>
          </cell>
          <cell r="B3586" t="str">
            <v>갈릴레이와의 만남_유료5</v>
          </cell>
        </row>
        <row r="3587">
          <cell r="A3587">
            <v>95031273</v>
          </cell>
          <cell r="B3587" t="str">
            <v>갈릴레이와의 만남_유료6</v>
          </cell>
        </row>
        <row r="3588">
          <cell r="A3588">
            <v>95031274</v>
          </cell>
          <cell r="B3588" t="str">
            <v>갈릴레이와의 만남_유료7</v>
          </cell>
        </row>
        <row r="3589">
          <cell r="A3589">
            <v>95031275</v>
          </cell>
          <cell r="B3589" t="str">
            <v>갈릴레이와의 만남_유료8</v>
          </cell>
        </row>
        <row r="3590">
          <cell r="A3590">
            <v>95031276</v>
          </cell>
          <cell r="B3590" t="str">
            <v>갈릴레이와의 만남_유료9</v>
          </cell>
        </row>
        <row r="3591">
          <cell r="A3591">
            <v>95031277</v>
          </cell>
          <cell r="B3591" t="str">
            <v>갈릴레이와의 만남_유료10</v>
          </cell>
        </row>
        <row r="3592">
          <cell r="A3592">
            <v>95031278</v>
          </cell>
          <cell r="B3592" t="str">
            <v>갈릴레이와의 만남_유료11</v>
          </cell>
        </row>
        <row r="3593">
          <cell r="A3593">
            <v>95031279</v>
          </cell>
          <cell r="B3593" t="str">
            <v>갈릴레이와의 만남_유료12</v>
          </cell>
        </row>
        <row r="3594">
          <cell r="A3594">
            <v>95031280</v>
          </cell>
          <cell r="B3594" t="str">
            <v>갈릴레이와의 만남_유료13</v>
          </cell>
        </row>
        <row r="3595">
          <cell r="A3595">
            <v>95031281</v>
          </cell>
          <cell r="B3595" t="str">
            <v>갈릴레이와의 만남_유료14</v>
          </cell>
        </row>
        <row r="3596">
          <cell r="A3596">
            <v>95031282</v>
          </cell>
          <cell r="B3596" t="str">
            <v>갈릴레이와의 만남_유료15</v>
          </cell>
        </row>
        <row r="3597">
          <cell r="A3597">
            <v>95031283</v>
          </cell>
          <cell r="B3597" t="str">
            <v>건조 스타트 패키지</v>
          </cell>
        </row>
        <row r="3598">
          <cell r="A3598">
            <v>95031284</v>
          </cell>
          <cell r="B3598" t="str">
            <v>동양 선박 특권1</v>
          </cell>
        </row>
        <row r="3599">
          <cell r="A3599">
            <v>95031285</v>
          </cell>
          <cell r="B3599" t="str">
            <v>동양 선박 특권2</v>
          </cell>
        </row>
        <row r="3600">
          <cell r="A3600">
            <v>95031286</v>
          </cell>
          <cell r="B3600" t="str">
            <v>동양 선박 특권3</v>
          </cell>
        </row>
        <row r="3601">
          <cell r="A3601">
            <v>95031287</v>
          </cell>
          <cell r="B3601" t="str">
            <v>동양 선박 특권4</v>
          </cell>
        </row>
        <row r="3602">
          <cell r="A3602">
            <v>95031288</v>
          </cell>
          <cell r="B3602" t="str">
            <v>동양 선박 특권5</v>
          </cell>
        </row>
        <row r="3603">
          <cell r="A3603">
            <v>95031289</v>
          </cell>
          <cell r="B3603" t="str">
            <v>동양 선박 특권6</v>
          </cell>
        </row>
        <row r="3604">
          <cell r="A3604">
            <v>95031290</v>
          </cell>
          <cell r="B3604" t="str">
            <v>동양 선박 특권7</v>
          </cell>
        </row>
        <row r="3605">
          <cell r="A3605">
            <v>95031291</v>
          </cell>
          <cell r="B3605" t="str">
            <v>동양 선박 특권8</v>
          </cell>
        </row>
        <row r="3606">
          <cell r="A3606">
            <v>95031292</v>
          </cell>
          <cell r="B3606" t="str">
            <v>동양 선박 특권9</v>
          </cell>
        </row>
        <row r="3607">
          <cell r="A3607">
            <v>95031293</v>
          </cell>
          <cell r="B3607" t="str">
            <v>동양 선박 특권10</v>
          </cell>
        </row>
        <row r="3608">
          <cell r="A3608">
            <v>95031294</v>
          </cell>
          <cell r="B3608" t="str">
            <v>고급 제작 가속 상자</v>
          </cell>
        </row>
        <row r="3609">
          <cell r="A3609">
            <v>95031295</v>
          </cell>
          <cell r="B3609" t="str">
            <v>음악 항해사 승급 특권_무료1</v>
          </cell>
        </row>
        <row r="3610">
          <cell r="A3610">
            <v>95031296</v>
          </cell>
          <cell r="B3610" t="str">
            <v>음악 항해사 승급 특권_무료2</v>
          </cell>
        </row>
        <row r="3611">
          <cell r="A3611">
            <v>95031297</v>
          </cell>
          <cell r="B3611" t="str">
            <v>음악 항해사 승급 특권_무료3</v>
          </cell>
        </row>
        <row r="3612">
          <cell r="A3612">
            <v>95031298</v>
          </cell>
          <cell r="B3612" t="str">
            <v>음악 항해사 승급 특권_무료4</v>
          </cell>
        </row>
        <row r="3613">
          <cell r="A3613">
            <v>95031299</v>
          </cell>
          <cell r="B3613" t="str">
            <v>음악 항해사 승급 특권_무료5</v>
          </cell>
        </row>
        <row r="3614">
          <cell r="A3614">
            <v>95031300</v>
          </cell>
          <cell r="B3614" t="str">
            <v>음악 항해사 승급 특권_무료6</v>
          </cell>
        </row>
        <row r="3615">
          <cell r="A3615">
            <v>95031301</v>
          </cell>
          <cell r="B3615" t="str">
            <v>음악 항해사 승급 특권_무료7</v>
          </cell>
        </row>
        <row r="3616">
          <cell r="A3616">
            <v>95031302</v>
          </cell>
          <cell r="B3616" t="str">
            <v>음악 항해사 승급 특권_무료8</v>
          </cell>
        </row>
        <row r="3617">
          <cell r="A3617">
            <v>95031303</v>
          </cell>
          <cell r="B3617" t="str">
            <v>음악 항해사 승급 특권_무료9</v>
          </cell>
        </row>
        <row r="3618">
          <cell r="A3618">
            <v>95031304</v>
          </cell>
          <cell r="B3618" t="str">
            <v>음악 항해사 승급 특권_무료10</v>
          </cell>
        </row>
        <row r="3619">
          <cell r="A3619">
            <v>95031305</v>
          </cell>
          <cell r="B3619" t="str">
            <v>음악 항해사 승급 특권_무료11</v>
          </cell>
        </row>
        <row r="3620">
          <cell r="A3620">
            <v>95031306</v>
          </cell>
          <cell r="B3620" t="str">
            <v>음악 항해사 승급 특권_무료12</v>
          </cell>
        </row>
        <row r="3621">
          <cell r="A3621">
            <v>95031307</v>
          </cell>
          <cell r="B3621" t="str">
            <v>음악 항해사 승급 특권_무료13</v>
          </cell>
        </row>
        <row r="3622">
          <cell r="A3622">
            <v>95031308</v>
          </cell>
          <cell r="B3622" t="str">
            <v>음악 항해사 승급 특권_무료14</v>
          </cell>
        </row>
        <row r="3623">
          <cell r="A3623">
            <v>95031309</v>
          </cell>
          <cell r="B3623" t="str">
            <v>음악 항해사 승급 특권_무료15</v>
          </cell>
        </row>
        <row r="3624">
          <cell r="A3624">
            <v>95031310</v>
          </cell>
          <cell r="B3624" t="str">
            <v>음악 항해사 승급 특권_유료1</v>
          </cell>
        </row>
        <row r="3625">
          <cell r="A3625">
            <v>95031311</v>
          </cell>
          <cell r="B3625" t="str">
            <v>음악 항해사 승급 특권_유료2</v>
          </cell>
        </row>
        <row r="3626">
          <cell r="A3626">
            <v>95031312</v>
          </cell>
          <cell r="B3626" t="str">
            <v>음악 항해사 승급 특권_유료3</v>
          </cell>
        </row>
        <row r="3627">
          <cell r="A3627">
            <v>95031313</v>
          </cell>
          <cell r="B3627" t="str">
            <v>음악 항해사 승급 특권_유료4</v>
          </cell>
        </row>
        <row r="3628">
          <cell r="A3628">
            <v>95031314</v>
          </cell>
          <cell r="B3628" t="str">
            <v>음악 항해사 승급 특권_유료5</v>
          </cell>
        </row>
        <row r="3629">
          <cell r="A3629">
            <v>95031315</v>
          </cell>
          <cell r="B3629" t="str">
            <v>음악 항해사 승급 특권_유료6</v>
          </cell>
        </row>
        <row r="3630">
          <cell r="A3630">
            <v>95031316</v>
          </cell>
          <cell r="B3630" t="str">
            <v>음악 항해사 승급 특권_유료7</v>
          </cell>
        </row>
        <row r="3631">
          <cell r="A3631">
            <v>95031317</v>
          </cell>
          <cell r="B3631" t="str">
            <v>음악 항해사 승급 특권_유료8</v>
          </cell>
        </row>
        <row r="3632">
          <cell r="A3632">
            <v>95031318</v>
          </cell>
          <cell r="B3632" t="str">
            <v>음악 항해사 승급 특권_유료9</v>
          </cell>
        </row>
        <row r="3633">
          <cell r="A3633">
            <v>95031319</v>
          </cell>
          <cell r="B3633" t="str">
            <v>음악 항해사 승급 특권_유료10</v>
          </cell>
        </row>
        <row r="3634">
          <cell r="A3634">
            <v>95031320</v>
          </cell>
          <cell r="B3634" t="str">
            <v>음악 항해사 승급 특권_유료11</v>
          </cell>
        </row>
        <row r="3635">
          <cell r="A3635">
            <v>95031321</v>
          </cell>
          <cell r="B3635" t="str">
            <v>음악 항해사 승급 특권_유료12</v>
          </cell>
        </row>
        <row r="3636">
          <cell r="A3636">
            <v>95031322</v>
          </cell>
          <cell r="B3636" t="str">
            <v>음악 항해사 승급 특권_유료13</v>
          </cell>
        </row>
        <row r="3637">
          <cell r="A3637">
            <v>95031323</v>
          </cell>
          <cell r="B3637" t="str">
            <v>음악 항해사 승급 특권_유료14</v>
          </cell>
        </row>
        <row r="3638">
          <cell r="A3638">
            <v>95031324</v>
          </cell>
          <cell r="B3638" t="str">
            <v>음악 항해사 승급 특권_유료15</v>
          </cell>
        </row>
        <row r="3639">
          <cell r="A3639">
            <v>95031325</v>
          </cell>
          <cell r="B3639" t="str">
            <v>숨은 영웅들</v>
          </cell>
        </row>
        <row r="3640">
          <cell r="A3640">
            <v>95031326</v>
          </cell>
          <cell r="B3640" t="str">
            <v>할로윈 장비 제작 패키지</v>
          </cell>
        </row>
        <row r="3641">
          <cell r="A3641">
            <v>95031327</v>
          </cell>
          <cell r="B3641" t="str">
            <v>할로윈 부품 제작 패키지</v>
          </cell>
        </row>
        <row r="3642">
          <cell r="A3642">
            <v>95031328</v>
          </cell>
          <cell r="B3642" t="str">
            <v>B급 장비 제작 상자</v>
          </cell>
        </row>
        <row r="3643">
          <cell r="A3643">
            <v>95031329</v>
          </cell>
          <cell r="B3643" t="str">
            <v>B급 부품 제작 상자</v>
          </cell>
        </row>
        <row r="3644">
          <cell r="A3644">
            <v>95031330</v>
          </cell>
          <cell r="B3644" t="str">
            <v>12등급 선박 특권_무료1</v>
          </cell>
        </row>
        <row r="3645">
          <cell r="A3645">
            <v>95031331</v>
          </cell>
          <cell r="B3645" t="str">
            <v>12등급 선박 특권_무료2</v>
          </cell>
        </row>
        <row r="3646">
          <cell r="A3646">
            <v>95031332</v>
          </cell>
          <cell r="B3646" t="str">
            <v>12등급 선박 특권_무료3</v>
          </cell>
        </row>
        <row r="3647">
          <cell r="A3647">
            <v>95031333</v>
          </cell>
          <cell r="B3647" t="str">
            <v>12등급 선박 특권_무료4</v>
          </cell>
        </row>
        <row r="3648">
          <cell r="A3648">
            <v>95031334</v>
          </cell>
          <cell r="B3648" t="str">
            <v>12등급 선박 특권_무료5</v>
          </cell>
        </row>
        <row r="3649">
          <cell r="A3649">
            <v>95031335</v>
          </cell>
          <cell r="B3649" t="str">
            <v>12등급 선박 특권_무료6</v>
          </cell>
        </row>
        <row r="3650">
          <cell r="A3650">
            <v>95031336</v>
          </cell>
          <cell r="B3650" t="str">
            <v>12등급 선박 특권_무료7</v>
          </cell>
        </row>
        <row r="3651">
          <cell r="A3651">
            <v>95031337</v>
          </cell>
          <cell r="B3651" t="str">
            <v>12등급 선박 특권_무료8</v>
          </cell>
        </row>
        <row r="3652">
          <cell r="A3652">
            <v>95031338</v>
          </cell>
          <cell r="B3652" t="str">
            <v>12등급 선박 특권_무료9</v>
          </cell>
        </row>
        <row r="3653">
          <cell r="A3653">
            <v>95031339</v>
          </cell>
          <cell r="B3653" t="str">
            <v>12등급 선박 특권_무료10</v>
          </cell>
        </row>
        <row r="3654">
          <cell r="A3654">
            <v>95031340</v>
          </cell>
          <cell r="B3654" t="str">
            <v>12등급 선박 특권_무료11</v>
          </cell>
        </row>
        <row r="3655">
          <cell r="A3655">
            <v>95031341</v>
          </cell>
          <cell r="B3655" t="str">
            <v>12등급 선박 특권_무료12</v>
          </cell>
        </row>
        <row r="3656">
          <cell r="A3656">
            <v>95031342</v>
          </cell>
          <cell r="B3656" t="str">
            <v>12등급 선박 특권_무료13</v>
          </cell>
        </row>
        <row r="3657">
          <cell r="A3657">
            <v>95031343</v>
          </cell>
          <cell r="B3657" t="str">
            <v>12등급 선박 특권_무료14</v>
          </cell>
        </row>
        <row r="3658">
          <cell r="A3658">
            <v>95031344</v>
          </cell>
          <cell r="B3658" t="str">
            <v>12등급 선박 특권_무료15</v>
          </cell>
        </row>
        <row r="3659">
          <cell r="A3659">
            <v>95031345</v>
          </cell>
          <cell r="B3659" t="str">
            <v>12등급 선박 특권_유료1</v>
          </cell>
        </row>
        <row r="3660">
          <cell r="A3660">
            <v>95031346</v>
          </cell>
          <cell r="B3660" t="str">
            <v>12등급 선박 특권_유료2</v>
          </cell>
        </row>
        <row r="3661">
          <cell r="A3661">
            <v>95031347</v>
          </cell>
          <cell r="B3661" t="str">
            <v>12등급 선박 특권_유료3</v>
          </cell>
        </row>
        <row r="3662">
          <cell r="A3662">
            <v>95031348</v>
          </cell>
          <cell r="B3662" t="str">
            <v>12등급 선박 특권_유료4</v>
          </cell>
        </row>
        <row r="3663">
          <cell r="A3663">
            <v>95031349</v>
          </cell>
          <cell r="B3663" t="str">
            <v>12등급 선박 특권_유료5</v>
          </cell>
        </row>
        <row r="3664">
          <cell r="A3664">
            <v>95031350</v>
          </cell>
          <cell r="B3664" t="str">
            <v>12등급 선박 특권_유료6</v>
          </cell>
        </row>
        <row r="3665">
          <cell r="A3665">
            <v>95031351</v>
          </cell>
          <cell r="B3665" t="str">
            <v>12등급 선박 특권_유료7</v>
          </cell>
        </row>
        <row r="3666">
          <cell r="A3666">
            <v>95031352</v>
          </cell>
          <cell r="B3666" t="str">
            <v>12등급 선박 특권_유료8</v>
          </cell>
        </row>
        <row r="3667">
          <cell r="A3667">
            <v>95031353</v>
          </cell>
          <cell r="B3667" t="str">
            <v>12등급 선박 특권_유료9</v>
          </cell>
        </row>
        <row r="3668">
          <cell r="A3668">
            <v>95031354</v>
          </cell>
          <cell r="B3668" t="str">
            <v>12등급 선박 특권_유료10</v>
          </cell>
        </row>
        <row r="3669">
          <cell r="A3669">
            <v>95031355</v>
          </cell>
          <cell r="B3669" t="str">
            <v>12등급 선박 특권_유료11</v>
          </cell>
        </row>
        <row r="3670">
          <cell r="A3670">
            <v>95031356</v>
          </cell>
          <cell r="B3670" t="str">
            <v>12등급 선박 특권_유료12</v>
          </cell>
        </row>
        <row r="3671">
          <cell r="A3671">
            <v>95031357</v>
          </cell>
          <cell r="B3671" t="str">
            <v>12등급 선박 특권_유료13</v>
          </cell>
        </row>
        <row r="3672">
          <cell r="A3672">
            <v>95031358</v>
          </cell>
          <cell r="B3672" t="str">
            <v>12등급 선박 특권_유료14</v>
          </cell>
        </row>
        <row r="3673">
          <cell r="A3673">
            <v>95031359</v>
          </cell>
          <cell r="B3673" t="str">
            <v>12등급 선박 특권_유료15</v>
          </cell>
        </row>
        <row r="3674">
          <cell r="A3674">
            <v>95040001</v>
          </cell>
          <cell r="B3674" t="str">
            <v>튜토리얼 전역 면세증</v>
          </cell>
        </row>
        <row r="3675">
          <cell r="A3675">
            <v>95100001</v>
          </cell>
          <cell r="B3675" t="str">
            <v>이스테방 고메스 탐험단 격파 업적 보상</v>
          </cell>
        </row>
        <row r="3676">
          <cell r="A3676">
            <v>95100002</v>
          </cell>
          <cell r="B3676" t="str">
            <v>존 바이런 탐험단 격파 업적 보상</v>
          </cell>
        </row>
        <row r="3677">
          <cell r="A3677">
            <v>95100003</v>
          </cell>
          <cell r="B3677" t="str">
            <v>장 플뢰리 해적단 격파 업적 보상</v>
          </cell>
        </row>
        <row r="3678">
          <cell r="A3678">
            <v>95100004</v>
          </cell>
          <cell r="B3678" t="str">
            <v>에드워드 티치 해적단 격파 업적 보상</v>
          </cell>
        </row>
        <row r="3679">
          <cell r="A3679">
            <v>95100005</v>
          </cell>
          <cell r="B3679" t="str">
            <v>리차드 월리 해적단 격파 업적 보상</v>
          </cell>
        </row>
        <row r="3680">
          <cell r="A3680">
            <v>95100006</v>
          </cell>
          <cell r="B3680" t="str">
            <v>후안 디아스 데솔리스 해적단 격파 업적 보상</v>
          </cell>
        </row>
        <row r="3681">
          <cell r="A3681">
            <v>95100007</v>
          </cell>
          <cell r="B3681" t="str">
            <v>새뮤얼 버지스 해적단 격파 업적 보상</v>
          </cell>
        </row>
        <row r="3682">
          <cell r="A3682">
            <v>95100008</v>
          </cell>
          <cell r="B3682" t="str">
            <v>오다 노부나가 함대 격파 업적 보상</v>
          </cell>
        </row>
        <row r="3683">
          <cell r="A3683">
            <v>95100009</v>
          </cell>
          <cell r="B3683" t="str">
            <v>크리스토발 콜론 탐험단 격파 업적 보상</v>
          </cell>
        </row>
        <row r="3684">
          <cell r="A3684">
            <v>95100010</v>
          </cell>
          <cell r="B3684" t="str">
            <v>야코프 로헤베인 탐험단 격파 업적 보상</v>
          </cell>
        </row>
        <row r="3685">
          <cell r="A3685">
            <v>95100011</v>
          </cell>
          <cell r="B3685" t="str">
            <v>그레이스 오말리 해적단 격파 업적 보상</v>
          </cell>
        </row>
        <row r="3686">
          <cell r="A3686">
            <v>95100012</v>
          </cell>
          <cell r="B3686" t="str">
            <v>토마스 튜 해적단 격파 업적 보상</v>
          </cell>
        </row>
        <row r="3687">
          <cell r="A3687">
            <v>95100013</v>
          </cell>
          <cell r="B3687" t="str">
            <v>에드워드 잉글랜드 해적단 격파 업적 보상</v>
          </cell>
        </row>
        <row r="3688">
          <cell r="A3688">
            <v>95100014</v>
          </cell>
          <cell r="B3688" t="str">
            <v>프랑수아 르클레르 해적단 격파 업적 보상</v>
          </cell>
        </row>
        <row r="3689">
          <cell r="A3689">
            <v>95100015</v>
          </cell>
          <cell r="B3689" t="str">
            <v>마리 앤 해적단 격파 업적 보상</v>
          </cell>
        </row>
        <row r="3690">
          <cell r="A3690">
            <v>95100016</v>
          </cell>
          <cell r="B3690" t="str">
            <v>스티드 보닛 해적단 격파 업적 보상</v>
          </cell>
        </row>
        <row r="3691">
          <cell r="A3691">
            <v>95100017</v>
          </cell>
          <cell r="B3691" t="str">
            <v>찰스 베인 해적단 격파 업적 보상</v>
          </cell>
        </row>
        <row r="3692">
          <cell r="A3692">
            <v>95100018</v>
          </cell>
          <cell r="B3692" t="str">
            <v>하웰 데이비스 해적단 격파 업적 보상</v>
          </cell>
        </row>
        <row r="3693">
          <cell r="A3693">
            <v>95100019</v>
          </cell>
          <cell r="B3693" t="str">
            <v>케빈 피셔 해적단 격파 업적 보상</v>
          </cell>
        </row>
        <row r="3694">
          <cell r="A3694">
            <v>95100020</v>
          </cell>
          <cell r="B3694" t="str">
            <v>샬롯 드베리 해적단 격파 업적 보상</v>
          </cell>
        </row>
        <row r="3695">
          <cell r="A3695">
            <v>95100021</v>
          </cell>
          <cell r="B3695" t="str">
            <v>가스팔 신트라 해적단 격파 업적 보상</v>
          </cell>
        </row>
        <row r="3696">
          <cell r="A3696">
            <v>95100022</v>
          </cell>
          <cell r="B3696" t="str">
            <v>살바도르 레이스 해적단 격파 업적 보상</v>
          </cell>
        </row>
        <row r="3697">
          <cell r="A3697">
            <v>95100023</v>
          </cell>
          <cell r="B3697" t="str">
            <v>하이레딘 레이스 해적단 격파 업적 보상</v>
          </cell>
        </row>
        <row r="3698">
          <cell r="A3698">
            <v>95100024</v>
          </cell>
          <cell r="B3698" t="str">
            <v>오즈월드 레밍톤 해적단 격파 업적 보상</v>
          </cell>
        </row>
        <row r="3699">
          <cell r="A3699">
            <v>95100025</v>
          </cell>
          <cell r="B3699" t="str">
            <v>트레볼 에스티브라 해적단 격파 업적 보상</v>
          </cell>
        </row>
        <row r="3700">
          <cell r="A3700">
            <v>95100026</v>
          </cell>
          <cell r="B3700" t="str">
            <v>아이든 레이스 해적단 격파 업적 보상</v>
          </cell>
        </row>
        <row r="3701">
          <cell r="A3701">
            <v>95100027</v>
          </cell>
          <cell r="B3701" t="str">
            <v>우르지 바르바로사 해적단 격파 업적 보상</v>
          </cell>
        </row>
        <row r="3702">
          <cell r="A3702">
            <v>95100028</v>
          </cell>
          <cell r="B3702" t="str">
            <v>오즈월드 레밍톤 해적단 격파 업적 보상</v>
          </cell>
        </row>
        <row r="3703">
          <cell r="A3703">
            <v>95100029</v>
          </cell>
          <cell r="B3703" t="str">
            <v>호레스 디스탈디 해적단 격파 업적 보상</v>
          </cell>
        </row>
        <row r="3704">
          <cell r="A3704">
            <v>95100030</v>
          </cell>
          <cell r="B3704" t="str">
            <v>울루치 알리 해적단 격파 업적 보상</v>
          </cell>
        </row>
        <row r="3705">
          <cell r="A3705">
            <v>95100031</v>
          </cell>
          <cell r="B3705" t="str">
            <v>메흐메트 슐루크 해적단 격파 업적 보상</v>
          </cell>
        </row>
        <row r="3706">
          <cell r="A3706">
            <v>95100032</v>
          </cell>
          <cell r="B3706" t="str">
            <v>주앙 다노바 탐험단 격파 업적 보상</v>
          </cell>
        </row>
        <row r="3707">
          <cell r="A3707">
            <v>95100033</v>
          </cell>
          <cell r="B3707" t="str">
            <v>살리흐 레이스 해적단 격파 업적 보상</v>
          </cell>
        </row>
        <row r="3708">
          <cell r="A3708">
            <v>95100034</v>
          </cell>
          <cell r="B3708" t="str">
            <v>안토니오 핀데아도 해적단 격파 업적 보상</v>
          </cell>
        </row>
        <row r="3709">
          <cell r="A3709">
            <v>95100035</v>
          </cell>
          <cell r="B3709" t="str">
            <v>헨리 만스펠 해적단 격파 업적 보상</v>
          </cell>
        </row>
        <row r="3710">
          <cell r="A3710">
            <v>95100036</v>
          </cell>
          <cell r="B3710" t="str">
            <v>에드워드 댐피어 해적단 격파 업적 보상</v>
          </cell>
        </row>
        <row r="3711">
          <cell r="A3711">
            <v>95100037</v>
          </cell>
          <cell r="B3711" t="str">
            <v>바스쿠 다가마 탐험단 격파 업적 보상</v>
          </cell>
        </row>
        <row r="3712">
          <cell r="A3712">
            <v>95100038</v>
          </cell>
          <cell r="B3712" t="str">
            <v>시난 레이스 해적단 격파 업적 보상</v>
          </cell>
        </row>
        <row r="3713">
          <cell r="A3713">
            <v>95100039</v>
          </cell>
          <cell r="B3713" t="str">
            <v>콘라드 해적단 격파 업적 보상</v>
          </cell>
        </row>
        <row r="3714">
          <cell r="A3714">
            <v>95100040</v>
          </cell>
          <cell r="B3714" t="str">
            <v>아즈비케 해적단 격파 업적 보상</v>
          </cell>
        </row>
        <row r="3715">
          <cell r="A3715">
            <v>95100041</v>
          </cell>
          <cell r="B3715" t="str">
            <v>존 데이비스 해적단 격파 업적 보상</v>
          </cell>
        </row>
        <row r="3716">
          <cell r="A3716">
            <v>95100042</v>
          </cell>
          <cell r="B3716" t="str">
            <v>석양 해적단 격파 업적 보상</v>
          </cell>
        </row>
        <row r="3717">
          <cell r="A3717">
            <v>95100043</v>
          </cell>
          <cell r="B3717" t="str">
            <v>카시드 해적단 격파 업적 보상</v>
          </cell>
        </row>
        <row r="3718">
          <cell r="A3718">
            <v>95100044</v>
          </cell>
          <cell r="B3718" t="str">
            <v>호종헌 해적단 격파 업적 보상</v>
          </cell>
        </row>
        <row r="3719">
          <cell r="A3719">
            <v>95100045</v>
          </cell>
          <cell r="B3719" t="str">
            <v>히사카지마 야스케 해적단 격파 업적 보상</v>
          </cell>
        </row>
        <row r="3720">
          <cell r="A3720">
            <v>95100046</v>
          </cell>
          <cell r="B3720" t="str">
            <v>안드레스 데우르다네타 탐험단 격파 업적 보상</v>
          </cell>
        </row>
        <row r="3721">
          <cell r="A3721">
            <v>95100047</v>
          </cell>
          <cell r="B3721" t="str">
            <v>왕경홍 해적단 격파 업적 보상</v>
          </cell>
        </row>
        <row r="3722">
          <cell r="A3722">
            <v>95100048</v>
          </cell>
          <cell r="B3722" t="str">
            <v>진조의 해적단 격파 업적 보상</v>
          </cell>
        </row>
        <row r="3723">
          <cell r="A3723">
            <v>95100049</v>
          </cell>
          <cell r="B3723" t="str">
            <v>기도 데라베사리스 해적단 격파 업적 보상</v>
          </cell>
        </row>
        <row r="3724">
          <cell r="A3724">
            <v>95100050</v>
          </cell>
          <cell r="B3724" t="str">
            <v>페르난도 데마가야네스 탐험단 격파 업적 보상</v>
          </cell>
        </row>
        <row r="3725">
          <cell r="A3725">
            <v>95100051</v>
          </cell>
          <cell r="B3725" t="str">
            <v>마테오 리치 탐험단 격파 업적 보상</v>
          </cell>
        </row>
        <row r="3726">
          <cell r="A3726">
            <v>95100052</v>
          </cell>
          <cell r="B3726" t="str">
            <v>주앙 세항 상선단 격파 업적 보상</v>
          </cell>
        </row>
        <row r="3727">
          <cell r="A3727">
            <v>95100053</v>
          </cell>
          <cell r="B3727" t="str">
            <v>야코프 발바커 해적단 격파 업적 보상</v>
          </cell>
        </row>
        <row r="3728">
          <cell r="A3728">
            <v>95100054</v>
          </cell>
          <cell r="B3728" t="str">
            <v>프란시스코 하비에르 탐험단 격파 업적 보상</v>
          </cell>
        </row>
        <row r="3729">
          <cell r="A3729">
            <v>95100055</v>
          </cell>
          <cell r="B3729" t="str">
            <v>카라 룸루 상선단 격파 업적 보상</v>
          </cell>
        </row>
        <row r="3730">
          <cell r="A3730">
            <v>95100056</v>
          </cell>
          <cell r="B3730" t="str">
            <v>홍길동 해적단 격파 업적 보상</v>
          </cell>
        </row>
        <row r="3731">
          <cell r="A3731">
            <v>95100057</v>
          </cell>
          <cell r="B3731" t="str">
            <v>다라 쉰 상선단 격파 업적 보상</v>
          </cell>
        </row>
        <row r="3732">
          <cell r="A3732">
            <v>95100058</v>
          </cell>
          <cell r="B3732" t="str">
            <v>알로이지 조반니 상선단 격파 업적 보상</v>
          </cell>
        </row>
        <row r="3733">
          <cell r="A3733">
            <v>95100059</v>
          </cell>
          <cell r="B3733" t="str">
            <v>루이스 바에스 데토레스 탐험단 격파 업적 보상</v>
          </cell>
        </row>
        <row r="3734">
          <cell r="A3734">
            <v>95100060</v>
          </cell>
          <cell r="B3734" t="str">
            <v>로버트 와일드 함대 격파 업적 보상</v>
          </cell>
        </row>
        <row r="3735">
          <cell r="A3735">
            <v>95100061</v>
          </cell>
          <cell r="B3735" t="str">
            <v>빌럼 얀손 탐험단 격파 업적 보상</v>
          </cell>
        </row>
        <row r="3736">
          <cell r="A3736">
            <v>95100062</v>
          </cell>
          <cell r="B3736" t="str">
            <v>후안 세바스티안 엘카노 탐험단 격파 업적 보상</v>
          </cell>
        </row>
        <row r="3737">
          <cell r="A3737">
            <v>95100063</v>
          </cell>
          <cell r="B3737" t="str">
            <v>페르낭 둘무 탐험단 격파 업적 보상</v>
          </cell>
        </row>
        <row r="3738">
          <cell r="A3738">
            <v>95100064</v>
          </cell>
          <cell r="B3738" t="str">
            <v>정지룡 해적단 격파 업적 보상</v>
          </cell>
        </row>
        <row r="3739">
          <cell r="A3739">
            <v>95100065</v>
          </cell>
          <cell r="B3739" t="str">
            <v>왕직 해적단 격파 업적 보상</v>
          </cell>
        </row>
        <row r="3740">
          <cell r="A3740">
            <v>95100066</v>
          </cell>
          <cell r="B3740" t="str">
            <v>장안순 해적단 격파 업적 보상</v>
          </cell>
        </row>
        <row r="3741">
          <cell r="A3741">
            <v>95100067</v>
          </cell>
          <cell r="B3741" t="str">
            <v>구키 요시타카 해적단 격파 업적 보상</v>
          </cell>
        </row>
        <row r="3742">
          <cell r="A3742">
            <v>95100068</v>
          </cell>
          <cell r="B3742" t="str">
            <v>알탄 칸 해적단 격파 업적 보상</v>
          </cell>
        </row>
        <row r="3743">
          <cell r="A3743">
            <v>95100069</v>
          </cell>
          <cell r="B3743" t="str">
            <v>트리폰 코로베이니코프 상선단 격파 업적 보상</v>
          </cell>
        </row>
        <row r="3744">
          <cell r="A3744">
            <v>95100070</v>
          </cell>
          <cell r="B3744" t="str">
            <v>바실리 골리친 함대 격파 업적 보상</v>
          </cell>
        </row>
        <row r="3745">
          <cell r="A3745">
            <v>95100071</v>
          </cell>
          <cell r="B3745" t="str">
            <v>우즈 로저스 해적단 격파 업적 보상</v>
          </cell>
        </row>
        <row r="3746">
          <cell r="A3746">
            <v>95100072</v>
          </cell>
          <cell r="B3746" t="str">
            <v>휴 윌로비 탐험단 격파 업적 보상</v>
          </cell>
        </row>
        <row r="3747">
          <cell r="A3747">
            <v>95100073</v>
          </cell>
          <cell r="B3747" t="str">
            <v>소피아 알렉세예브나 탐험단 격파 업적 보상</v>
          </cell>
        </row>
        <row r="3748">
          <cell r="A3748">
            <v>95100074</v>
          </cell>
          <cell r="B3748" t="str">
            <v>도날 나피오파 해적단 격파 업적 보상</v>
          </cell>
        </row>
        <row r="3749">
          <cell r="A3749">
            <v>95100075</v>
          </cell>
          <cell r="B3749" t="str">
            <v>로버트 로우 해적단 격파 업적 보상</v>
          </cell>
        </row>
        <row r="3750">
          <cell r="A3750">
            <v>95100076</v>
          </cell>
          <cell r="B3750" t="str">
            <v>에드워드 로우 해적단 격파 업적 보상</v>
          </cell>
        </row>
        <row r="3751">
          <cell r="A3751">
            <v>95100077</v>
          </cell>
          <cell r="B3751" t="str">
            <v>루이스 스콧 해적단 격파 업적 보상</v>
          </cell>
        </row>
        <row r="3752">
          <cell r="A3752">
            <v>95100078</v>
          </cell>
          <cell r="B3752" t="str">
            <v>바솔로뮤 로버츠 해적단 격파 업적 보상</v>
          </cell>
        </row>
        <row r="3753">
          <cell r="A3753">
            <v>95100079</v>
          </cell>
          <cell r="B3753" t="str">
            <v>메리 리드 해적단 격파 업적 보상</v>
          </cell>
        </row>
        <row r="3754">
          <cell r="A3754">
            <v>95100080</v>
          </cell>
          <cell r="B3754" t="str">
            <v>존 래컴 해적단 격파 업적 보상</v>
          </cell>
        </row>
        <row r="3755">
          <cell r="A3755">
            <v>95100081</v>
          </cell>
          <cell r="B3755" t="str">
            <v>조너선 바넷 함대 격파 업적 보상</v>
          </cell>
        </row>
        <row r="3756">
          <cell r="A3756">
            <v>95100082</v>
          </cell>
          <cell r="B3756" t="str">
            <v>윌리엄 키드 해적단 격파 업적 보상</v>
          </cell>
        </row>
        <row r="3757">
          <cell r="A3757">
            <v>95100083</v>
          </cell>
          <cell r="B3757" t="str">
            <v>리처드 헉슬리 해적단 격파 업적 보상</v>
          </cell>
        </row>
        <row r="3758">
          <cell r="A3758">
            <v>95100084</v>
          </cell>
          <cell r="B3758" t="str">
            <v>주앙 아폰수 해적단 격파 업적 보상</v>
          </cell>
        </row>
        <row r="3759">
          <cell r="A3759">
            <v>95100085</v>
          </cell>
          <cell r="B3759" t="str">
            <v>자크 카르티에 탐험단 격파 업적 보상</v>
          </cell>
        </row>
        <row r="3760">
          <cell r="A3760">
            <v>95100086</v>
          </cell>
          <cell r="B3760" t="str">
            <v>가스파르 코르트 헤알 탐험단 격파 업적 보상</v>
          </cell>
        </row>
        <row r="3761">
          <cell r="A3761">
            <v>95100087</v>
          </cell>
          <cell r="B3761" t="str">
            <v>존 롤프 상선단 격파 업적 보상</v>
          </cell>
        </row>
        <row r="3762">
          <cell r="A3762">
            <v>95100088</v>
          </cell>
          <cell r="B3762" t="str">
            <v>레이첼 월 해적단 격파 업적 보상</v>
          </cell>
        </row>
        <row r="3763">
          <cell r="A3763">
            <v>95100089</v>
          </cell>
          <cell r="B3763" t="str">
            <v>프란시스코 알보 해적단 격파 업적 보상</v>
          </cell>
        </row>
        <row r="3764">
          <cell r="A3764">
            <v>95100090</v>
          </cell>
          <cell r="B3764" t="str">
            <v>프랜시스 드레이크 해적단 격파 업적 보상</v>
          </cell>
        </row>
        <row r="3765">
          <cell r="A3765">
            <v>95100091</v>
          </cell>
          <cell r="B3765" t="str">
            <v>존 호킨스 해적단 격파 업적 보상</v>
          </cell>
        </row>
        <row r="3766">
          <cell r="A3766">
            <v>95100092</v>
          </cell>
          <cell r="B3766" t="str">
            <v>안토니오 칸 해적단 격파 업적 보상</v>
          </cell>
        </row>
        <row r="3767">
          <cell r="A3767">
            <v>95200001</v>
          </cell>
          <cell r="B3767" t="str">
            <v>선원_1</v>
          </cell>
        </row>
        <row r="3768">
          <cell r="A3768">
            <v>95200002</v>
          </cell>
          <cell r="B3768" t="str">
            <v>보물상자_1</v>
          </cell>
        </row>
        <row r="3769">
          <cell r="A3769">
            <v>95200003</v>
          </cell>
          <cell r="B3769" t="str">
            <v>보물상자_2</v>
          </cell>
        </row>
        <row r="3770">
          <cell r="A3770">
            <v>95200004</v>
          </cell>
          <cell r="B3770" t="str">
            <v>보물상자_3</v>
          </cell>
        </row>
        <row r="3771">
          <cell r="A3771">
            <v>95200005</v>
          </cell>
          <cell r="B3771" t="str">
            <v>보물상자_4</v>
          </cell>
        </row>
        <row r="3772">
          <cell r="A3772">
            <v>95200006</v>
          </cell>
          <cell r="B3772" t="str">
            <v>자재</v>
          </cell>
        </row>
        <row r="3773">
          <cell r="A3773">
            <v>95500001</v>
          </cell>
          <cell r="B3773" t="str">
            <v>선단 개인 투자 순위 보상 1위</v>
          </cell>
        </row>
        <row r="3774">
          <cell r="A3774">
            <v>95500002</v>
          </cell>
          <cell r="B3774" t="str">
            <v>선단 개인 투자 순위 보상 2위</v>
          </cell>
        </row>
        <row r="3775">
          <cell r="A3775">
            <v>95500003</v>
          </cell>
          <cell r="B3775" t="str">
            <v>선단 개인 투자 순위 보상 3위</v>
          </cell>
        </row>
        <row r="3776">
          <cell r="A3776">
            <v>95500004</v>
          </cell>
          <cell r="B3776" t="str">
            <v>선단 개인 투자 순위 보상 4위</v>
          </cell>
        </row>
        <row r="3777">
          <cell r="A3777">
            <v>95500005</v>
          </cell>
          <cell r="B3777" t="str">
            <v>선단 개인 투자 순위 보상 5위</v>
          </cell>
        </row>
        <row r="3778">
          <cell r="A3778">
            <v>95500006</v>
          </cell>
          <cell r="B3778" t="str">
            <v>선단 개인 투자 순위 보상 6위</v>
          </cell>
        </row>
        <row r="3779">
          <cell r="A3779">
            <v>95500007</v>
          </cell>
          <cell r="B3779" t="str">
            <v>선단 개인 투자 순위 보상 7위</v>
          </cell>
        </row>
        <row r="3780">
          <cell r="A3780">
            <v>95500008</v>
          </cell>
          <cell r="B3780" t="str">
            <v>선단 개인 투자 순위 보상 8위</v>
          </cell>
        </row>
        <row r="3781">
          <cell r="A3781">
            <v>95500009</v>
          </cell>
          <cell r="B3781" t="str">
            <v>선단 개인 투자 순위 보상 9위</v>
          </cell>
        </row>
        <row r="3782">
          <cell r="A3782">
            <v>95500010</v>
          </cell>
          <cell r="B3782" t="str">
            <v>선단 개인 투자 순위 보상 10위</v>
          </cell>
        </row>
        <row r="3783">
          <cell r="A3783">
            <v>95500011</v>
          </cell>
          <cell r="B3783" t="str">
            <v>선단 개인 투자 순위 보상 기본</v>
          </cell>
        </row>
        <row r="3784">
          <cell r="A3784">
            <v>95500012</v>
          </cell>
          <cell r="B3784" t="str">
            <v>선단 개인 투자 순위 보상 기본2</v>
          </cell>
        </row>
        <row r="3785">
          <cell r="A3785">
            <v>95600001</v>
          </cell>
          <cell r="B3785" t="str">
            <v>주간 세계 발견 순위 1위 보상</v>
          </cell>
        </row>
        <row r="3786">
          <cell r="A3786">
            <v>95600002</v>
          </cell>
          <cell r="B3786" t="str">
            <v>주간 세계 발견 순위 2위 보상</v>
          </cell>
        </row>
        <row r="3787">
          <cell r="A3787">
            <v>95600003</v>
          </cell>
          <cell r="B3787" t="str">
            <v>주간 세계 발견 순위 3위 보상</v>
          </cell>
        </row>
        <row r="3788">
          <cell r="A3788">
            <v>95600004</v>
          </cell>
          <cell r="B3788" t="str">
            <v>주간 세계 발견 순위 10위내 보상</v>
          </cell>
        </row>
        <row r="3789">
          <cell r="A3789">
            <v>95600005</v>
          </cell>
          <cell r="B3789" t="str">
            <v>주간 세계 발견 순위 20위내 보상</v>
          </cell>
        </row>
        <row r="3790">
          <cell r="A3790">
            <v>95600006</v>
          </cell>
          <cell r="B3790" t="str">
            <v>주간 세계 발견 순위 30위내 보상</v>
          </cell>
        </row>
        <row r="3791">
          <cell r="A3791">
            <v>95600007</v>
          </cell>
          <cell r="B3791" t="str">
            <v>주간 세계 발견 순위 40위내 보상</v>
          </cell>
        </row>
        <row r="3792">
          <cell r="A3792">
            <v>95600008</v>
          </cell>
          <cell r="B3792" t="str">
            <v>주간 세계 발견 순위 50위내 보상</v>
          </cell>
        </row>
        <row r="3793">
          <cell r="A3793">
            <v>95600009</v>
          </cell>
          <cell r="B3793" t="str">
            <v>주간 세계 발견 순위 100위내 보상</v>
          </cell>
        </row>
        <row r="3794">
          <cell r="A3794">
            <v>95600010</v>
          </cell>
          <cell r="B3794" t="str">
            <v>선단 개인 투자 순위 보상 11위</v>
          </cell>
        </row>
        <row r="3795">
          <cell r="A3795">
            <v>95600011</v>
          </cell>
          <cell r="B3795" t="str">
            <v>선단 개인 투자 순위 보상 12위</v>
          </cell>
        </row>
        <row r="3796">
          <cell r="A3796">
            <v>95600012</v>
          </cell>
          <cell r="B3796" t="str">
            <v>선단 개인 투자 순위 보상 13위</v>
          </cell>
        </row>
        <row r="3797">
          <cell r="A3797">
            <v>95600013</v>
          </cell>
          <cell r="B3797" t="str">
            <v>선단 개인 투자 순위 보상 14위</v>
          </cell>
        </row>
        <row r="3798">
          <cell r="A3798">
            <v>95600014</v>
          </cell>
          <cell r="B3798" t="str">
            <v>선단 개인 투자 순위 보상 15위</v>
          </cell>
        </row>
        <row r="3799">
          <cell r="A3799">
            <v>95600015</v>
          </cell>
          <cell r="B3799" t="str">
            <v>선단 개인 투자 순위 보상 16위</v>
          </cell>
        </row>
        <row r="3800">
          <cell r="A3800">
            <v>95600016</v>
          </cell>
          <cell r="B3800" t="str">
            <v>선단 개인 투자 순위 보상 17위</v>
          </cell>
        </row>
        <row r="3801">
          <cell r="A3801">
            <v>95600017</v>
          </cell>
          <cell r="B3801" t="str">
            <v>선단 개인 투자 순위 보상 18위</v>
          </cell>
        </row>
        <row r="3802">
          <cell r="A3802">
            <v>95600018</v>
          </cell>
          <cell r="B3802" t="str">
            <v>선단 개인 투자 순위 보상 19위</v>
          </cell>
        </row>
        <row r="3803">
          <cell r="A3803">
            <v>95600019</v>
          </cell>
          <cell r="B3803" t="str">
            <v>선단 개인 투자 순위 보상 20위</v>
          </cell>
        </row>
        <row r="3804">
          <cell r="A3804">
            <v>95600101</v>
          </cell>
          <cell r="B3804" t="str">
            <v>주간 저택 발견 순위 1위 보상</v>
          </cell>
        </row>
        <row r="3805">
          <cell r="A3805">
            <v>95600102</v>
          </cell>
          <cell r="B3805" t="str">
            <v>주간 저택 발견 순위 2위 보상</v>
          </cell>
        </row>
        <row r="3806">
          <cell r="A3806">
            <v>95600103</v>
          </cell>
          <cell r="B3806" t="str">
            <v>주간 저택 발견 순위 3위 보상</v>
          </cell>
        </row>
        <row r="3807">
          <cell r="A3807">
            <v>95600104</v>
          </cell>
          <cell r="B3807" t="str">
            <v>주간 저택 발견 순위 4위 보상</v>
          </cell>
        </row>
        <row r="3808">
          <cell r="A3808">
            <v>95600105</v>
          </cell>
          <cell r="B3808" t="str">
            <v>주간 저택 발견 순위 5위 보상</v>
          </cell>
        </row>
        <row r="3809">
          <cell r="A3809">
            <v>95600106</v>
          </cell>
          <cell r="B3809" t="str">
            <v>주간 저택 발견 순위 6위 보상</v>
          </cell>
        </row>
        <row r="3810">
          <cell r="A3810">
            <v>95600107</v>
          </cell>
          <cell r="B3810" t="str">
            <v>주간 저택 발견 순위 7위 보상</v>
          </cell>
        </row>
        <row r="3811">
          <cell r="A3811">
            <v>95600108</v>
          </cell>
          <cell r="B3811" t="str">
            <v>주간 저택 발견 순위 8위 보상</v>
          </cell>
        </row>
        <row r="3812">
          <cell r="A3812">
            <v>95600109</v>
          </cell>
          <cell r="B3812" t="str">
            <v>주간 저택 발견 순위 9위 보상</v>
          </cell>
        </row>
        <row r="3813">
          <cell r="A3813">
            <v>95600110</v>
          </cell>
          <cell r="B3813" t="str">
            <v>주간 저택 발견 순위 10위 보상</v>
          </cell>
        </row>
        <row r="3814">
          <cell r="A3814">
            <v>95600111</v>
          </cell>
          <cell r="B3814" t="str">
            <v>주간 저택 발견 순위 영웅 보상</v>
          </cell>
        </row>
        <row r="3815">
          <cell r="A3815">
            <v>95600112</v>
          </cell>
          <cell r="B3815" t="str">
            <v>주간 저택 발견 순위 특급 2단계 보상</v>
          </cell>
        </row>
        <row r="3816">
          <cell r="A3816">
            <v>95600113</v>
          </cell>
          <cell r="B3816" t="str">
            <v>주간 저택 발견 순위 특급 보상</v>
          </cell>
        </row>
        <row r="3817">
          <cell r="A3817">
            <v>95600114</v>
          </cell>
          <cell r="B3817" t="str">
            <v>주간 저택 발견 순위 고급 2단계 보상</v>
          </cell>
        </row>
        <row r="3818">
          <cell r="A3818">
            <v>95600115</v>
          </cell>
          <cell r="B3818" t="str">
            <v>주간 저택 발견 순위 고급 보상</v>
          </cell>
        </row>
        <row r="3819">
          <cell r="A3819">
            <v>95600116</v>
          </cell>
          <cell r="B3819" t="str">
            <v>주간 저택 발견 순위 중급 2단계 보상</v>
          </cell>
        </row>
        <row r="3820">
          <cell r="A3820">
            <v>95600117</v>
          </cell>
          <cell r="B3820" t="str">
            <v>주간 저택 발견 순위 중급 보상</v>
          </cell>
        </row>
        <row r="3821">
          <cell r="A3821">
            <v>95600118</v>
          </cell>
          <cell r="B3821" t="str">
            <v>주간 저택 발견 순위 초급 2단계 보상</v>
          </cell>
        </row>
        <row r="3822">
          <cell r="A3822">
            <v>95600119</v>
          </cell>
          <cell r="B3822" t="str">
            <v>주간 저택 발견 순위 초급 보상</v>
          </cell>
        </row>
        <row r="3823">
          <cell r="A3823">
            <v>95600201</v>
          </cell>
          <cell r="B3823" t="str">
            <v>주간 상회 기여도 보상 순위 1위 보상</v>
          </cell>
        </row>
        <row r="3824">
          <cell r="A3824">
            <v>95600202</v>
          </cell>
          <cell r="B3824" t="str">
            <v>주간 상회 기여도 보상 순위 2위 보상</v>
          </cell>
        </row>
        <row r="3825">
          <cell r="A3825">
            <v>95600203</v>
          </cell>
          <cell r="B3825" t="str">
            <v>주간 상회 기여도 보상 순위 3위 보상</v>
          </cell>
        </row>
        <row r="3826">
          <cell r="A3826">
            <v>95600204</v>
          </cell>
          <cell r="B3826" t="str">
            <v>주간 상회 기여도 보상 순위 4위 보상</v>
          </cell>
        </row>
        <row r="3827">
          <cell r="A3827">
            <v>95600205</v>
          </cell>
          <cell r="B3827" t="str">
            <v>주간 상회 기여도 보상 순위 5위 보상</v>
          </cell>
        </row>
        <row r="3828">
          <cell r="A3828">
            <v>95600206</v>
          </cell>
          <cell r="B3828" t="str">
            <v>주간 상회 기여도 보상 순위 6위 보상</v>
          </cell>
        </row>
        <row r="3829">
          <cell r="A3829">
            <v>95600207</v>
          </cell>
          <cell r="B3829" t="str">
            <v>주간 상회 기여도 보상 순위 7위 보상</v>
          </cell>
        </row>
        <row r="3830">
          <cell r="A3830">
            <v>95600208</v>
          </cell>
          <cell r="B3830" t="str">
            <v>주간 상회 기여도 보상 순위 8위 보상</v>
          </cell>
        </row>
        <row r="3831">
          <cell r="A3831">
            <v>95600209</v>
          </cell>
          <cell r="B3831" t="str">
            <v>주간 상회 기여도 보상 순위 9위 보상</v>
          </cell>
        </row>
        <row r="3832">
          <cell r="A3832">
            <v>95600210</v>
          </cell>
          <cell r="B3832" t="str">
            <v>주간 상회 기여도 보상 순위 10위 보상</v>
          </cell>
        </row>
        <row r="3833">
          <cell r="A3833">
            <v>95600211</v>
          </cell>
          <cell r="B3833" t="str">
            <v>주간 상회 기여도 보상 순위 11위 보상</v>
          </cell>
        </row>
        <row r="3834">
          <cell r="A3834">
            <v>95600212</v>
          </cell>
          <cell r="B3834" t="str">
            <v>주간 상회 기여도 보상 순위 12위 보상</v>
          </cell>
        </row>
        <row r="3835">
          <cell r="A3835">
            <v>95600213</v>
          </cell>
          <cell r="B3835" t="str">
            <v>주간 상회 기여도 보상 순위 13위 보상</v>
          </cell>
        </row>
        <row r="3836">
          <cell r="A3836">
            <v>95600214</v>
          </cell>
          <cell r="B3836" t="str">
            <v>주간 상회 기여도 보상 순위 14위 보상</v>
          </cell>
        </row>
        <row r="3837">
          <cell r="A3837">
            <v>95600215</v>
          </cell>
          <cell r="B3837" t="str">
            <v>주간 상회 기여도 보상 순위 15위 보상</v>
          </cell>
        </row>
        <row r="3838">
          <cell r="A3838">
            <v>95600216</v>
          </cell>
          <cell r="B3838" t="str">
            <v>주간 상회 기여도 보상 순위 16위 보상</v>
          </cell>
        </row>
        <row r="3839">
          <cell r="A3839">
            <v>95600217</v>
          </cell>
          <cell r="B3839" t="str">
            <v>주간 상회 기여도 보상 순위 17위 보상</v>
          </cell>
        </row>
        <row r="3840">
          <cell r="A3840">
            <v>95600218</v>
          </cell>
          <cell r="B3840" t="str">
            <v>주간 상회 기여도 보상 순위 18위 보상</v>
          </cell>
        </row>
        <row r="3841">
          <cell r="A3841">
            <v>95600219</v>
          </cell>
          <cell r="B3841" t="str">
            <v>주간 상회 기여도 보상 순위 19위 보상</v>
          </cell>
        </row>
        <row r="3842">
          <cell r="A3842">
            <v>95600220</v>
          </cell>
          <cell r="B3842" t="str">
            <v>주간 상회 기여도 보상 순위 20위 보상</v>
          </cell>
        </row>
        <row r="3843">
          <cell r="A3843">
            <v>95700001</v>
          </cell>
          <cell r="B3843" t="str">
            <v>도전 모드 최초 보상1</v>
          </cell>
        </row>
        <row r="3844">
          <cell r="A3844">
            <v>95800001</v>
          </cell>
          <cell r="B3844" t="str">
            <v>사내테스트_출석보상1</v>
          </cell>
        </row>
        <row r="3845">
          <cell r="A3845">
            <v>95800002</v>
          </cell>
          <cell r="B3845" t="str">
            <v>사내테스트_출석보상2</v>
          </cell>
        </row>
        <row r="3846">
          <cell r="A3846">
            <v>95800003</v>
          </cell>
          <cell r="B3846" t="str">
            <v>테스트용_경험치</v>
          </cell>
        </row>
        <row r="3847">
          <cell r="A3847">
            <v>95800004</v>
          </cell>
          <cell r="B3847" t="str">
            <v>블루젬500</v>
          </cell>
        </row>
        <row r="3848">
          <cell r="A3848">
            <v>95800005</v>
          </cell>
          <cell r="B3848" t="str">
            <v>전투 경험치500</v>
          </cell>
        </row>
        <row r="3849">
          <cell r="A3849">
            <v>95800006</v>
          </cell>
          <cell r="B3849" t="str">
            <v>교역 경험치500</v>
          </cell>
        </row>
        <row r="3850">
          <cell r="A3850">
            <v>95800007</v>
          </cell>
          <cell r="B3850" t="str">
            <v>모험 경험치500</v>
          </cell>
        </row>
        <row r="3851">
          <cell r="A3851">
            <v>95900001</v>
          </cell>
          <cell r="B3851" t="str">
            <v>조안 페레로 조각_5</v>
          </cell>
        </row>
        <row r="3852">
          <cell r="A3852">
            <v>95900002</v>
          </cell>
          <cell r="B3852" t="str">
            <v>카탈리나 에란초 조각_5</v>
          </cell>
        </row>
        <row r="3853">
          <cell r="A3853">
            <v>95900003</v>
          </cell>
          <cell r="B3853" t="str">
            <v>알 베자스 조각_5</v>
          </cell>
        </row>
        <row r="3854">
          <cell r="A3854">
            <v>95900004</v>
          </cell>
          <cell r="B3854" t="str">
            <v>옷토 스피노라 조각_5</v>
          </cell>
        </row>
        <row r="3855">
          <cell r="A3855">
            <v>95900005</v>
          </cell>
          <cell r="B3855" t="str">
            <v>에르네스트 로페스 조각_5</v>
          </cell>
        </row>
        <row r="3856">
          <cell r="A3856">
            <v>95900006</v>
          </cell>
          <cell r="B3856" t="str">
            <v>피에트로 콘티 조각_5</v>
          </cell>
        </row>
        <row r="3857">
          <cell r="A3857">
            <v>95900007</v>
          </cell>
          <cell r="B3857" t="str">
            <v>밀란다 베르테 조각_5</v>
          </cell>
        </row>
        <row r="3858">
          <cell r="A3858">
            <v>95900008</v>
          </cell>
          <cell r="B3858" t="str">
            <v>살바도르 레이스 조각_5</v>
          </cell>
        </row>
        <row r="3859">
          <cell r="A3859">
            <v>95900009</v>
          </cell>
          <cell r="B3859" t="str">
            <v>레온 페레로 조각_5</v>
          </cell>
        </row>
        <row r="3860">
          <cell r="A3860">
            <v>95900010</v>
          </cell>
          <cell r="B3860" t="str">
            <v>정화 조각_5</v>
          </cell>
        </row>
        <row r="3861">
          <cell r="A3861">
            <v>95900011</v>
          </cell>
          <cell r="B3861" t="str">
            <v>척계광 조각_5</v>
          </cell>
        </row>
        <row r="3862">
          <cell r="A3862">
            <v>95900012</v>
          </cell>
          <cell r="B3862" t="str">
            <v>그레이스 오말리 조각_5</v>
          </cell>
        </row>
        <row r="3863">
          <cell r="A3863">
            <v>95900013</v>
          </cell>
          <cell r="B3863" t="str">
            <v>정성공 조각_5</v>
          </cell>
        </row>
        <row r="3864">
          <cell r="A3864">
            <v>95900014</v>
          </cell>
          <cell r="B3864" t="str">
            <v>김만덕 조각_5</v>
          </cell>
        </row>
        <row r="3865">
          <cell r="A3865">
            <v>95900015</v>
          </cell>
          <cell r="B3865" t="str">
            <v>홍길동 조각_5</v>
          </cell>
        </row>
        <row r="3866">
          <cell r="A3866">
            <v>95900016</v>
          </cell>
          <cell r="B3866" t="str">
            <v>이순신 조각_5</v>
          </cell>
        </row>
        <row r="3867">
          <cell r="A3867">
            <v>95900017</v>
          </cell>
          <cell r="B3867" t="str">
            <v>다테 마사무네 조각_5</v>
          </cell>
        </row>
        <row r="3868">
          <cell r="A3868">
            <v>95900018</v>
          </cell>
          <cell r="B3868" t="str">
            <v>이마이 사키 조각_5</v>
          </cell>
        </row>
        <row r="3869">
          <cell r="A3869">
            <v>95900019</v>
          </cell>
          <cell r="B3869" t="str">
            <v>누이 호쿠 조각_5</v>
          </cell>
        </row>
        <row r="3870">
          <cell r="A3870">
            <v>95900020</v>
          </cell>
          <cell r="B3870" t="str">
            <v>찬드 비비 조각_5</v>
          </cell>
        </row>
        <row r="3871">
          <cell r="A3871">
            <v>95900021</v>
          </cell>
          <cell r="B3871" t="str">
            <v>표트르 1세 조각_5</v>
          </cell>
        </row>
        <row r="3872">
          <cell r="A3872">
            <v>95900022</v>
          </cell>
          <cell r="B3872" t="str">
            <v>사이이다 알 후라 조각_5</v>
          </cell>
        </row>
        <row r="3873">
          <cell r="A3873">
            <v>95900023</v>
          </cell>
          <cell r="B3873" t="str">
            <v>에르난 코르테스 조각_5</v>
          </cell>
        </row>
        <row r="3874">
          <cell r="A3874">
            <v>95900024</v>
          </cell>
          <cell r="B3874" t="str">
            <v>앤 보니 조각_5</v>
          </cell>
        </row>
        <row r="3875">
          <cell r="A3875">
            <v>95900025</v>
          </cell>
          <cell r="B3875" t="str">
            <v>필리 레이스 조각_5</v>
          </cell>
        </row>
        <row r="3876">
          <cell r="A3876">
            <v>95900101</v>
          </cell>
          <cell r="B3876" t="str">
            <v>조안 페레로 조각_30</v>
          </cell>
        </row>
        <row r="3877">
          <cell r="A3877">
            <v>95900102</v>
          </cell>
          <cell r="B3877" t="str">
            <v>카탈리나 에란초 조각_30</v>
          </cell>
        </row>
        <row r="3878">
          <cell r="A3878">
            <v>95900103</v>
          </cell>
          <cell r="B3878" t="str">
            <v>알 베자스 조각_30</v>
          </cell>
        </row>
        <row r="3879">
          <cell r="A3879">
            <v>95900104</v>
          </cell>
          <cell r="B3879" t="str">
            <v>옷토 스피노라 조각_30</v>
          </cell>
        </row>
        <row r="3880">
          <cell r="A3880">
            <v>95900105</v>
          </cell>
          <cell r="B3880" t="str">
            <v>에르네스트 로페스 조각_30</v>
          </cell>
        </row>
        <row r="3881">
          <cell r="A3881">
            <v>95900106</v>
          </cell>
          <cell r="B3881" t="str">
            <v>피에트로 콘티 조각_30</v>
          </cell>
        </row>
        <row r="3882">
          <cell r="A3882">
            <v>95900107</v>
          </cell>
          <cell r="B3882" t="str">
            <v>밀란다 베르테 조각_30</v>
          </cell>
        </row>
        <row r="3883">
          <cell r="A3883">
            <v>95900108</v>
          </cell>
          <cell r="B3883" t="str">
            <v>살바도르 레이스 조각_30</v>
          </cell>
        </row>
        <row r="3884">
          <cell r="A3884">
            <v>95900109</v>
          </cell>
          <cell r="B3884" t="str">
            <v>레온 페레로 조각_30</v>
          </cell>
        </row>
        <row r="3885">
          <cell r="A3885">
            <v>95900110</v>
          </cell>
          <cell r="B3885" t="str">
            <v>정화 조각_30</v>
          </cell>
        </row>
        <row r="3886">
          <cell r="A3886">
            <v>95900111</v>
          </cell>
          <cell r="B3886" t="str">
            <v>척계광 조각_30</v>
          </cell>
        </row>
        <row r="3887">
          <cell r="A3887">
            <v>95900112</v>
          </cell>
          <cell r="B3887" t="str">
            <v>그레이스 오말리 조각_30</v>
          </cell>
        </row>
        <row r="3888">
          <cell r="A3888">
            <v>95900113</v>
          </cell>
          <cell r="B3888" t="str">
            <v>정성공 조각_30</v>
          </cell>
        </row>
        <row r="3889">
          <cell r="A3889">
            <v>95900114</v>
          </cell>
          <cell r="B3889" t="str">
            <v>김만덕 조각_30</v>
          </cell>
        </row>
        <row r="3890">
          <cell r="A3890">
            <v>95900115</v>
          </cell>
          <cell r="B3890" t="str">
            <v>홍길동 조각_30</v>
          </cell>
        </row>
        <row r="3891">
          <cell r="A3891">
            <v>95900116</v>
          </cell>
          <cell r="B3891" t="str">
            <v>이순신 조각_30</v>
          </cell>
        </row>
        <row r="3892">
          <cell r="A3892">
            <v>95900117</v>
          </cell>
          <cell r="B3892" t="str">
            <v>다테 마사무네 조각_30</v>
          </cell>
        </row>
        <row r="3893">
          <cell r="A3893">
            <v>95900118</v>
          </cell>
          <cell r="B3893" t="str">
            <v>이마이 사키 조각_30</v>
          </cell>
        </row>
        <row r="3894">
          <cell r="A3894">
            <v>95900119</v>
          </cell>
          <cell r="B3894" t="str">
            <v>누이 호쿠 조각_30</v>
          </cell>
        </row>
        <row r="3895">
          <cell r="A3895">
            <v>95900120</v>
          </cell>
          <cell r="B3895" t="str">
            <v>찬드 비비 조각_30</v>
          </cell>
        </row>
        <row r="3896">
          <cell r="A3896">
            <v>95900121</v>
          </cell>
          <cell r="B3896" t="str">
            <v>표트르 세 조각_30</v>
          </cell>
        </row>
        <row r="3897">
          <cell r="A3897">
            <v>95900122</v>
          </cell>
          <cell r="B3897" t="str">
            <v>사이이다 알 후라 조각_30</v>
          </cell>
        </row>
        <row r="3898">
          <cell r="A3898">
            <v>95900123</v>
          </cell>
          <cell r="B3898" t="str">
            <v>에르난 코르테스 조각_30</v>
          </cell>
        </row>
        <row r="3899">
          <cell r="A3899">
            <v>95900124</v>
          </cell>
          <cell r="B3899" t="str">
            <v>앤 보니 조각_30</v>
          </cell>
        </row>
        <row r="3900">
          <cell r="A3900">
            <v>95900125</v>
          </cell>
          <cell r="B3900" t="str">
            <v>필리 레이스 조각_30</v>
          </cell>
        </row>
        <row r="3901">
          <cell r="A3901">
            <v>95900201</v>
          </cell>
          <cell r="B3901" t="str">
            <v>조안 페레로 의상</v>
          </cell>
        </row>
        <row r="3902">
          <cell r="A3902">
            <v>95900202</v>
          </cell>
          <cell r="B3902" t="str">
            <v>카탈리나 에란초 의상</v>
          </cell>
        </row>
        <row r="3903">
          <cell r="A3903">
            <v>95900203</v>
          </cell>
          <cell r="B3903" t="str">
            <v>알 베자스 의상</v>
          </cell>
        </row>
        <row r="3904">
          <cell r="A3904">
            <v>95900204</v>
          </cell>
          <cell r="B3904" t="str">
            <v>옷토 스피노라 의상</v>
          </cell>
        </row>
        <row r="3905">
          <cell r="A3905">
            <v>95900205</v>
          </cell>
          <cell r="B3905" t="str">
            <v>에르네스트 로페스 의상</v>
          </cell>
        </row>
        <row r="3906">
          <cell r="A3906">
            <v>95900206</v>
          </cell>
          <cell r="B3906" t="str">
            <v>피에트로 콘티 의상</v>
          </cell>
        </row>
        <row r="3907">
          <cell r="A3907">
            <v>95900207</v>
          </cell>
          <cell r="B3907" t="str">
            <v>밀란다 베르테 의상</v>
          </cell>
        </row>
        <row r="3908">
          <cell r="A3908">
            <v>95900208</v>
          </cell>
          <cell r="B3908" t="str">
            <v>살바도르 레이스 의상</v>
          </cell>
        </row>
        <row r="3909">
          <cell r="A3909">
            <v>95900209</v>
          </cell>
          <cell r="B3909" t="str">
            <v>레온 페레로 의상</v>
          </cell>
        </row>
        <row r="3910">
          <cell r="A3910">
            <v>95900210</v>
          </cell>
          <cell r="B3910" t="str">
            <v>정화 의상</v>
          </cell>
        </row>
        <row r="3911">
          <cell r="A3911">
            <v>95900211</v>
          </cell>
          <cell r="B3911" t="str">
            <v>척계광 의상</v>
          </cell>
        </row>
        <row r="3912">
          <cell r="A3912">
            <v>95900212</v>
          </cell>
          <cell r="B3912" t="str">
            <v>그레이스 오말리 의상</v>
          </cell>
        </row>
        <row r="3913">
          <cell r="A3913">
            <v>95900213</v>
          </cell>
          <cell r="B3913" t="str">
            <v>정성공 의상</v>
          </cell>
        </row>
        <row r="3914">
          <cell r="A3914">
            <v>95900214</v>
          </cell>
          <cell r="B3914" t="str">
            <v>김만덕 의상</v>
          </cell>
        </row>
        <row r="3915">
          <cell r="A3915">
            <v>95900215</v>
          </cell>
          <cell r="B3915" t="str">
            <v>홍길동 의상</v>
          </cell>
        </row>
        <row r="3916">
          <cell r="A3916">
            <v>95900216</v>
          </cell>
          <cell r="B3916" t="str">
            <v>이순신 의상</v>
          </cell>
        </row>
        <row r="3917">
          <cell r="A3917">
            <v>95900217</v>
          </cell>
          <cell r="B3917" t="str">
            <v>다테 마사무네 의상</v>
          </cell>
        </row>
        <row r="3918">
          <cell r="A3918">
            <v>95900218</v>
          </cell>
          <cell r="B3918" t="str">
            <v>이마이 사키 의상</v>
          </cell>
        </row>
        <row r="3919">
          <cell r="A3919">
            <v>95900219</v>
          </cell>
          <cell r="B3919" t="str">
            <v>누이 호쿠 의상</v>
          </cell>
        </row>
        <row r="3920">
          <cell r="A3920">
            <v>95900220</v>
          </cell>
          <cell r="B3920" t="str">
            <v>찬드 비비 의상</v>
          </cell>
        </row>
        <row r="3921">
          <cell r="A3921">
            <v>95900221</v>
          </cell>
          <cell r="B3921" t="str">
            <v>표트르 세 의상</v>
          </cell>
        </row>
        <row r="3922">
          <cell r="A3922">
            <v>95900222</v>
          </cell>
          <cell r="B3922" t="str">
            <v>사이이다 알 후라 의상</v>
          </cell>
        </row>
        <row r="3923">
          <cell r="A3923">
            <v>95900223</v>
          </cell>
          <cell r="B3923" t="str">
            <v>에르난 코르테스 의상</v>
          </cell>
        </row>
        <row r="3924">
          <cell r="A3924">
            <v>95900224</v>
          </cell>
          <cell r="B3924" t="str">
            <v>앤 보니 의상</v>
          </cell>
        </row>
        <row r="3925">
          <cell r="A3925">
            <v>95900225</v>
          </cell>
          <cell r="B3925" t="str">
            <v>필리 레이스 의상</v>
          </cell>
        </row>
        <row r="3926">
          <cell r="A3926">
            <v>95900301</v>
          </cell>
          <cell r="B3926" t="str">
            <v>튜토리얼_선단 LV1</v>
          </cell>
        </row>
        <row r="3927">
          <cell r="A3927">
            <v>95900302</v>
          </cell>
          <cell r="B3927" t="str">
            <v>튜토리얼_선단 LV2</v>
          </cell>
        </row>
        <row r="3928">
          <cell r="A3928">
            <v>95900303</v>
          </cell>
          <cell r="B3928" t="str">
            <v>튜토리얼_선단 LV3</v>
          </cell>
        </row>
        <row r="3929">
          <cell r="A3929">
            <v>95900304</v>
          </cell>
          <cell r="B3929" t="str">
            <v>튜토리얼_선단 LV4</v>
          </cell>
        </row>
        <row r="3930">
          <cell r="A3930">
            <v>95900305</v>
          </cell>
          <cell r="B3930" t="str">
            <v>튜토리얼_선단 LV5</v>
          </cell>
        </row>
        <row r="3931">
          <cell r="A3931">
            <v>95900306</v>
          </cell>
          <cell r="B3931" t="str">
            <v>튜토리얼_선단 LV6</v>
          </cell>
        </row>
        <row r="3932">
          <cell r="A3932">
            <v>95900307</v>
          </cell>
          <cell r="B3932" t="str">
            <v>튜토리얼_선단 LV7</v>
          </cell>
        </row>
        <row r="3933">
          <cell r="A3933">
            <v>95900308</v>
          </cell>
          <cell r="B3933" t="str">
            <v>튜토리얼_선단 LV8</v>
          </cell>
        </row>
        <row r="3934">
          <cell r="A3934">
            <v>95900309</v>
          </cell>
          <cell r="B3934" t="str">
            <v>튜토리얼_선단 LV9</v>
          </cell>
        </row>
        <row r="3935">
          <cell r="A3935">
            <v>95900310</v>
          </cell>
          <cell r="B3935" t="str">
            <v>튜토리얼_선단 LV10</v>
          </cell>
        </row>
        <row r="3936">
          <cell r="A3936">
            <v>95900311</v>
          </cell>
          <cell r="B3936" t="str">
            <v>튜토리얼_선단 LV11</v>
          </cell>
        </row>
        <row r="3937">
          <cell r="A3937">
            <v>95900312</v>
          </cell>
          <cell r="B3937" t="str">
            <v>튜토리얼_선단 LV12</v>
          </cell>
        </row>
        <row r="3938">
          <cell r="A3938">
            <v>95900313</v>
          </cell>
          <cell r="B3938" t="str">
            <v>튜토리얼_선단 LV13</v>
          </cell>
        </row>
        <row r="3939">
          <cell r="A3939">
            <v>95900314</v>
          </cell>
          <cell r="B3939" t="str">
            <v>튜토리얼_선단 LV14</v>
          </cell>
        </row>
        <row r="3940">
          <cell r="A3940">
            <v>95900315</v>
          </cell>
          <cell r="B3940" t="str">
            <v>튜토리얼_선단 LV15</v>
          </cell>
        </row>
        <row r="3941">
          <cell r="A3941">
            <v>95900316</v>
          </cell>
          <cell r="B3941" t="str">
            <v>튜토리얼_선단 LV16</v>
          </cell>
        </row>
        <row r="3942">
          <cell r="A3942">
            <v>95900317</v>
          </cell>
          <cell r="B3942" t="str">
            <v>튜토리얼_선단 LV17</v>
          </cell>
        </row>
        <row r="3943">
          <cell r="A3943">
            <v>95900318</v>
          </cell>
          <cell r="B3943" t="str">
            <v>튜토리얼_선단 LV18</v>
          </cell>
        </row>
        <row r="3944">
          <cell r="A3944">
            <v>95900319</v>
          </cell>
          <cell r="B3944" t="str">
            <v>튜토리얼_선단 LV19</v>
          </cell>
        </row>
        <row r="3945">
          <cell r="A3945">
            <v>95900320</v>
          </cell>
          <cell r="B3945" t="str">
            <v>튜토리얼_선단 LV20</v>
          </cell>
        </row>
        <row r="3946">
          <cell r="A3946">
            <v>95900321</v>
          </cell>
          <cell r="B3946" t="str">
            <v>튜토리얼_바르카 도면</v>
          </cell>
        </row>
        <row r="3947">
          <cell r="A3947">
            <v>95900322</v>
          </cell>
          <cell r="B3947" t="str">
            <v>튜토리얼_타렛테 도면</v>
          </cell>
        </row>
        <row r="3948">
          <cell r="A3948">
            <v>95900323</v>
          </cell>
          <cell r="B3948" t="str">
            <v>튜토리얼_한자 코그 도면</v>
          </cell>
        </row>
        <row r="3949">
          <cell r="A3949">
            <v>95900324</v>
          </cell>
          <cell r="B3949" t="str">
            <v>튜토리얼_브리간틴 도면</v>
          </cell>
        </row>
        <row r="3950">
          <cell r="A3950">
            <v>95900325</v>
          </cell>
          <cell r="B3950" t="str">
            <v>튜토리얼_코그 레돈다 도면</v>
          </cell>
        </row>
        <row r="3951">
          <cell r="A3951">
            <v>95900326</v>
          </cell>
          <cell r="B3951" t="str">
            <v>튜토리얼_코그 라티나 도면</v>
          </cell>
        </row>
        <row r="3952">
          <cell r="A3952">
            <v>95900327</v>
          </cell>
          <cell r="B3952" t="str">
            <v>튜토리얼_망토(빨강)</v>
          </cell>
        </row>
        <row r="3953">
          <cell r="A3953">
            <v>95900328</v>
          </cell>
          <cell r="B3953" t="str">
            <v>튜토리얼_망토(파랑)</v>
          </cell>
        </row>
        <row r="3954">
          <cell r="A3954">
            <v>95900329</v>
          </cell>
          <cell r="B3954" t="str">
            <v>조안 페레로 조각_40</v>
          </cell>
        </row>
        <row r="3955">
          <cell r="A3955">
            <v>95900330</v>
          </cell>
          <cell r="B3955" t="str">
            <v>로코 알렘켈 조각_40</v>
          </cell>
        </row>
        <row r="3956">
          <cell r="A3956">
            <v>95900331</v>
          </cell>
          <cell r="B3956" t="str">
            <v>엔리코 마리오네 조각_40</v>
          </cell>
        </row>
        <row r="3957">
          <cell r="A3957">
            <v>95900332</v>
          </cell>
          <cell r="B3957" t="str">
            <v>카탈리나 에란초 조각_40</v>
          </cell>
        </row>
        <row r="3958">
          <cell r="A3958">
            <v>95900333</v>
          </cell>
          <cell r="B3958" t="str">
            <v>프랑코 사누드 조각_40</v>
          </cell>
        </row>
        <row r="3959">
          <cell r="A3959">
            <v>95900334</v>
          </cell>
          <cell r="B3959" t="str">
            <v>안드레아 기지 조각_40</v>
          </cell>
        </row>
        <row r="3960">
          <cell r="A3960">
            <v>95900335</v>
          </cell>
          <cell r="B3960" t="str">
            <v>알 베자스 조각_40</v>
          </cell>
        </row>
        <row r="3961">
          <cell r="A3961">
            <v>95900336</v>
          </cell>
          <cell r="B3961" t="str">
            <v>자한 사림 조각_40</v>
          </cell>
        </row>
        <row r="3962">
          <cell r="A3962">
            <v>95900337</v>
          </cell>
          <cell r="B3962" t="str">
            <v>우준 카이프 조각_40</v>
          </cell>
        </row>
        <row r="3963">
          <cell r="A3963">
            <v>95900338</v>
          </cell>
          <cell r="B3963" t="str">
            <v>청동 아스트롤라베_10</v>
          </cell>
        </row>
        <row r="3964">
          <cell r="A3964">
            <v>95900339</v>
          </cell>
          <cell r="B3964" t="str">
            <v>청동 아스트롤라베_20</v>
          </cell>
        </row>
        <row r="3965">
          <cell r="A3965">
            <v>95900340</v>
          </cell>
          <cell r="B3965" t="str">
            <v>백은 아스트롤라베_5</v>
          </cell>
        </row>
        <row r="3966">
          <cell r="A3966">
            <v>95900341</v>
          </cell>
          <cell r="B3966" t="str">
            <v>백은 아스트롤라베_10</v>
          </cell>
        </row>
        <row r="3967">
          <cell r="A3967">
            <v>95900342</v>
          </cell>
          <cell r="B3967" t="str">
            <v>회고록 블루젬 보상1</v>
          </cell>
        </row>
        <row r="3968">
          <cell r="A3968">
            <v>95900343</v>
          </cell>
          <cell r="B3968" t="str">
            <v>회고록 블루젬 보상2</v>
          </cell>
        </row>
        <row r="3969">
          <cell r="A3969">
            <v>95900344</v>
          </cell>
          <cell r="B3969" t="str">
            <v>밀란다 베르테 조각_40</v>
          </cell>
        </row>
        <row r="3970">
          <cell r="A3970">
            <v>95900345</v>
          </cell>
          <cell r="B3970" t="str">
            <v>토니오 롯시 조각_40</v>
          </cell>
        </row>
        <row r="3971">
          <cell r="A3971">
            <v>95900346</v>
          </cell>
          <cell r="B3971" t="str">
            <v>카츄아파 조각_40</v>
          </cell>
        </row>
        <row r="3972">
          <cell r="A3972">
            <v>95901001</v>
          </cell>
          <cell r="B3972" t="str">
            <v>런칭 7일 임무 1_1</v>
          </cell>
        </row>
        <row r="3973">
          <cell r="A3973">
            <v>95901002</v>
          </cell>
          <cell r="B3973" t="str">
            <v>런칭 7일 임무 1_2</v>
          </cell>
        </row>
        <row r="3974">
          <cell r="A3974">
            <v>95901003</v>
          </cell>
          <cell r="B3974" t="str">
            <v>런칭 7일 임무 1_3</v>
          </cell>
        </row>
        <row r="3975">
          <cell r="A3975">
            <v>95901004</v>
          </cell>
          <cell r="B3975" t="str">
            <v>런칭 7일 임무 1_4</v>
          </cell>
        </row>
        <row r="3976">
          <cell r="A3976">
            <v>95901005</v>
          </cell>
          <cell r="B3976" t="str">
            <v>런칭 7일 임무 2_1</v>
          </cell>
        </row>
        <row r="3977">
          <cell r="A3977">
            <v>95901006</v>
          </cell>
          <cell r="B3977" t="str">
            <v>런칭 7일 임무 2_2</v>
          </cell>
        </row>
        <row r="3978">
          <cell r="A3978">
            <v>95901007</v>
          </cell>
          <cell r="B3978" t="str">
            <v>런칭 7일 임무 2_3</v>
          </cell>
        </row>
        <row r="3979">
          <cell r="A3979">
            <v>95901008</v>
          </cell>
          <cell r="B3979" t="str">
            <v>런칭 7일 임무 2_4</v>
          </cell>
        </row>
        <row r="3980">
          <cell r="A3980">
            <v>95901009</v>
          </cell>
          <cell r="B3980" t="str">
            <v>런칭 7일 임무 3_1</v>
          </cell>
        </row>
        <row r="3981">
          <cell r="A3981">
            <v>95901010</v>
          </cell>
          <cell r="B3981" t="str">
            <v>런칭 7일 임무 3_2</v>
          </cell>
        </row>
        <row r="3982">
          <cell r="A3982">
            <v>95901011</v>
          </cell>
          <cell r="B3982" t="str">
            <v>런칭 7일 임무 3_3</v>
          </cell>
        </row>
        <row r="3983">
          <cell r="A3983">
            <v>95901012</v>
          </cell>
          <cell r="B3983" t="str">
            <v>런칭 7일 임무 3_4</v>
          </cell>
        </row>
        <row r="3984">
          <cell r="A3984">
            <v>95901013</v>
          </cell>
          <cell r="B3984" t="str">
            <v>런칭 7일 임무 4_1</v>
          </cell>
        </row>
        <row r="3985">
          <cell r="A3985">
            <v>95901014</v>
          </cell>
          <cell r="B3985" t="str">
            <v>런칭 7일 임무 4_2</v>
          </cell>
        </row>
        <row r="3986">
          <cell r="A3986">
            <v>95901015</v>
          </cell>
          <cell r="B3986" t="str">
            <v>런칭 7일 임무 4_3</v>
          </cell>
        </row>
        <row r="3987">
          <cell r="A3987">
            <v>95901016</v>
          </cell>
          <cell r="B3987" t="str">
            <v>런칭 7일 임무 4_4</v>
          </cell>
        </row>
        <row r="3988">
          <cell r="A3988">
            <v>95901017</v>
          </cell>
          <cell r="B3988" t="str">
            <v>런칭 7일 임무 5_1</v>
          </cell>
        </row>
        <row r="3989">
          <cell r="A3989">
            <v>95901018</v>
          </cell>
          <cell r="B3989" t="str">
            <v>런칭 7일 임무 5_2</v>
          </cell>
        </row>
        <row r="3990">
          <cell r="A3990">
            <v>95901019</v>
          </cell>
          <cell r="B3990" t="str">
            <v>런칭 7일 임무 5_3</v>
          </cell>
        </row>
        <row r="3991">
          <cell r="A3991">
            <v>95901020</v>
          </cell>
          <cell r="B3991" t="str">
            <v>런칭 7일 임무 5_4</v>
          </cell>
        </row>
        <row r="3992">
          <cell r="A3992">
            <v>95901021</v>
          </cell>
          <cell r="B3992" t="str">
            <v>런칭 7일 임무 6_1</v>
          </cell>
        </row>
        <row r="3993">
          <cell r="A3993">
            <v>95901022</v>
          </cell>
          <cell r="B3993" t="str">
            <v>런칭 7일 임무 6_2</v>
          </cell>
        </row>
        <row r="3994">
          <cell r="A3994">
            <v>95901023</v>
          </cell>
          <cell r="B3994" t="str">
            <v>런칭 7일 임무 6_3</v>
          </cell>
        </row>
        <row r="3995">
          <cell r="A3995">
            <v>95901024</v>
          </cell>
          <cell r="B3995" t="str">
            <v>런칭 7일 임무 6_4</v>
          </cell>
        </row>
        <row r="3996">
          <cell r="A3996">
            <v>95901025</v>
          </cell>
          <cell r="B3996" t="str">
            <v>런칭 7일 임무 7_1</v>
          </cell>
        </row>
        <row r="3997">
          <cell r="A3997">
            <v>95901026</v>
          </cell>
          <cell r="B3997" t="str">
            <v>런칭 7일 임무 7_2</v>
          </cell>
        </row>
        <row r="3998">
          <cell r="A3998">
            <v>95901027</v>
          </cell>
          <cell r="B3998" t="str">
            <v>런칭 7일 임무 7_3</v>
          </cell>
        </row>
        <row r="3999">
          <cell r="A3999">
            <v>95901028</v>
          </cell>
          <cell r="B3999" t="str">
            <v>런칭 7일 임무 7_4</v>
          </cell>
        </row>
        <row r="4000">
          <cell r="A4000">
            <v>95901029</v>
          </cell>
          <cell r="B4000" t="str">
            <v>런칭 7일 임무 달성1</v>
          </cell>
        </row>
        <row r="4001">
          <cell r="A4001">
            <v>95901030</v>
          </cell>
          <cell r="B4001" t="str">
            <v>런칭 7일 임무 달성2</v>
          </cell>
        </row>
        <row r="4002">
          <cell r="A4002">
            <v>95901031</v>
          </cell>
          <cell r="B4002" t="str">
            <v>런칭 7일 임무 달성3</v>
          </cell>
        </row>
        <row r="4003">
          <cell r="A4003">
            <v>95901032</v>
          </cell>
          <cell r="B4003" t="str">
            <v>런칭 7일 임무 달성4</v>
          </cell>
        </row>
        <row r="4004">
          <cell r="A4004">
            <v>95901033</v>
          </cell>
          <cell r="B4004" t="str">
            <v>런칭 7일 임무 달성5</v>
          </cell>
        </row>
        <row r="4005">
          <cell r="A4005">
            <v>95901034</v>
          </cell>
          <cell r="B4005" t="str">
            <v>런칭 7일 임무 달성6</v>
          </cell>
        </row>
        <row r="4006">
          <cell r="A4006">
            <v>95902001</v>
          </cell>
          <cell r="B4006" t="str">
            <v>런칭 성장 임무 1</v>
          </cell>
        </row>
        <row r="4007">
          <cell r="A4007">
            <v>95902002</v>
          </cell>
          <cell r="B4007" t="str">
            <v>런칭 성장 임무 2</v>
          </cell>
        </row>
        <row r="4008">
          <cell r="A4008">
            <v>95902003</v>
          </cell>
          <cell r="B4008" t="str">
            <v>런칭 성장 임무 3</v>
          </cell>
        </row>
        <row r="4009">
          <cell r="A4009">
            <v>95902004</v>
          </cell>
          <cell r="B4009" t="str">
            <v>런칭 성장 임무 4</v>
          </cell>
        </row>
        <row r="4010">
          <cell r="A4010">
            <v>95902005</v>
          </cell>
          <cell r="B4010" t="str">
            <v>런칭 성장 임무 5</v>
          </cell>
        </row>
        <row r="4011">
          <cell r="A4011">
            <v>95902006</v>
          </cell>
          <cell r="B4011" t="str">
            <v>런칭 성장 임무 6</v>
          </cell>
        </row>
        <row r="4012">
          <cell r="A4012">
            <v>95902007</v>
          </cell>
          <cell r="B4012" t="str">
            <v>런칭 성장 임무 7</v>
          </cell>
        </row>
        <row r="4013">
          <cell r="A4013">
            <v>95902008</v>
          </cell>
          <cell r="B4013" t="str">
            <v>런칭 성장 임무 8</v>
          </cell>
        </row>
        <row r="4014">
          <cell r="A4014">
            <v>95902009</v>
          </cell>
          <cell r="B4014" t="str">
            <v>런칭 성장 임무 9</v>
          </cell>
        </row>
        <row r="4015">
          <cell r="A4015">
            <v>95902010</v>
          </cell>
          <cell r="B4015" t="str">
            <v>런칭 성장 임무 10</v>
          </cell>
        </row>
        <row r="4016">
          <cell r="A4016">
            <v>95902011</v>
          </cell>
          <cell r="B4016" t="str">
            <v>런칭 성장 임무 11</v>
          </cell>
        </row>
        <row r="4017">
          <cell r="A4017">
            <v>95902012</v>
          </cell>
          <cell r="B4017" t="str">
            <v>런칭 성장 임무 12</v>
          </cell>
        </row>
        <row r="4018">
          <cell r="A4018">
            <v>95902013</v>
          </cell>
          <cell r="B4018" t="str">
            <v>런칭 성장 임무 13</v>
          </cell>
        </row>
        <row r="4019">
          <cell r="A4019">
            <v>95902014</v>
          </cell>
          <cell r="B4019" t="str">
            <v>런칭 성장 임무 14</v>
          </cell>
        </row>
        <row r="4020">
          <cell r="A4020">
            <v>95902015</v>
          </cell>
          <cell r="B4020" t="str">
            <v>런칭 성장 임무 15</v>
          </cell>
        </row>
        <row r="4021">
          <cell r="A4021">
            <v>95902016</v>
          </cell>
          <cell r="B4021" t="str">
            <v>런칭 성장 임무 16</v>
          </cell>
        </row>
        <row r="4022">
          <cell r="A4022">
            <v>95902017</v>
          </cell>
          <cell r="B4022" t="str">
            <v>런칭 성장 임무 17</v>
          </cell>
        </row>
        <row r="4023">
          <cell r="A4023">
            <v>95902018</v>
          </cell>
          <cell r="B4023" t="str">
            <v>런칭 성장 임무 18</v>
          </cell>
        </row>
        <row r="4024">
          <cell r="A4024">
            <v>95902019</v>
          </cell>
          <cell r="B4024" t="str">
            <v>런칭 성장 임무 19</v>
          </cell>
        </row>
        <row r="4025">
          <cell r="A4025">
            <v>95902020</v>
          </cell>
          <cell r="B4025" t="str">
            <v>런칭 성장 임무 20</v>
          </cell>
        </row>
        <row r="4026">
          <cell r="A4026">
            <v>95902021</v>
          </cell>
          <cell r="B4026" t="str">
            <v>런칭 성장 임무 21</v>
          </cell>
        </row>
        <row r="4027">
          <cell r="A4027">
            <v>95902022</v>
          </cell>
          <cell r="B4027" t="str">
            <v>런칭 성장 임무 22</v>
          </cell>
        </row>
        <row r="4028">
          <cell r="A4028">
            <v>95902023</v>
          </cell>
          <cell r="B4028" t="str">
            <v>런칭 성장 임무 23</v>
          </cell>
        </row>
        <row r="4029">
          <cell r="A4029">
            <v>95902024</v>
          </cell>
          <cell r="B4029" t="str">
            <v>런칭 성장 임무 24</v>
          </cell>
        </row>
        <row r="4030">
          <cell r="A4030">
            <v>95902025</v>
          </cell>
          <cell r="B4030" t="str">
            <v>런칭 성장 임무 25</v>
          </cell>
        </row>
        <row r="4031">
          <cell r="A4031">
            <v>95902026</v>
          </cell>
          <cell r="B4031" t="str">
            <v>런칭 성장 임무 26</v>
          </cell>
        </row>
        <row r="4032">
          <cell r="A4032">
            <v>95902027</v>
          </cell>
          <cell r="B4032" t="str">
            <v>런칭 성장 임무 27</v>
          </cell>
        </row>
        <row r="4033">
          <cell r="A4033">
            <v>95902028</v>
          </cell>
          <cell r="B4033" t="str">
            <v>런칭 성장 임무 28</v>
          </cell>
        </row>
        <row r="4034">
          <cell r="A4034">
            <v>95902029</v>
          </cell>
          <cell r="B4034" t="str">
            <v>런칭 성장 임무 29</v>
          </cell>
        </row>
        <row r="4035">
          <cell r="A4035">
            <v>95902030</v>
          </cell>
          <cell r="B4035" t="str">
            <v>런칭 성장 임무 30</v>
          </cell>
        </row>
        <row r="4036">
          <cell r="A4036">
            <v>95902031</v>
          </cell>
          <cell r="B4036" t="str">
            <v>런칭 성장 임무 31</v>
          </cell>
        </row>
        <row r="4037">
          <cell r="A4037">
            <v>95902032</v>
          </cell>
          <cell r="B4037" t="str">
            <v>런칭 성장 임무 32</v>
          </cell>
        </row>
        <row r="4038">
          <cell r="A4038">
            <v>95902033</v>
          </cell>
          <cell r="B4038" t="str">
            <v>런칭 성장 임무 33</v>
          </cell>
        </row>
        <row r="4039">
          <cell r="A4039">
            <v>95902034</v>
          </cell>
          <cell r="B4039" t="str">
            <v>런칭 성장 임무 34</v>
          </cell>
        </row>
        <row r="4040">
          <cell r="A4040">
            <v>95902035</v>
          </cell>
          <cell r="B4040" t="str">
            <v>런칭 성장 임무 35</v>
          </cell>
        </row>
        <row r="4041">
          <cell r="A4041">
            <v>95902036</v>
          </cell>
          <cell r="B4041" t="str">
            <v>런칭 성장 임무 36</v>
          </cell>
        </row>
        <row r="4042">
          <cell r="A4042">
            <v>95902037</v>
          </cell>
          <cell r="B4042" t="str">
            <v>런칭 성장 임무 37</v>
          </cell>
        </row>
        <row r="4043">
          <cell r="A4043">
            <v>95902038</v>
          </cell>
          <cell r="B4043" t="str">
            <v>런칭 성장 임무 38</v>
          </cell>
        </row>
        <row r="4044">
          <cell r="A4044">
            <v>95902039</v>
          </cell>
          <cell r="B4044" t="str">
            <v>런칭 성장 임무 39</v>
          </cell>
        </row>
        <row r="4045">
          <cell r="A4045">
            <v>95902040</v>
          </cell>
          <cell r="B4045" t="str">
            <v>런칭 성장 임무 40</v>
          </cell>
        </row>
        <row r="4046">
          <cell r="A4046">
            <v>95902041</v>
          </cell>
          <cell r="B4046" t="str">
            <v>라이브 2206_2_1</v>
          </cell>
        </row>
        <row r="4047">
          <cell r="A4047">
            <v>95902042</v>
          </cell>
          <cell r="B4047" t="str">
            <v>라이브 2206_2_2</v>
          </cell>
        </row>
        <row r="4048">
          <cell r="A4048">
            <v>95902043</v>
          </cell>
          <cell r="B4048" t="str">
            <v>라이브 2206_2_3</v>
          </cell>
        </row>
        <row r="4049">
          <cell r="A4049">
            <v>95902044</v>
          </cell>
          <cell r="B4049" t="str">
            <v>라이브 2206_2_4</v>
          </cell>
        </row>
        <row r="4050">
          <cell r="A4050">
            <v>95902045</v>
          </cell>
          <cell r="B4050" t="str">
            <v>라이브 2206_2_5</v>
          </cell>
        </row>
        <row r="4051">
          <cell r="A4051">
            <v>95902046</v>
          </cell>
          <cell r="B4051" t="str">
            <v>라이브 2206_2_6</v>
          </cell>
        </row>
        <row r="4052">
          <cell r="A4052">
            <v>95902047</v>
          </cell>
          <cell r="B4052" t="str">
            <v>라이브 2206_2_7</v>
          </cell>
        </row>
        <row r="4053">
          <cell r="A4053">
            <v>95902048</v>
          </cell>
          <cell r="B4053" t="str">
            <v>라이브 2206_2_8</v>
          </cell>
        </row>
        <row r="4054">
          <cell r="A4054">
            <v>95902049</v>
          </cell>
          <cell r="B4054" t="str">
            <v>라이브 2206_2_9</v>
          </cell>
        </row>
        <row r="4055">
          <cell r="A4055">
            <v>95902050</v>
          </cell>
          <cell r="B4055" t="str">
            <v>라이브 2206_2_10</v>
          </cell>
        </row>
        <row r="4056">
          <cell r="A4056">
            <v>95902051</v>
          </cell>
          <cell r="B4056" t="str">
            <v>라이브 2206_2_11</v>
          </cell>
        </row>
        <row r="4057">
          <cell r="A4057">
            <v>95902052</v>
          </cell>
          <cell r="B4057" t="str">
            <v>라이브 2206_2_12</v>
          </cell>
        </row>
        <row r="4058">
          <cell r="A4058">
            <v>95902053</v>
          </cell>
          <cell r="B4058" t="str">
            <v>라이브 2206_2_13</v>
          </cell>
        </row>
        <row r="4059">
          <cell r="A4059">
            <v>95902054</v>
          </cell>
          <cell r="B4059" t="str">
            <v>라이브 2206_2_14</v>
          </cell>
        </row>
        <row r="4060">
          <cell r="A4060">
            <v>95902055</v>
          </cell>
          <cell r="B4060" t="str">
            <v>라이브 2206_2_15</v>
          </cell>
        </row>
        <row r="4061">
          <cell r="A4061">
            <v>95902056</v>
          </cell>
          <cell r="B4061" t="str">
            <v>라이브 2206_2_16</v>
          </cell>
        </row>
        <row r="4062">
          <cell r="A4062">
            <v>95902057</v>
          </cell>
          <cell r="B4062" t="str">
            <v>라이브 2206_2_17</v>
          </cell>
        </row>
        <row r="4063">
          <cell r="A4063">
            <v>95902058</v>
          </cell>
          <cell r="B4063" t="str">
            <v>라이브 2206_2_18</v>
          </cell>
        </row>
        <row r="4064">
          <cell r="A4064">
            <v>95902059</v>
          </cell>
          <cell r="B4064" t="str">
            <v>라이브 2206_2_19</v>
          </cell>
        </row>
        <row r="4065">
          <cell r="A4065">
            <v>95902060</v>
          </cell>
          <cell r="B4065" t="str">
            <v>라이브 2206_2_20</v>
          </cell>
        </row>
        <row r="4066">
          <cell r="A4066">
            <v>95902061</v>
          </cell>
          <cell r="B4066" t="str">
            <v>라이브 2206_2_21</v>
          </cell>
        </row>
        <row r="4067">
          <cell r="A4067">
            <v>95902062</v>
          </cell>
          <cell r="B4067" t="str">
            <v>라이브 2206_2_22</v>
          </cell>
        </row>
        <row r="4068">
          <cell r="A4068">
            <v>95902063</v>
          </cell>
          <cell r="B4068" t="str">
            <v>라이브 2206_2_23</v>
          </cell>
        </row>
        <row r="4069">
          <cell r="A4069">
            <v>95902064</v>
          </cell>
          <cell r="B4069" t="str">
            <v>라이브 2206_2_24</v>
          </cell>
        </row>
        <row r="4070">
          <cell r="A4070">
            <v>95902065</v>
          </cell>
          <cell r="B4070" t="str">
            <v>라이브 2206_2_25</v>
          </cell>
        </row>
        <row r="4071">
          <cell r="A4071">
            <v>95902066</v>
          </cell>
          <cell r="B4071" t="str">
            <v>라이브 2206_2_26</v>
          </cell>
        </row>
        <row r="4072">
          <cell r="A4072">
            <v>95902067</v>
          </cell>
          <cell r="B4072" t="str">
            <v>라이브 2206_2_27</v>
          </cell>
        </row>
        <row r="4073">
          <cell r="A4073">
            <v>95902068</v>
          </cell>
          <cell r="B4073" t="str">
            <v>라이브 2206_2_28</v>
          </cell>
        </row>
        <row r="4074">
          <cell r="A4074">
            <v>95902069</v>
          </cell>
          <cell r="B4074" t="str">
            <v>라이브 2206_2_29</v>
          </cell>
        </row>
        <row r="4075">
          <cell r="A4075">
            <v>95902070</v>
          </cell>
          <cell r="B4075" t="str">
            <v>라이브 2206_2_30</v>
          </cell>
        </row>
        <row r="4076">
          <cell r="A4076">
            <v>95902071</v>
          </cell>
          <cell r="B4076" t="str">
            <v>라이브 2206_2_31</v>
          </cell>
        </row>
        <row r="4077">
          <cell r="A4077">
            <v>95902072</v>
          </cell>
          <cell r="B4077" t="str">
            <v>라이브 2206_2_32</v>
          </cell>
        </row>
        <row r="4078">
          <cell r="A4078">
            <v>95902073</v>
          </cell>
          <cell r="B4078" t="str">
            <v>라이브 2207_1_1</v>
          </cell>
        </row>
        <row r="4079">
          <cell r="A4079">
            <v>95902074</v>
          </cell>
          <cell r="B4079" t="str">
            <v>라이브 2207_1_2</v>
          </cell>
        </row>
        <row r="4080">
          <cell r="A4080">
            <v>95902075</v>
          </cell>
          <cell r="B4080" t="str">
            <v>라이브 2207_1_3</v>
          </cell>
        </row>
        <row r="4081">
          <cell r="A4081">
            <v>95902076</v>
          </cell>
          <cell r="B4081" t="str">
            <v>라이브 2207_1_4</v>
          </cell>
        </row>
        <row r="4082">
          <cell r="A4082">
            <v>95902077</v>
          </cell>
          <cell r="B4082" t="str">
            <v>라이브 2207_1_5</v>
          </cell>
        </row>
        <row r="4083">
          <cell r="A4083">
            <v>95902078</v>
          </cell>
          <cell r="B4083" t="str">
            <v>라이브 2207_1_6</v>
          </cell>
        </row>
        <row r="4084">
          <cell r="A4084">
            <v>95902079</v>
          </cell>
          <cell r="B4084" t="str">
            <v>라이브 2207_1_7</v>
          </cell>
        </row>
        <row r="4085">
          <cell r="A4085">
            <v>95902080</v>
          </cell>
          <cell r="B4085" t="str">
            <v>라이브 2207_1_8</v>
          </cell>
        </row>
        <row r="4086">
          <cell r="A4086">
            <v>95902081</v>
          </cell>
          <cell r="B4086" t="str">
            <v>라이브 2207_1_9</v>
          </cell>
        </row>
        <row r="4087">
          <cell r="A4087">
            <v>95902082</v>
          </cell>
          <cell r="B4087" t="str">
            <v>라이브 2207_1_10</v>
          </cell>
        </row>
        <row r="4088">
          <cell r="A4088">
            <v>95902083</v>
          </cell>
          <cell r="B4088" t="str">
            <v>라이브 2207_1_11</v>
          </cell>
        </row>
        <row r="4089">
          <cell r="A4089">
            <v>95902084</v>
          </cell>
          <cell r="B4089" t="str">
            <v>라이브 2207_1_12</v>
          </cell>
        </row>
        <row r="4090">
          <cell r="A4090">
            <v>95902085</v>
          </cell>
          <cell r="B4090" t="str">
            <v>라이브 2207_1_13</v>
          </cell>
        </row>
        <row r="4091">
          <cell r="A4091">
            <v>95902086</v>
          </cell>
          <cell r="B4091" t="str">
            <v>라이브 2207_1_14</v>
          </cell>
        </row>
        <row r="4092">
          <cell r="A4092">
            <v>95902087</v>
          </cell>
          <cell r="B4092" t="str">
            <v>라이브 2207_1_15</v>
          </cell>
        </row>
        <row r="4093">
          <cell r="A4093">
            <v>95902088</v>
          </cell>
          <cell r="B4093" t="str">
            <v>라이브 2207_1_16</v>
          </cell>
        </row>
        <row r="4094">
          <cell r="A4094">
            <v>95902089</v>
          </cell>
          <cell r="B4094" t="str">
            <v>라이브 2207_1_17</v>
          </cell>
        </row>
        <row r="4095">
          <cell r="A4095">
            <v>95902090</v>
          </cell>
          <cell r="B4095" t="str">
            <v>라이브 2207_1_18</v>
          </cell>
        </row>
        <row r="4096">
          <cell r="A4096">
            <v>95902091</v>
          </cell>
          <cell r="B4096" t="str">
            <v>라이브 2207_1_19</v>
          </cell>
        </row>
        <row r="4097">
          <cell r="A4097">
            <v>95902092</v>
          </cell>
          <cell r="B4097" t="str">
            <v>라이브 2207_1_20</v>
          </cell>
        </row>
        <row r="4098">
          <cell r="A4098">
            <v>95902093</v>
          </cell>
          <cell r="B4098" t="str">
            <v>라이브 2207_1_21</v>
          </cell>
        </row>
        <row r="4099">
          <cell r="A4099">
            <v>95902094</v>
          </cell>
          <cell r="B4099" t="str">
            <v>라이브 2207_1_22</v>
          </cell>
        </row>
        <row r="4100">
          <cell r="A4100">
            <v>95902095</v>
          </cell>
          <cell r="B4100" t="str">
            <v>라이브 2207_1_23</v>
          </cell>
        </row>
        <row r="4101">
          <cell r="A4101">
            <v>95902096</v>
          </cell>
          <cell r="B4101" t="str">
            <v>라이브 2207_1_24</v>
          </cell>
        </row>
        <row r="4102">
          <cell r="A4102">
            <v>95902097</v>
          </cell>
          <cell r="B4102" t="str">
            <v>라이브 2207_1_25</v>
          </cell>
        </row>
        <row r="4103">
          <cell r="A4103">
            <v>95902098</v>
          </cell>
          <cell r="B4103" t="str">
            <v>라이브 2207_1_26</v>
          </cell>
        </row>
        <row r="4104">
          <cell r="A4104">
            <v>95902099</v>
          </cell>
          <cell r="B4104" t="str">
            <v>라이브 2207_1_27</v>
          </cell>
        </row>
        <row r="4105">
          <cell r="A4105">
            <v>95902100</v>
          </cell>
          <cell r="B4105" t="str">
            <v>라이브 2207_2_1</v>
          </cell>
        </row>
        <row r="4106">
          <cell r="A4106">
            <v>95902101</v>
          </cell>
          <cell r="B4106" t="str">
            <v>라이브 2207_2_2</v>
          </cell>
        </row>
        <row r="4107">
          <cell r="A4107">
            <v>95902102</v>
          </cell>
          <cell r="B4107" t="str">
            <v>라이브 2207_2_3</v>
          </cell>
        </row>
        <row r="4108">
          <cell r="A4108">
            <v>95902103</v>
          </cell>
          <cell r="B4108" t="str">
            <v>라이브 2207_2_4</v>
          </cell>
        </row>
        <row r="4109">
          <cell r="A4109">
            <v>95902104</v>
          </cell>
          <cell r="B4109" t="str">
            <v>라이브 2207_2_5</v>
          </cell>
        </row>
        <row r="4110">
          <cell r="A4110">
            <v>95902105</v>
          </cell>
          <cell r="B4110" t="str">
            <v>라이브 2207_2_6</v>
          </cell>
        </row>
        <row r="4111">
          <cell r="A4111">
            <v>95902106</v>
          </cell>
          <cell r="B4111" t="str">
            <v>라이브 2207_2_7</v>
          </cell>
        </row>
        <row r="4112">
          <cell r="A4112">
            <v>95902107</v>
          </cell>
          <cell r="B4112" t="str">
            <v>라이브 2207_2_8</v>
          </cell>
        </row>
        <row r="4113">
          <cell r="A4113">
            <v>95902108</v>
          </cell>
          <cell r="B4113" t="str">
            <v>라이브 2207_2_9</v>
          </cell>
        </row>
        <row r="4114">
          <cell r="A4114">
            <v>95902109</v>
          </cell>
          <cell r="B4114" t="str">
            <v>라이브 2207_2_10</v>
          </cell>
        </row>
        <row r="4115">
          <cell r="A4115">
            <v>95902110</v>
          </cell>
          <cell r="B4115" t="str">
            <v>라이브 2207_2_11</v>
          </cell>
        </row>
        <row r="4116">
          <cell r="A4116">
            <v>95902111</v>
          </cell>
          <cell r="B4116" t="str">
            <v>라이브 2207_2_12</v>
          </cell>
        </row>
        <row r="4117">
          <cell r="A4117">
            <v>95902112</v>
          </cell>
          <cell r="B4117" t="str">
            <v>라이브 2207_2_13</v>
          </cell>
        </row>
        <row r="4118">
          <cell r="A4118">
            <v>95902113</v>
          </cell>
          <cell r="B4118" t="str">
            <v>라이브 2207_2_14</v>
          </cell>
        </row>
        <row r="4119">
          <cell r="A4119">
            <v>95902114</v>
          </cell>
          <cell r="B4119" t="str">
            <v>라이브 2207_2_15</v>
          </cell>
        </row>
        <row r="4120">
          <cell r="A4120">
            <v>95902115</v>
          </cell>
          <cell r="B4120" t="str">
            <v>라이브 2207_2_16</v>
          </cell>
        </row>
        <row r="4121">
          <cell r="A4121">
            <v>95902116</v>
          </cell>
          <cell r="B4121" t="str">
            <v>라이브 2207_2_17</v>
          </cell>
        </row>
        <row r="4122">
          <cell r="A4122">
            <v>95902117</v>
          </cell>
          <cell r="B4122" t="str">
            <v>라이브 2207_2_18</v>
          </cell>
        </row>
        <row r="4123">
          <cell r="A4123">
            <v>95902118</v>
          </cell>
          <cell r="B4123" t="str">
            <v>라이브 2207_2_19</v>
          </cell>
        </row>
        <row r="4124">
          <cell r="A4124">
            <v>95902119</v>
          </cell>
          <cell r="B4124" t="str">
            <v>라이브 2207_2_20</v>
          </cell>
        </row>
        <row r="4125">
          <cell r="A4125">
            <v>95902120</v>
          </cell>
          <cell r="B4125" t="str">
            <v>라이브 2207_2_21</v>
          </cell>
        </row>
        <row r="4126">
          <cell r="A4126">
            <v>95902121</v>
          </cell>
          <cell r="B4126" t="str">
            <v>라이브 2207_2_22</v>
          </cell>
        </row>
        <row r="4127">
          <cell r="A4127">
            <v>95902122</v>
          </cell>
          <cell r="B4127" t="str">
            <v>라이브 2207_2_23</v>
          </cell>
        </row>
        <row r="4128">
          <cell r="A4128">
            <v>95902123</v>
          </cell>
          <cell r="B4128" t="str">
            <v>라이브 2207_2_24</v>
          </cell>
        </row>
        <row r="4129">
          <cell r="A4129">
            <v>95902124</v>
          </cell>
          <cell r="B4129" t="str">
            <v>라이브 2207_2_25</v>
          </cell>
        </row>
        <row r="4130">
          <cell r="A4130">
            <v>95902125</v>
          </cell>
          <cell r="B4130" t="str">
            <v>라이브 2207_2_26</v>
          </cell>
        </row>
        <row r="4131">
          <cell r="A4131">
            <v>95902126</v>
          </cell>
          <cell r="B4131" t="str">
            <v>라이브 2207_2_27</v>
          </cell>
        </row>
        <row r="4132">
          <cell r="A4132">
            <v>95902127</v>
          </cell>
          <cell r="B4132" t="str">
            <v>라이브 2207_2_28</v>
          </cell>
        </row>
        <row r="4133">
          <cell r="A4133">
            <v>95902128</v>
          </cell>
          <cell r="B4133" t="str">
            <v>라이브 2207_2_29</v>
          </cell>
        </row>
        <row r="4134">
          <cell r="A4134">
            <v>95902129</v>
          </cell>
          <cell r="B4134" t="str">
            <v>라이브 2207_2_30</v>
          </cell>
        </row>
        <row r="4135">
          <cell r="A4135">
            <v>95902130</v>
          </cell>
          <cell r="B4135" t="str">
            <v>라이브 2207_2_31</v>
          </cell>
        </row>
        <row r="4136">
          <cell r="A4136">
            <v>95902131</v>
          </cell>
          <cell r="B4136" t="str">
            <v>라이브 2208_1_1</v>
          </cell>
        </row>
        <row r="4137">
          <cell r="A4137">
            <v>95902132</v>
          </cell>
          <cell r="B4137" t="str">
            <v>라이브 2208_1_2</v>
          </cell>
        </row>
        <row r="4138">
          <cell r="A4138">
            <v>95902133</v>
          </cell>
          <cell r="B4138" t="str">
            <v>라이브 2208_1_3</v>
          </cell>
        </row>
        <row r="4139">
          <cell r="A4139">
            <v>95902134</v>
          </cell>
          <cell r="B4139" t="str">
            <v>라이브 2208_1_4</v>
          </cell>
        </row>
        <row r="4140">
          <cell r="A4140">
            <v>95902135</v>
          </cell>
          <cell r="B4140" t="str">
            <v>라이브 2208_1_5</v>
          </cell>
        </row>
        <row r="4141">
          <cell r="A4141">
            <v>95902136</v>
          </cell>
          <cell r="B4141" t="str">
            <v>라이브 2208_1_6</v>
          </cell>
        </row>
        <row r="4142">
          <cell r="A4142">
            <v>95902137</v>
          </cell>
          <cell r="B4142" t="str">
            <v>라이브 2208_1_7</v>
          </cell>
        </row>
        <row r="4143">
          <cell r="A4143">
            <v>95902138</v>
          </cell>
          <cell r="B4143" t="str">
            <v>라이브 2208_1_8</v>
          </cell>
        </row>
        <row r="4144">
          <cell r="A4144">
            <v>95902139</v>
          </cell>
          <cell r="B4144" t="str">
            <v>라이브 2208_1_9</v>
          </cell>
        </row>
        <row r="4145">
          <cell r="A4145">
            <v>95902140</v>
          </cell>
          <cell r="B4145" t="str">
            <v>라이브 2208_1_10</v>
          </cell>
        </row>
        <row r="4146">
          <cell r="A4146">
            <v>95902141</v>
          </cell>
          <cell r="B4146" t="str">
            <v>라이브 2208_1_11</v>
          </cell>
        </row>
        <row r="4147">
          <cell r="A4147">
            <v>95902142</v>
          </cell>
          <cell r="B4147" t="str">
            <v>라이브 2208_1_12</v>
          </cell>
        </row>
        <row r="4148">
          <cell r="A4148">
            <v>95902143</v>
          </cell>
          <cell r="B4148" t="str">
            <v>라이브 2208_1_13</v>
          </cell>
        </row>
        <row r="4149">
          <cell r="A4149">
            <v>95902144</v>
          </cell>
          <cell r="B4149" t="str">
            <v>라이브 2208_1_14</v>
          </cell>
        </row>
        <row r="4150">
          <cell r="A4150">
            <v>95902145</v>
          </cell>
          <cell r="B4150" t="str">
            <v>라이브 2208_1_15</v>
          </cell>
        </row>
        <row r="4151">
          <cell r="A4151">
            <v>95902146</v>
          </cell>
          <cell r="B4151" t="str">
            <v>라이브 2208_1_16</v>
          </cell>
        </row>
        <row r="4152">
          <cell r="A4152">
            <v>95902147</v>
          </cell>
          <cell r="B4152" t="str">
            <v>라이브 2208_1_17</v>
          </cell>
        </row>
        <row r="4153">
          <cell r="A4153">
            <v>95902148</v>
          </cell>
          <cell r="B4153" t="str">
            <v>라이브 2208_1_18</v>
          </cell>
        </row>
        <row r="4154">
          <cell r="A4154">
            <v>95902149</v>
          </cell>
          <cell r="B4154" t="str">
            <v>라이브 2208_1_19</v>
          </cell>
        </row>
        <row r="4155">
          <cell r="A4155">
            <v>95902150</v>
          </cell>
          <cell r="B4155" t="str">
            <v>라이브 2208_1_20</v>
          </cell>
        </row>
        <row r="4156">
          <cell r="A4156">
            <v>95902151</v>
          </cell>
          <cell r="B4156" t="str">
            <v>라이브 2208_1_21</v>
          </cell>
        </row>
        <row r="4157">
          <cell r="A4157">
            <v>95902152</v>
          </cell>
          <cell r="B4157" t="str">
            <v>라이브 2208_1_22</v>
          </cell>
        </row>
        <row r="4158">
          <cell r="A4158">
            <v>95902153</v>
          </cell>
          <cell r="B4158" t="str">
            <v>라이브 2208_1_23</v>
          </cell>
        </row>
        <row r="4159">
          <cell r="A4159">
            <v>95902154</v>
          </cell>
          <cell r="B4159" t="str">
            <v>라이브 2208_1_24</v>
          </cell>
        </row>
        <row r="4160">
          <cell r="A4160">
            <v>95902155</v>
          </cell>
          <cell r="B4160" t="str">
            <v>라이브 2208_1_25</v>
          </cell>
        </row>
        <row r="4161">
          <cell r="A4161">
            <v>95902156</v>
          </cell>
          <cell r="B4161" t="str">
            <v>라이브 2208_1_26</v>
          </cell>
        </row>
        <row r="4162">
          <cell r="A4162">
            <v>95902157</v>
          </cell>
          <cell r="B4162" t="str">
            <v>라이브 2208_1_27</v>
          </cell>
        </row>
        <row r="4163">
          <cell r="A4163">
            <v>95902158</v>
          </cell>
          <cell r="B4163" t="str">
            <v>라이브 2208_1_28</v>
          </cell>
        </row>
        <row r="4164">
          <cell r="A4164">
            <v>95902159</v>
          </cell>
          <cell r="B4164" t="str">
            <v>라이브 2208_1_29</v>
          </cell>
        </row>
        <row r="4165">
          <cell r="A4165">
            <v>95902160</v>
          </cell>
          <cell r="B4165" t="str">
            <v>라이브 2208_1_30</v>
          </cell>
        </row>
        <row r="4166">
          <cell r="A4166">
            <v>95902161</v>
          </cell>
          <cell r="B4166" t="str">
            <v>라이브 2208_1_31</v>
          </cell>
        </row>
        <row r="4167">
          <cell r="A4167">
            <v>95902162</v>
          </cell>
          <cell r="B4167" t="str">
            <v>라이브 2208_1_32</v>
          </cell>
        </row>
        <row r="4168">
          <cell r="A4168">
            <v>95902163</v>
          </cell>
          <cell r="B4168" t="str">
            <v>라이브 2208_1_33</v>
          </cell>
        </row>
        <row r="4169">
          <cell r="A4169">
            <v>95902164</v>
          </cell>
          <cell r="B4169" t="str">
            <v>라이브 2208_1_34</v>
          </cell>
        </row>
        <row r="4170">
          <cell r="A4170">
            <v>95902165</v>
          </cell>
          <cell r="B4170" t="str">
            <v>라이브 2208_1_35</v>
          </cell>
        </row>
        <row r="4171">
          <cell r="A4171">
            <v>95902166</v>
          </cell>
          <cell r="B4171" t="str">
            <v>라이브 2208_2_1</v>
          </cell>
        </row>
        <row r="4172">
          <cell r="A4172">
            <v>95902167</v>
          </cell>
          <cell r="B4172" t="str">
            <v>라이브 2208_2_2</v>
          </cell>
        </row>
        <row r="4173">
          <cell r="A4173">
            <v>95902168</v>
          </cell>
          <cell r="B4173" t="str">
            <v>라이브 2208_2_3</v>
          </cell>
        </row>
        <row r="4174">
          <cell r="A4174">
            <v>95902169</v>
          </cell>
          <cell r="B4174" t="str">
            <v>라이브 2208_2_4</v>
          </cell>
        </row>
        <row r="4175">
          <cell r="A4175">
            <v>95902170</v>
          </cell>
          <cell r="B4175" t="str">
            <v>라이브 2208_2_5</v>
          </cell>
        </row>
        <row r="4176">
          <cell r="A4176">
            <v>95902171</v>
          </cell>
          <cell r="B4176" t="str">
            <v>라이브 2208_2_6</v>
          </cell>
        </row>
        <row r="4177">
          <cell r="A4177">
            <v>95902172</v>
          </cell>
          <cell r="B4177" t="str">
            <v>라이브 2208_2_7</v>
          </cell>
        </row>
        <row r="4178">
          <cell r="A4178">
            <v>95902173</v>
          </cell>
          <cell r="B4178" t="str">
            <v>라이브 2208_2_8</v>
          </cell>
        </row>
        <row r="4179">
          <cell r="A4179">
            <v>95902174</v>
          </cell>
          <cell r="B4179" t="str">
            <v>라이브 2208_2_9</v>
          </cell>
        </row>
        <row r="4180">
          <cell r="A4180">
            <v>95902175</v>
          </cell>
          <cell r="B4180" t="str">
            <v>라이브 2208_2_10</v>
          </cell>
        </row>
        <row r="4181">
          <cell r="A4181">
            <v>95902176</v>
          </cell>
          <cell r="B4181" t="str">
            <v>라이브 2208_2_11</v>
          </cell>
        </row>
        <row r="4182">
          <cell r="A4182">
            <v>95902177</v>
          </cell>
          <cell r="B4182" t="str">
            <v>라이브 2208_2_12</v>
          </cell>
        </row>
        <row r="4183">
          <cell r="A4183">
            <v>95902178</v>
          </cell>
          <cell r="B4183" t="str">
            <v>라이브 2208_2_13</v>
          </cell>
        </row>
        <row r="4184">
          <cell r="A4184">
            <v>95902179</v>
          </cell>
          <cell r="B4184" t="str">
            <v>라이브 2208_2_14</v>
          </cell>
        </row>
        <row r="4185">
          <cell r="A4185">
            <v>95902180</v>
          </cell>
          <cell r="B4185" t="str">
            <v>라이브 2208_2_15</v>
          </cell>
        </row>
        <row r="4186">
          <cell r="A4186">
            <v>95902181</v>
          </cell>
          <cell r="B4186" t="str">
            <v>라이브 2208_2_16</v>
          </cell>
        </row>
        <row r="4187">
          <cell r="A4187">
            <v>95902182</v>
          </cell>
          <cell r="B4187" t="str">
            <v>라이브 2208_2_17</v>
          </cell>
        </row>
        <row r="4188">
          <cell r="A4188">
            <v>95902183</v>
          </cell>
          <cell r="B4188" t="str">
            <v>라이브 2208_2_18</v>
          </cell>
        </row>
        <row r="4189">
          <cell r="A4189">
            <v>95902184</v>
          </cell>
          <cell r="B4189" t="str">
            <v>라이브 2208_2_19</v>
          </cell>
        </row>
        <row r="4190">
          <cell r="A4190">
            <v>95902185</v>
          </cell>
          <cell r="B4190" t="str">
            <v>라이브 2208_2_20</v>
          </cell>
        </row>
        <row r="4191">
          <cell r="A4191">
            <v>95902186</v>
          </cell>
          <cell r="B4191" t="str">
            <v>라이브 2208_2_21</v>
          </cell>
        </row>
        <row r="4192">
          <cell r="A4192">
            <v>95902187</v>
          </cell>
          <cell r="B4192" t="str">
            <v>라이브 2208_2_22</v>
          </cell>
        </row>
        <row r="4193">
          <cell r="A4193">
            <v>95902188</v>
          </cell>
          <cell r="B4193" t="str">
            <v>라이브 2208_2_23</v>
          </cell>
        </row>
        <row r="4194">
          <cell r="A4194">
            <v>95902189</v>
          </cell>
          <cell r="B4194" t="str">
            <v>라이브 2208_2_24</v>
          </cell>
        </row>
        <row r="4195">
          <cell r="A4195">
            <v>95902190</v>
          </cell>
          <cell r="B4195" t="str">
            <v>라이브 2208_2_25</v>
          </cell>
        </row>
        <row r="4196">
          <cell r="A4196">
            <v>95902191</v>
          </cell>
          <cell r="B4196" t="str">
            <v>라이브 2208_2_26</v>
          </cell>
        </row>
        <row r="4197">
          <cell r="A4197">
            <v>95902192</v>
          </cell>
          <cell r="B4197" t="str">
            <v>라이브 2208_2_27</v>
          </cell>
        </row>
        <row r="4198">
          <cell r="A4198">
            <v>95902193</v>
          </cell>
          <cell r="B4198" t="str">
            <v>라이브 2208_2_28</v>
          </cell>
        </row>
        <row r="4199">
          <cell r="A4199">
            <v>95902194</v>
          </cell>
          <cell r="B4199" t="str">
            <v>라이브 2208_2_29</v>
          </cell>
        </row>
        <row r="4200">
          <cell r="A4200">
            <v>95902195</v>
          </cell>
          <cell r="B4200" t="str">
            <v>라이브 2208_2_30</v>
          </cell>
        </row>
        <row r="4201">
          <cell r="A4201">
            <v>95902196</v>
          </cell>
          <cell r="B4201" t="str">
            <v>추석 2022 특별 출석1</v>
          </cell>
        </row>
        <row r="4202">
          <cell r="A4202">
            <v>95902197</v>
          </cell>
          <cell r="B4202" t="str">
            <v>추석 2022 특별 출석2</v>
          </cell>
        </row>
        <row r="4203">
          <cell r="A4203">
            <v>95902198</v>
          </cell>
          <cell r="B4203" t="str">
            <v>추석 2022 특별 출석3</v>
          </cell>
        </row>
        <row r="4204">
          <cell r="A4204">
            <v>95902199</v>
          </cell>
          <cell r="B4204" t="str">
            <v>추석 2022 특별 출석4</v>
          </cell>
        </row>
        <row r="4205">
          <cell r="A4205">
            <v>95902200</v>
          </cell>
          <cell r="B4205" t="str">
            <v>추석 2022 특별 출석5</v>
          </cell>
        </row>
        <row r="4206">
          <cell r="A4206">
            <v>95902201</v>
          </cell>
          <cell r="B4206" t="str">
            <v>추석 2022 특별 출석6</v>
          </cell>
        </row>
        <row r="4207">
          <cell r="A4207">
            <v>95902202</v>
          </cell>
          <cell r="B4207" t="str">
            <v>추석 2022 특별 출석7</v>
          </cell>
        </row>
        <row r="4208">
          <cell r="A4208">
            <v>95902203</v>
          </cell>
          <cell r="B4208" t="str">
            <v>초보 지원1_1</v>
          </cell>
        </row>
        <row r="4209">
          <cell r="A4209">
            <v>95902204</v>
          </cell>
          <cell r="B4209" t="str">
            <v>초보 지원1_2</v>
          </cell>
        </row>
        <row r="4210">
          <cell r="A4210">
            <v>95902205</v>
          </cell>
          <cell r="B4210" t="str">
            <v>초보 지원1_3</v>
          </cell>
        </row>
        <row r="4211">
          <cell r="A4211">
            <v>95902206</v>
          </cell>
          <cell r="B4211" t="str">
            <v>초보 지원1_4</v>
          </cell>
        </row>
        <row r="4212">
          <cell r="A4212">
            <v>95902207</v>
          </cell>
          <cell r="B4212" t="str">
            <v>초보 지원1_5</v>
          </cell>
        </row>
        <row r="4213">
          <cell r="A4213">
            <v>95902208</v>
          </cell>
          <cell r="B4213" t="str">
            <v>초보 지원1_6</v>
          </cell>
        </row>
        <row r="4214">
          <cell r="A4214">
            <v>95902209</v>
          </cell>
          <cell r="B4214" t="str">
            <v>초보 지원1_7</v>
          </cell>
        </row>
        <row r="4215">
          <cell r="A4215">
            <v>95902210</v>
          </cell>
          <cell r="B4215" t="str">
            <v>초보 지원1_8</v>
          </cell>
        </row>
        <row r="4216">
          <cell r="A4216">
            <v>95902211</v>
          </cell>
          <cell r="B4216" t="str">
            <v>초보 지원1_9</v>
          </cell>
        </row>
        <row r="4217">
          <cell r="A4217">
            <v>95902212</v>
          </cell>
          <cell r="B4217" t="str">
            <v>초보 지원1_10</v>
          </cell>
        </row>
        <row r="4218">
          <cell r="A4218">
            <v>95902213</v>
          </cell>
          <cell r="B4218" t="str">
            <v>초보 지원1_11</v>
          </cell>
        </row>
        <row r="4219">
          <cell r="A4219">
            <v>95902214</v>
          </cell>
          <cell r="B4219" t="str">
            <v>초보 지원1_12</v>
          </cell>
        </row>
        <row r="4220">
          <cell r="A4220">
            <v>95902215</v>
          </cell>
          <cell r="B4220" t="str">
            <v>초보 지원1_13</v>
          </cell>
        </row>
        <row r="4221">
          <cell r="A4221">
            <v>95902216</v>
          </cell>
          <cell r="B4221" t="str">
            <v>초보 지원1_14</v>
          </cell>
        </row>
        <row r="4222">
          <cell r="A4222">
            <v>95902217</v>
          </cell>
          <cell r="B4222" t="str">
            <v>초보 지원1_15</v>
          </cell>
        </row>
        <row r="4223">
          <cell r="A4223">
            <v>95902218</v>
          </cell>
          <cell r="B4223" t="str">
            <v>초보 지원1_16</v>
          </cell>
        </row>
        <row r="4224">
          <cell r="A4224">
            <v>95902219</v>
          </cell>
          <cell r="B4224" t="str">
            <v>초보 지원1_17</v>
          </cell>
        </row>
        <row r="4225">
          <cell r="A4225">
            <v>95902220</v>
          </cell>
          <cell r="B4225" t="str">
            <v>초보 지원1_18</v>
          </cell>
        </row>
        <row r="4226">
          <cell r="A4226">
            <v>95902221</v>
          </cell>
          <cell r="B4226" t="str">
            <v>초보 지원1_19</v>
          </cell>
        </row>
        <row r="4227">
          <cell r="A4227">
            <v>95902222</v>
          </cell>
          <cell r="B4227" t="str">
            <v>초보 지원1_20</v>
          </cell>
        </row>
        <row r="4228">
          <cell r="A4228">
            <v>95902223</v>
          </cell>
          <cell r="B4228" t="str">
            <v>초보 지원1_21</v>
          </cell>
        </row>
        <row r="4229">
          <cell r="A4229">
            <v>95902224</v>
          </cell>
          <cell r="B4229" t="str">
            <v>초보 지원1_22</v>
          </cell>
        </row>
        <row r="4230">
          <cell r="A4230">
            <v>95902225</v>
          </cell>
          <cell r="B4230" t="str">
            <v>초보 지원1_23</v>
          </cell>
        </row>
        <row r="4231">
          <cell r="A4231">
            <v>95902226</v>
          </cell>
          <cell r="B4231" t="str">
            <v>초보 지원1_24</v>
          </cell>
        </row>
        <row r="4232">
          <cell r="A4232">
            <v>95902227</v>
          </cell>
          <cell r="B4232" t="str">
            <v>초보 지원1_25</v>
          </cell>
        </row>
        <row r="4233">
          <cell r="A4233">
            <v>95902228</v>
          </cell>
          <cell r="B4233" t="str">
            <v>초보 지원1_26</v>
          </cell>
        </row>
        <row r="4234">
          <cell r="A4234">
            <v>95902229</v>
          </cell>
          <cell r="B4234" t="str">
            <v>초보 지원1_27</v>
          </cell>
        </row>
        <row r="4235">
          <cell r="A4235">
            <v>95902230</v>
          </cell>
          <cell r="B4235" t="str">
            <v>초보 지원1_28</v>
          </cell>
        </row>
        <row r="4236">
          <cell r="A4236">
            <v>95902231</v>
          </cell>
          <cell r="B4236" t="str">
            <v>초보 지원1_29</v>
          </cell>
        </row>
        <row r="4237">
          <cell r="A4237">
            <v>95902232</v>
          </cell>
          <cell r="B4237" t="str">
            <v>초보 지원1_30</v>
          </cell>
        </row>
        <row r="4238">
          <cell r="A4238">
            <v>95902233</v>
          </cell>
          <cell r="B4238" t="str">
            <v>라이브 2210_1_1</v>
          </cell>
        </row>
        <row r="4239">
          <cell r="A4239">
            <v>95902234</v>
          </cell>
          <cell r="B4239" t="str">
            <v>라이브 2210_1_2</v>
          </cell>
        </row>
        <row r="4240">
          <cell r="A4240">
            <v>95902235</v>
          </cell>
          <cell r="B4240" t="str">
            <v>라이브 2210_1_3</v>
          </cell>
        </row>
        <row r="4241">
          <cell r="A4241">
            <v>95902236</v>
          </cell>
          <cell r="B4241" t="str">
            <v>라이브 2210_1_4</v>
          </cell>
        </row>
        <row r="4242">
          <cell r="A4242">
            <v>95902237</v>
          </cell>
          <cell r="B4242" t="str">
            <v>라이브 2210_1_5</v>
          </cell>
        </row>
        <row r="4243">
          <cell r="A4243">
            <v>95902238</v>
          </cell>
          <cell r="B4243" t="str">
            <v>라이브 2210_1_6</v>
          </cell>
        </row>
        <row r="4244">
          <cell r="A4244">
            <v>95902239</v>
          </cell>
          <cell r="B4244" t="str">
            <v>라이브 2210_1_7</v>
          </cell>
        </row>
        <row r="4245">
          <cell r="A4245">
            <v>95902240</v>
          </cell>
          <cell r="B4245" t="str">
            <v>라이브 2210_1_8</v>
          </cell>
        </row>
        <row r="4246">
          <cell r="A4246">
            <v>95902241</v>
          </cell>
          <cell r="B4246" t="str">
            <v>라이브 2210_1_9</v>
          </cell>
        </row>
        <row r="4247">
          <cell r="A4247">
            <v>95902242</v>
          </cell>
          <cell r="B4247" t="str">
            <v>라이브 2210_1_10</v>
          </cell>
        </row>
        <row r="4248">
          <cell r="A4248">
            <v>95902243</v>
          </cell>
          <cell r="B4248" t="str">
            <v>라이브 2210_1_11</v>
          </cell>
        </row>
        <row r="4249">
          <cell r="A4249">
            <v>95902244</v>
          </cell>
          <cell r="B4249" t="str">
            <v>라이브 2210_1_12</v>
          </cell>
        </row>
        <row r="4250">
          <cell r="A4250">
            <v>95902245</v>
          </cell>
          <cell r="B4250" t="str">
            <v>라이브 2210_1_13</v>
          </cell>
        </row>
        <row r="4251">
          <cell r="A4251">
            <v>95902246</v>
          </cell>
          <cell r="B4251" t="str">
            <v>라이브 2210_1_14</v>
          </cell>
        </row>
        <row r="4252">
          <cell r="A4252">
            <v>95902247</v>
          </cell>
          <cell r="B4252" t="str">
            <v>라이브 2210_1_15</v>
          </cell>
        </row>
        <row r="4253">
          <cell r="A4253">
            <v>95902248</v>
          </cell>
          <cell r="B4253" t="str">
            <v>라이브 2210_1_16</v>
          </cell>
        </row>
        <row r="4254">
          <cell r="A4254">
            <v>95902249</v>
          </cell>
          <cell r="B4254" t="str">
            <v>라이브 2210_1_17</v>
          </cell>
        </row>
        <row r="4255">
          <cell r="A4255">
            <v>95902250</v>
          </cell>
          <cell r="B4255" t="str">
            <v>라이브 2210_1_18</v>
          </cell>
        </row>
        <row r="4256">
          <cell r="A4256">
            <v>95902251</v>
          </cell>
          <cell r="B4256" t="str">
            <v>라이브 2210_1_19</v>
          </cell>
        </row>
        <row r="4257">
          <cell r="A4257">
            <v>95902252</v>
          </cell>
          <cell r="B4257" t="str">
            <v>라이브 2210_1_20</v>
          </cell>
        </row>
        <row r="4258">
          <cell r="A4258">
            <v>95902253</v>
          </cell>
          <cell r="B4258" t="str">
            <v>라이브 2210_2_1</v>
          </cell>
        </row>
        <row r="4259">
          <cell r="A4259">
            <v>95902254</v>
          </cell>
          <cell r="B4259" t="str">
            <v>라이브 2210_2_2</v>
          </cell>
        </row>
        <row r="4260">
          <cell r="A4260">
            <v>95902255</v>
          </cell>
          <cell r="B4260" t="str">
            <v>라이브 2210_2_3</v>
          </cell>
        </row>
        <row r="4261">
          <cell r="A4261">
            <v>95902256</v>
          </cell>
          <cell r="B4261" t="str">
            <v>라이브 2210_2_4</v>
          </cell>
        </row>
        <row r="4262">
          <cell r="A4262">
            <v>95902257</v>
          </cell>
          <cell r="B4262" t="str">
            <v>라이브 2210_2_5</v>
          </cell>
        </row>
        <row r="4263">
          <cell r="A4263">
            <v>95902258</v>
          </cell>
          <cell r="B4263" t="str">
            <v>라이브 2210_2_6</v>
          </cell>
        </row>
        <row r="4264">
          <cell r="A4264">
            <v>95902259</v>
          </cell>
          <cell r="B4264" t="str">
            <v>라이브 2210_2_7</v>
          </cell>
        </row>
        <row r="4265">
          <cell r="A4265">
            <v>95902260</v>
          </cell>
          <cell r="B4265" t="str">
            <v>라이브 2210_2_8</v>
          </cell>
        </row>
        <row r="4266">
          <cell r="A4266">
            <v>95902261</v>
          </cell>
          <cell r="B4266" t="str">
            <v>라이브 2210_2_9</v>
          </cell>
        </row>
        <row r="4267">
          <cell r="A4267">
            <v>95902262</v>
          </cell>
          <cell r="B4267" t="str">
            <v>라이브 2210_2_10</v>
          </cell>
        </row>
        <row r="4268">
          <cell r="A4268">
            <v>95902263</v>
          </cell>
          <cell r="B4268" t="str">
            <v>라이브 2210_2_11</v>
          </cell>
        </row>
        <row r="4269">
          <cell r="A4269">
            <v>95902264</v>
          </cell>
          <cell r="B4269" t="str">
            <v>라이브 2210_2_12</v>
          </cell>
        </row>
        <row r="4270">
          <cell r="A4270">
            <v>95902265</v>
          </cell>
          <cell r="B4270" t="str">
            <v>라이브 2210_2_13</v>
          </cell>
        </row>
        <row r="4271">
          <cell r="A4271">
            <v>95902266</v>
          </cell>
          <cell r="B4271" t="str">
            <v>라이브 2210_2_14</v>
          </cell>
        </row>
        <row r="4272">
          <cell r="A4272">
            <v>95902267</v>
          </cell>
          <cell r="B4272" t="str">
            <v>라이브 2210_2_15</v>
          </cell>
        </row>
        <row r="4273">
          <cell r="A4273">
            <v>95902268</v>
          </cell>
          <cell r="B4273" t="str">
            <v>라이브 2210_2_16</v>
          </cell>
        </row>
        <row r="4274">
          <cell r="A4274">
            <v>95902269</v>
          </cell>
          <cell r="B4274" t="str">
            <v>라이브 2210_2_17</v>
          </cell>
        </row>
        <row r="4275">
          <cell r="A4275">
            <v>95902270</v>
          </cell>
          <cell r="B4275" t="str">
            <v>라이브 2210_2_18</v>
          </cell>
        </row>
        <row r="4276">
          <cell r="A4276">
            <v>95902271</v>
          </cell>
          <cell r="B4276" t="str">
            <v>라이브 2210_2_19</v>
          </cell>
        </row>
        <row r="4277">
          <cell r="A4277">
            <v>95902272</v>
          </cell>
          <cell r="B4277" t="str">
            <v>라이브 2210_2_20</v>
          </cell>
        </row>
        <row r="4278">
          <cell r="A4278">
            <v>95902273</v>
          </cell>
          <cell r="B4278" t="str">
            <v>라이브 2210_2_21</v>
          </cell>
        </row>
        <row r="4279">
          <cell r="A4279">
            <v>95902274</v>
          </cell>
          <cell r="B4279" t="str">
            <v>라이브 2210_2_22</v>
          </cell>
        </row>
        <row r="4280">
          <cell r="A4280">
            <v>95902275</v>
          </cell>
          <cell r="B4280" t="str">
            <v>라이브 2210_2_23</v>
          </cell>
        </row>
        <row r="4281">
          <cell r="A4281">
            <v>95902276</v>
          </cell>
          <cell r="B4281" t="str">
            <v>라이브 2210_2_24</v>
          </cell>
        </row>
        <row r="4282">
          <cell r="A4282">
            <v>95902277</v>
          </cell>
          <cell r="B4282" t="str">
            <v>라이브 2210_2_25</v>
          </cell>
        </row>
        <row r="4283">
          <cell r="A4283">
            <v>95902280</v>
          </cell>
          <cell r="B4283" t="str">
            <v>라이브 2211_1_1</v>
          </cell>
        </row>
        <row r="4284">
          <cell r="A4284">
            <v>95902283</v>
          </cell>
          <cell r="B4284" t="str">
            <v>라이브 2211_1_2</v>
          </cell>
        </row>
        <row r="4285">
          <cell r="A4285">
            <v>95902286</v>
          </cell>
          <cell r="B4285" t="str">
            <v>라이브 2211_1_3</v>
          </cell>
        </row>
        <row r="4286">
          <cell r="A4286">
            <v>95902287</v>
          </cell>
          <cell r="B4286" t="str">
            <v>라이브 2211_1_4</v>
          </cell>
        </row>
        <row r="4287">
          <cell r="A4287">
            <v>95902288</v>
          </cell>
          <cell r="B4287" t="str">
            <v>라이브 2211_1_5</v>
          </cell>
        </row>
        <row r="4288">
          <cell r="A4288">
            <v>95902289</v>
          </cell>
          <cell r="B4288" t="str">
            <v>라이브 2211_1_6</v>
          </cell>
        </row>
        <row r="4289">
          <cell r="A4289">
            <v>95902290</v>
          </cell>
          <cell r="B4289" t="str">
            <v>라이브 2211_1_7</v>
          </cell>
        </row>
        <row r="4290">
          <cell r="A4290">
            <v>95902291</v>
          </cell>
          <cell r="B4290" t="str">
            <v>라이브 2211_1_8</v>
          </cell>
        </row>
        <row r="4291">
          <cell r="A4291">
            <v>95902292</v>
          </cell>
          <cell r="B4291" t="str">
            <v>라이브 2211_1_9</v>
          </cell>
        </row>
        <row r="4292">
          <cell r="A4292">
            <v>95902293</v>
          </cell>
          <cell r="B4292" t="str">
            <v>라이브 2211_1_10</v>
          </cell>
        </row>
        <row r="4293">
          <cell r="A4293">
            <v>95902294</v>
          </cell>
          <cell r="B4293" t="str">
            <v>라이브 2211_1_11</v>
          </cell>
        </row>
        <row r="4294">
          <cell r="A4294">
            <v>95902295</v>
          </cell>
          <cell r="B4294" t="str">
            <v>라이브 2211_1_12</v>
          </cell>
        </row>
        <row r="4295">
          <cell r="A4295">
            <v>95902296</v>
          </cell>
          <cell r="B4295" t="str">
            <v>라이브 2211_1_13</v>
          </cell>
        </row>
        <row r="4296">
          <cell r="A4296">
            <v>95902297</v>
          </cell>
          <cell r="B4296" t="str">
            <v>라이브 2211_1_14</v>
          </cell>
        </row>
        <row r="4297">
          <cell r="A4297">
            <v>95902298</v>
          </cell>
          <cell r="B4297" t="str">
            <v>라이브 2211_1_15</v>
          </cell>
        </row>
        <row r="4298">
          <cell r="A4298">
            <v>95902299</v>
          </cell>
          <cell r="B4298" t="str">
            <v>라이브 2211_1_16</v>
          </cell>
        </row>
        <row r="4299">
          <cell r="A4299">
            <v>95902300</v>
          </cell>
          <cell r="B4299" t="str">
            <v>라이브 2211_1_17</v>
          </cell>
        </row>
        <row r="4300">
          <cell r="A4300">
            <v>95902301</v>
          </cell>
          <cell r="B4300" t="str">
            <v>라이브 2211_1_18</v>
          </cell>
        </row>
        <row r="4301">
          <cell r="A4301">
            <v>95902302</v>
          </cell>
          <cell r="B4301" t="str">
            <v>라이브 2211_1_19</v>
          </cell>
        </row>
        <row r="4302">
          <cell r="A4302">
            <v>95902303</v>
          </cell>
          <cell r="B4302" t="str">
            <v>라이브 2211_1_20</v>
          </cell>
        </row>
        <row r="4303">
          <cell r="A4303">
            <v>95902304</v>
          </cell>
          <cell r="B4303" t="str">
            <v>라이브 2211_1_21</v>
          </cell>
        </row>
        <row r="4304">
          <cell r="A4304">
            <v>95902305</v>
          </cell>
          <cell r="B4304" t="str">
            <v>라이브 2211_1_22</v>
          </cell>
        </row>
        <row r="4305">
          <cell r="A4305">
            <v>95902306</v>
          </cell>
          <cell r="B4305" t="str">
            <v>라이브 2211_1_23</v>
          </cell>
        </row>
        <row r="4306">
          <cell r="A4306">
            <v>95902307</v>
          </cell>
          <cell r="B4306" t="str">
            <v>라이브 2211_2_1</v>
          </cell>
        </row>
        <row r="4307">
          <cell r="A4307">
            <v>95902308</v>
          </cell>
          <cell r="B4307" t="str">
            <v>라이브 2211_2_2</v>
          </cell>
        </row>
        <row r="4308">
          <cell r="A4308">
            <v>95902309</v>
          </cell>
          <cell r="B4308" t="str">
            <v>라이브 2211_2_3</v>
          </cell>
        </row>
        <row r="4309">
          <cell r="A4309">
            <v>95902310</v>
          </cell>
          <cell r="B4309" t="str">
            <v>라이브 2211_2_4</v>
          </cell>
        </row>
        <row r="4310">
          <cell r="A4310">
            <v>95902311</v>
          </cell>
          <cell r="B4310" t="str">
            <v>라이브 2211_2_5</v>
          </cell>
        </row>
        <row r="4311">
          <cell r="A4311">
            <v>95902312</v>
          </cell>
          <cell r="B4311" t="str">
            <v>라이브 2211_2_6</v>
          </cell>
        </row>
        <row r="4312">
          <cell r="A4312">
            <v>95902313</v>
          </cell>
          <cell r="B4312" t="str">
            <v>라이브 2211_2_7</v>
          </cell>
        </row>
        <row r="4313">
          <cell r="A4313">
            <v>95902314</v>
          </cell>
          <cell r="B4313" t="str">
            <v>라이브 2211_2_8</v>
          </cell>
        </row>
        <row r="4314">
          <cell r="A4314">
            <v>95902315</v>
          </cell>
          <cell r="B4314" t="str">
            <v>라이브 2211_2_9</v>
          </cell>
        </row>
        <row r="4315">
          <cell r="A4315">
            <v>95902316</v>
          </cell>
          <cell r="B4315" t="str">
            <v>라이브 2211_2_10</v>
          </cell>
        </row>
        <row r="4316">
          <cell r="A4316">
            <v>95902317</v>
          </cell>
          <cell r="B4316" t="str">
            <v>라이브 2211_2_11</v>
          </cell>
        </row>
        <row r="4317">
          <cell r="A4317">
            <v>95902318</v>
          </cell>
          <cell r="B4317" t="str">
            <v>라이브 2211_2_12</v>
          </cell>
        </row>
        <row r="4318">
          <cell r="A4318">
            <v>95902319</v>
          </cell>
          <cell r="B4318" t="str">
            <v>라이브 2211_2_13</v>
          </cell>
        </row>
        <row r="4319">
          <cell r="A4319">
            <v>95902320</v>
          </cell>
          <cell r="B4319" t="str">
            <v>라이브 2211_2_14</v>
          </cell>
        </row>
        <row r="4320">
          <cell r="A4320">
            <v>95902321</v>
          </cell>
          <cell r="B4320" t="str">
            <v>라이브 2211_2_15</v>
          </cell>
        </row>
        <row r="4321">
          <cell r="A4321">
            <v>95902322</v>
          </cell>
          <cell r="B4321" t="str">
            <v>라이브 2211_2_16</v>
          </cell>
        </row>
        <row r="4322">
          <cell r="A4322">
            <v>95902323</v>
          </cell>
          <cell r="B4322" t="str">
            <v>라이브 2211_2_17</v>
          </cell>
        </row>
        <row r="4323">
          <cell r="A4323">
            <v>95902324</v>
          </cell>
          <cell r="B4323" t="str">
            <v>라이브 2211_2_18</v>
          </cell>
        </row>
        <row r="4324">
          <cell r="A4324">
            <v>95902325</v>
          </cell>
          <cell r="B4324" t="str">
            <v>라이브 2211_2_19</v>
          </cell>
        </row>
        <row r="4325">
          <cell r="A4325">
            <v>95902326</v>
          </cell>
          <cell r="B4325" t="str">
            <v>라이브 2211_2_20</v>
          </cell>
        </row>
        <row r="4326">
          <cell r="A4326">
            <v>95902327</v>
          </cell>
          <cell r="B4326" t="str">
            <v>라이브 2211_2_21</v>
          </cell>
        </row>
        <row r="4327">
          <cell r="A4327">
            <v>95902328</v>
          </cell>
          <cell r="B4327" t="str">
            <v>라이브 2211_2_22</v>
          </cell>
        </row>
        <row r="4328">
          <cell r="A4328">
            <v>95902329</v>
          </cell>
          <cell r="B4328" t="str">
            <v>라이브 2211_2_23</v>
          </cell>
        </row>
        <row r="4329">
          <cell r="A4329">
            <v>95902330</v>
          </cell>
          <cell r="B4329" t="str">
            <v>라이브 2211_2_24</v>
          </cell>
        </row>
        <row r="4330">
          <cell r="A4330">
            <v>95902331</v>
          </cell>
          <cell r="B4330" t="str">
            <v>라이브 2211_2_25</v>
          </cell>
        </row>
        <row r="4331">
          <cell r="A4331">
            <v>95902332</v>
          </cell>
          <cell r="B4331" t="str">
            <v>라이브 2212_1_1</v>
          </cell>
        </row>
        <row r="4332">
          <cell r="A4332">
            <v>95902333</v>
          </cell>
          <cell r="B4332" t="str">
            <v>라이브 2212_1_2</v>
          </cell>
        </row>
        <row r="4333">
          <cell r="A4333">
            <v>95902334</v>
          </cell>
          <cell r="B4333" t="str">
            <v>라이브 2212_1_3</v>
          </cell>
        </row>
        <row r="4334">
          <cell r="A4334">
            <v>95902335</v>
          </cell>
          <cell r="B4334" t="str">
            <v>라이브 2212_1_4</v>
          </cell>
        </row>
        <row r="4335">
          <cell r="A4335">
            <v>95902336</v>
          </cell>
          <cell r="B4335" t="str">
            <v>라이브 2212_1_5</v>
          </cell>
        </row>
        <row r="4336">
          <cell r="A4336">
            <v>95902337</v>
          </cell>
          <cell r="B4336" t="str">
            <v>라이브 2212_1_6</v>
          </cell>
        </row>
        <row r="4337">
          <cell r="A4337">
            <v>95902338</v>
          </cell>
          <cell r="B4337" t="str">
            <v>라이브 2212_1_7</v>
          </cell>
        </row>
        <row r="4338">
          <cell r="A4338">
            <v>95902339</v>
          </cell>
          <cell r="B4338" t="str">
            <v>라이브 2212_1_8</v>
          </cell>
        </row>
        <row r="4339">
          <cell r="A4339">
            <v>95902340</v>
          </cell>
          <cell r="B4339" t="str">
            <v>라이브 2212_1_9</v>
          </cell>
        </row>
        <row r="4340">
          <cell r="A4340">
            <v>95902341</v>
          </cell>
          <cell r="B4340" t="str">
            <v>라이브 2212_1_10</v>
          </cell>
        </row>
        <row r="4341">
          <cell r="A4341">
            <v>95902342</v>
          </cell>
          <cell r="B4341" t="str">
            <v>라이브 2212_1_11</v>
          </cell>
        </row>
        <row r="4342">
          <cell r="A4342">
            <v>95902343</v>
          </cell>
          <cell r="B4342" t="str">
            <v>라이브 2212_1_12</v>
          </cell>
        </row>
        <row r="4343">
          <cell r="A4343">
            <v>95902344</v>
          </cell>
          <cell r="B4343" t="str">
            <v>라이브 2212_1_13</v>
          </cell>
        </row>
        <row r="4344">
          <cell r="A4344">
            <v>95902345</v>
          </cell>
          <cell r="B4344" t="str">
            <v>라이브 2212_1_14</v>
          </cell>
        </row>
        <row r="4345">
          <cell r="A4345">
            <v>95902346</v>
          </cell>
          <cell r="B4345" t="str">
            <v>라이브 2212_1_15</v>
          </cell>
        </row>
        <row r="4346">
          <cell r="A4346">
            <v>95902347</v>
          </cell>
          <cell r="B4346" t="str">
            <v>라이브 2212_1_16</v>
          </cell>
        </row>
        <row r="4347">
          <cell r="A4347">
            <v>95902348</v>
          </cell>
          <cell r="B4347" t="str">
            <v>라이브 2212_1_17</v>
          </cell>
        </row>
        <row r="4348">
          <cell r="A4348">
            <v>95902349</v>
          </cell>
          <cell r="B4348" t="str">
            <v>라이브 2212_1_18</v>
          </cell>
        </row>
        <row r="4349">
          <cell r="A4349">
            <v>95902350</v>
          </cell>
          <cell r="B4349" t="str">
            <v>라이브 2212_1_19</v>
          </cell>
        </row>
        <row r="4350">
          <cell r="A4350">
            <v>95902351</v>
          </cell>
          <cell r="B4350" t="str">
            <v>라이브 2212_1_20</v>
          </cell>
        </row>
        <row r="4351">
          <cell r="A4351">
            <v>95902352</v>
          </cell>
          <cell r="B4351" t="str">
            <v>라이브 2212_1_21</v>
          </cell>
        </row>
        <row r="4352">
          <cell r="A4352">
            <v>95902353</v>
          </cell>
          <cell r="B4352" t="str">
            <v>라이브 2212_1_22</v>
          </cell>
        </row>
        <row r="4353">
          <cell r="A4353">
            <v>95902354</v>
          </cell>
          <cell r="B4353" t="str">
            <v>라이브 2212_1_23</v>
          </cell>
        </row>
        <row r="4354">
          <cell r="A4354">
            <v>95902355</v>
          </cell>
          <cell r="B4354" t="str">
            <v>라이브 2212_1_24</v>
          </cell>
        </row>
        <row r="4355">
          <cell r="A4355">
            <v>95902356</v>
          </cell>
          <cell r="B4355" t="str">
            <v>라이브 2212_2_1</v>
          </cell>
        </row>
        <row r="4356">
          <cell r="A4356">
            <v>95902357</v>
          </cell>
          <cell r="B4356" t="str">
            <v>라이브 2212_2_2</v>
          </cell>
        </row>
        <row r="4357">
          <cell r="A4357">
            <v>95902358</v>
          </cell>
          <cell r="B4357" t="str">
            <v>라이브 2212_2_3</v>
          </cell>
        </row>
        <row r="4358">
          <cell r="A4358">
            <v>95902359</v>
          </cell>
          <cell r="B4358" t="str">
            <v>라이브 2212_2_4</v>
          </cell>
        </row>
        <row r="4359">
          <cell r="A4359">
            <v>95902360</v>
          </cell>
          <cell r="B4359" t="str">
            <v>라이브 2212_2_5</v>
          </cell>
        </row>
        <row r="4360">
          <cell r="A4360">
            <v>95902361</v>
          </cell>
          <cell r="B4360" t="str">
            <v>라이브 2212_2_6</v>
          </cell>
        </row>
        <row r="4361">
          <cell r="A4361">
            <v>95902362</v>
          </cell>
          <cell r="B4361" t="str">
            <v>라이브 2212_2_7</v>
          </cell>
        </row>
        <row r="4362">
          <cell r="A4362">
            <v>95902363</v>
          </cell>
          <cell r="B4362" t="str">
            <v>라이브 2212_2_8</v>
          </cell>
        </row>
        <row r="4363">
          <cell r="A4363">
            <v>95902364</v>
          </cell>
          <cell r="B4363" t="str">
            <v>라이브 2212_2_9</v>
          </cell>
        </row>
        <row r="4364">
          <cell r="A4364">
            <v>95902365</v>
          </cell>
          <cell r="B4364" t="str">
            <v>라이브 2212_2_10</v>
          </cell>
        </row>
        <row r="4365">
          <cell r="A4365">
            <v>95902366</v>
          </cell>
          <cell r="B4365" t="str">
            <v>라이브 2212_2_11</v>
          </cell>
        </row>
        <row r="4366">
          <cell r="A4366">
            <v>95902367</v>
          </cell>
          <cell r="B4366" t="str">
            <v>라이브 2212_2_12</v>
          </cell>
        </row>
        <row r="4367">
          <cell r="A4367">
            <v>95902368</v>
          </cell>
          <cell r="B4367" t="str">
            <v>라이브 2212_2_13</v>
          </cell>
        </row>
        <row r="4368">
          <cell r="A4368">
            <v>95902369</v>
          </cell>
          <cell r="B4368" t="str">
            <v>라이브 2212_2_14</v>
          </cell>
        </row>
        <row r="4369">
          <cell r="A4369">
            <v>95902370</v>
          </cell>
          <cell r="B4369" t="str">
            <v>라이브 2212_2_15</v>
          </cell>
        </row>
        <row r="4370">
          <cell r="A4370">
            <v>95902371</v>
          </cell>
          <cell r="B4370" t="str">
            <v>라이브 2212_2_16</v>
          </cell>
        </row>
        <row r="4371">
          <cell r="A4371">
            <v>95902372</v>
          </cell>
          <cell r="B4371" t="str">
            <v>라이브 2212_2_17</v>
          </cell>
        </row>
        <row r="4372">
          <cell r="A4372">
            <v>95902373</v>
          </cell>
          <cell r="B4372" t="str">
            <v>라이브 2212_2_18</v>
          </cell>
        </row>
        <row r="4373">
          <cell r="A4373">
            <v>95902374</v>
          </cell>
          <cell r="B4373" t="str">
            <v>라이브 2212_2_19</v>
          </cell>
        </row>
        <row r="4374">
          <cell r="A4374">
            <v>95902375</v>
          </cell>
          <cell r="B4374" t="str">
            <v>라이브 2212_2_20</v>
          </cell>
        </row>
        <row r="4375">
          <cell r="A4375">
            <v>95902376</v>
          </cell>
          <cell r="B4375" t="str">
            <v>라이브 2212_2_21</v>
          </cell>
        </row>
        <row r="4376">
          <cell r="A4376">
            <v>95902377</v>
          </cell>
          <cell r="B4376" t="str">
            <v>라이브 2212_2_22</v>
          </cell>
        </row>
        <row r="4377">
          <cell r="A4377">
            <v>95902378</v>
          </cell>
          <cell r="B4377" t="str">
            <v>라이브 2212_2_23</v>
          </cell>
        </row>
        <row r="4378">
          <cell r="A4378">
            <v>95902379</v>
          </cell>
          <cell r="B4378" t="str">
            <v>라이브 2212_2_24</v>
          </cell>
        </row>
        <row r="4379">
          <cell r="A4379">
            <v>95905001</v>
          </cell>
          <cell r="B4379" t="str">
            <v>도전_최초_조안 페레로_LV15_1</v>
          </cell>
        </row>
        <row r="4380">
          <cell r="A4380">
            <v>95905002</v>
          </cell>
          <cell r="B4380" t="str">
            <v>도전_최초_조안 페레로_LV30_1</v>
          </cell>
        </row>
        <row r="4381">
          <cell r="A4381">
            <v>95905003</v>
          </cell>
          <cell r="B4381" t="str">
            <v>도전_최초_조안 페레로_LV30_2</v>
          </cell>
        </row>
        <row r="4382">
          <cell r="A4382">
            <v>95905004</v>
          </cell>
          <cell r="B4382" t="str">
            <v>도전_최초_조안 페레로_LV50_1</v>
          </cell>
        </row>
        <row r="4383">
          <cell r="A4383">
            <v>95905005</v>
          </cell>
          <cell r="B4383" t="str">
            <v>도전_최초_카탈리나 에란초_LV10_1</v>
          </cell>
        </row>
        <row r="4384">
          <cell r="A4384">
            <v>95905006</v>
          </cell>
          <cell r="B4384" t="str">
            <v>도전_최초_카탈리나 에란초_LV10_2</v>
          </cell>
        </row>
        <row r="4385">
          <cell r="A4385">
            <v>95905007</v>
          </cell>
          <cell r="B4385" t="str">
            <v>도전_최초_카탈리나 에란초_LV20_1</v>
          </cell>
        </row>
        <row r="4386">
          <cell r="A4386">
            <v>95905008</v>
          </cell>
          <cell r="B4386" t="str">
            <v>도전_최초_카탈리나 에란초_LV30_1</v>
          </cell>
        </row>
        <row r="4387">
          <cell r="A4387">
            <v>95905009</v>
          </cell>
          <cell r="B4387" t="str">
            <v>도전_최초_카탈리나 에란초_LV30_2</v>
          </cell>
        </row>
        <row r="4388">
          <cell r="A4388">
            <v>95905010</v>
          </cell>
          <cell r="B4388" t="str">
            <v>도전_최초_카탈리나 에란초_LV50_1</v>
          </cell>
        </row>
        <row r="4389">
          <cell r="A4389">
            <v>95905011</v>
          </cell>
          <cell r="B4389" t="str">
            <v>도전_최초_옷토 스피노라_LV25_1</v>
          </cell>
        </row>
        <row r="4390">
          <cell r="A4390">
            <v>95905012</v>
          </cell>
          <cell r="B4390" t="str">
            <v>도전_최초_옷토 스피노라_LV30_1</v>
          </cell>
        </row>
        <row r="4391">
          <cell r="A4391">
            <v>95905013</v>
          </cell>
          <cell r="B4391" t="str">
            <v>도전_최초_옷토 스피노라_LV40_1</v>
          </cell>
        </row>
        <row r="4392">
          <cell r="A4392">
            <v>95905014</v>
          </cell>
          <cell r="B4392" t="str">
            <v>도전_최초_옷토 스피노라_LV50_1</v>
          </cell>
        </row>
        <row r="4393">
          <cell r="A4393">
            <v>95905015</v>
          </cell>
          <cell r="B4393" t="str">
            <v>도전_최초_옷토 스피노라_LV10_1</v>
          </cell>
        </row>
        <row r="4394">
          <cell r="A4394">
            <v>95905016</v>
          </cell>
          <cell r="B4394" t="str">
            <v>도전_최초_옷토 스피노라_LV10_2</v>
          </cell>
        </row>
        <row r="4395">
          <cell r="A4395">
            <v>95905017</v>
          </cell>
          <cell r="B4395" t="str">
            <v>도전_최초_옷토 스피노라_LV10_3</v>
          </cell>
        </row>
        <row r="4396">
          <cell r="A4396">
            <v>95905018</v>
          </cell>
          <cell r="B4396" t="str">
            <v>도전_최초_알 베자스_LV10_1</v>
          </cell>
        </row>
        <row r="4397">
          <cell r="A4397">
            <v>95905019</v>
          </cell>
          <cell r="B4397" t="str">
            <v>도전_최초_초급 전투 학습_1</v>
          </cell>
        </row>
        <row r="4398">
          <cell r="A4398">
            <v>95905020</v>
          </cell>
          <cell r="B4398" t="str">
            <v>도전_미션_초급 전투 학습_1_1</v>
          </cell>
        </row>
        <row r="4399">
          <cell r="A4399">
            <v>95905021</v>
          </cell>
          <cell r="B4399" t="str">
            <v>도전_미션_초급 전투 학습_1_2</v>
          </cell>
        </row>
        <row r="4400">
          <cell r="A4400">
            <v>95905022</v>
          </cell>
          <cell r="B4400" t="str">
            <v>도전_미션_초급 전투 학습_1_3</v>
          </cell>
        </row>
        <row r="4401">
          <cell r="A4401">
            <v>95905023</v>
          </cell>
          <cell r="B4401" t="str">
            <v>도전_최초_초급 전투 학습_2</v>
          </cell>
        </row>
        <row r="4402">
          <cell r="A4402">
            <v>95905024</v>
          </cell>
          <cell r="B4402" t="str">
            <v>도전_미션_초급 전투 학습_2_1</v>
          </cell>
        </row>
        <row r="4403">
          <cell r="A4403">
            <v>95905025</v>
          </cell>
          <cell r="B4403" t="str">
            <v>도전_미션_초급 전투 학습_2_2</v>
          </cell>
        </row>
        <row r="4404">
          <cell r="A4404">
            <v>95905026</v>
          </cell>
          <cell r="B4404" t="str">
            <v>도전_미션_초급 전투 학습_2_3</v>
          </cell>
        </row>
        <row r="4405">
          <cell r="A4405">
            <v>95905027</v>
          </cell>
          <cell r="B4405" t="str">
            <v>도전_최초_중급 전투 학습_1</v>
          </cell>
        </row>
        <row r="4406">
          <cell r="A4406">
            <v>95905028</v>
          </cell>
          <cell r="B4406" t="str">
            <v>도전_미션_중급 전투 학습_1_1</v>
          </cell>
        </row>
        <row r="4407">
          <cell r="A4407">
            <v>95905029</v>
          </cell>
          <cell r="B4407" t="str">
            <v>도전_미션_중급 전투 학습_1_2</v>
          </cell>
        </row>
        <row r="4408">
          <cell r="A4408">
            <v>95905030</v>
          </cell>
          <cell r="B4408" t="str">
            <v>도전_미션_중급 전투 학습_1_3</v>
          </cell>
        </row>
        <row r="4409">
          <cell r="A4409">
            <v>95905031</v>
          </cell>
          <cell r="B4409" t="str">
            <v>도전_최초_중급 전투 학습_2</v>
          </cell>
        </row>
        <row r="4410">
          <cell r="A4410">
            <v>95905032</v>
          </cell>
          <cell r="B4410" t="str">
            <v>도전_미션_중급 전투 학습_2_1</v>
          </cell>
        </row>
        <row r="4411">
          <cell r="A4411">
            <v>95905033</v>
          </cell>
          <cell r="B4411" t="str">
            <v>도전_미션_중급 전투 학습_2_2</v>
          </cell>
        </row>
        <row r="4412">
          <cell r="A4412">
            <v>95905034</v>
          </cell>
          <cell r="B4412" t="str">
            <v>도전_미션_중급 전투 학습_2_3</v>
          </cell>
        </row>
        <row r="4413">
          <cell r="A4413">
            <v>95905035</v>
          </cell>
          <cell r="B4413" t="str">
            <v>도전_최초_중급 전투 학습_3</v>
          </cell>
        </row>
        <row r="4414">
          <cell r="A4414">
            <v>95905036</v>
          </cell>
          <cell r="B4414" t="str">
            <v>도전_미션_중급 전투 학습_3_1</v>
          </cell>
        </row>
        <row r="4415">
          <cell r="A4415">
            <v>95905037</v>
          </cell>
          <cell r="B4415" t="str">
            <v>도전_미션_중급 전투 학습_3_2</v>
          </cell>
        </row>
        <row r="4416">
          <cell r="A4416">
            <v>95905038</v>
          </cell>
          <cell r="B4416" t="str">
            <v>도전_미션_중급 전투 학습_3_3</v>
          </cell>
        </row>
        <row r="4417">
          <cell r="A4417">
            <v>95905039</v>
          </cell>
          <cell r="B4417" t="str">
            <v>도전_최초_상급 전투 학습_1</v>
          </cell>
        </row>
        <row r="4418">
          <cell r="A4418">
            <v>95905040</v>
          </cell>
          <cell r="B4418" t="str">
            <v>도전_미션_상급 전투 학습_1_1</v>
          </cell>
        </row>
        <row r="4419">
          <cell r="A4419">
            <v>95905041</v>
          </cell>
          <cell r="B4419" t="str">
            <v>도전_미션_상급 전투 학습_1_2</v>
          </cell>
        </row>
        <row r="4420">
          <cell r="A4420">
            <v>95905042</v>
          </cell>
          <cell r="B4420" t="str">
            <v>도전_미션_상급 전투 학습_1_3</v>
          </cell>
        </row>
        <row r="4421">
          <cell r="A4421">
            <v>95905043</v>
          </cell>
          <cell r="B4421" t="str">
            <v>도전_최초_상급 전투 학습_2</v>
          </cell>
        </row>
        <row r="4422">
          <cell r="A4422">
            <v>95905044</v>
          </cell>
          <cell r="B4422" t="str">
            <v>도전_미션_상급 전투 학습_2_1</v>
          </cell>
        </row>
        <row r="4423">
          <cell r="A4423">
            <v>95905045</v>
          </cell>
          <cell r="B4423" t="str">
            <v>도전_미션_상급 전투 학습_2_2</v>
          </cell>
        </row>
        <row r="4424">
          <cell r="A4424">
            <v>95905046</v>
          </cell>
          <cell r="B4424" t="str">
            <v>도전_미션_상급 전투 학습_2_3</v>
          </cell>
        </row>
        <row r="4425">
          <cell r="A4425">
            <v>95905047</v>
          </cell>
          <cell r="B4425" t="str">
            <v>도전_최초_앤 보니1_난이도1</v>
          </cell>
        </row>
        <row r="4426">
          <cell r="A4426">
            <v>95905048</v>
          </cell>
          <cell r="B4426" t="str">
            <v>도전_최초_앤 보니2_난이도1</v>
          </cell>
        </row>
        <row r="4427">
          <cell r="A4427">
            <v>95905049</v>
          </cell>
          <cell r="B4427" t="str">
            <v>도전_최초_앤 보니3_난이도1</v>
          </cell>
        </row>
        <row r="4428">
          <cell r="A4428">
            <v>95905050</v>
          </cell>
          <cell r="B4428" t="str">
            <v>도전_최초_앤 보니4_난이도1</v>
          </cell>
        </row>
        <row r="4429">
          <cell r="A4429">
            <v>95905051</v>
          </cell>
          <cell r="B4429" t="str">
            <v>도전_최초_앤 보니5_난이도1</v>
          </cell>
        </row>
        <row r="4430">
          <cell r="A4430">
            <v>95905052</v>
          </cell>
          <cell r="B4430" t="str">
            <v>도전_최초_앤 보니6_난이도1</v>
          </cell>
        </row>
        <row r="4431">
          <cell r="A4431">
            <v>95905053</v>
          </cell>
          <cell r="B4431" t="str">
            <v>도전_최초_앤 보니7_난이도1</v>
          </cell>
        </row>
        <row r="4432">
          <cell r="A4432">
            <v>95905054</v>
          </cell>
          <cell r="B4432" t="str">
            <v>도전_NEW_기초 전투 학습1_최초</v>
          </cell>
        </row>
        <row r="4433">
          <cell r="A4433">
            <v>95905055</v>
          </cell>
          <cell r="B4433" t="str">
            <v>도전_NEW_기초 전투 학습1_미션1</v>
          </cell>
        </row>
        <row r="4434">
          <cell r="A4434">
            <v>95905056</v>
          </cell>
          <cell r="B4434" t="str">
            <v>도전_NEW_기초 전투 학습1_미션2</v>
          </cell>
        </row>
        <row r="4435">
          <cell r="A4435">
            <v>95905057</v>
          </cell>
          <cell r="B4435" t="str">
            <v>도전_NEW_기초 전투 학습1_미션3</v>
          </cell>
        </row>
        <row r="4436">
          <cell r="A4436">
            <v>95905058</v>
          </cell>
          <cell r="B4436" t="str">
            <v>도전_NEW_기초 전투 학습2_최초</v>
          </cell>
        </row>
        <row r="4437">
          <cell r="A4437">
            <v>95905059</v>
          </cell>
          <cell r="B4437" t="str">
            <v>도전_NEW_기초 전투 학습2_미션1</v>
          </cell>
        </row>
        <row r="4438">
          <cell r="A4438">
            <v>95905060</v>
          </cell>
          <cell r="B4438" t="str">
            <v>도전_NEW_기초 전투 학습2_미션2</v>
          </cell>
        </row>
        <row r="4439">
          <cell r="A4439">
            <v>95905061</v>
          </cell>
          <cell r="B4439" t="str">
            <v>도전_NEW_기초 전투 학습2_미션3</v>
          </cell>
        </row>
        <row r="4440">
          <cell r="A4440">
            <v>95905062</v>
          </cell>
          <cell r="B4440" t="str">
            <v>도전_NEW_기초 전투 학습3_최초</v>
          </cell>
        </row>
        <row r="4441">
          <cell r="A4441">
            <v>95905063</v>
          </cell>
          <cell r="B4441" t="str">
            <v>도전_NEW_기초 전투 학습3_미션1</v>
          </cell>
        </row>
        <row r="4442">
          <cell r="A4442">
            <v>95905064</v>
          </cell>
          <cell r="B4442" t="str">
            <v>도전_NEW_기초 전투 학습3_미션2</v>
          </cell>
        </row>
        <row r="4443">
          <cell r="A4443">
            <v>95905065</v>
          </cell>
          <cell r="B4443" t="str">
            <v>도전_NEW_기초 전투 학습3_미션3</v>
          </cell>
        </row>
        <row r="4444">
          <cell r="A4444">
            <v>95905066</v>
          </cell>
          <cell r="B4444" t="str">
            <v>도전_NEW_심화 전투 학습1_최초</v>
          </cell>
        </row>
        <row r="4445">
          <cell r="A4445">
            <v>95905067</v>
          </cell>
          <cell r="B4445" t="str">
            <v>도전_NEW_심화 전투 학습1_미션1</v>
          </cell>
        </row>
        <row r="4446">
          <cell r="A4446">
            <v>95905068</v>
          </cell>
          <cell r="B4446" t="str">
            <v>도전_NEW_심화 전투 학습1_미션2</v>
          </cell>
        </row>
        <row r="4447">
          <cell r="A4447">
            <v>95905069</v>
          </cell>
          <cell r="B4447" t="str">
            <v>도전_NEW_심화 전투 학습1_미션3</v>
          </cell>
        </row>
        <row r="4448">
          <cell r="A4448">
            <v>95905070</v>
          </cell>
          <cell r="B4448" t="str">
            <v>도전_NEW_심화 전투 학습2_최초</v>
          </cell>
        </row>
        <row r="4449">
          <cell r="A4449">
            <v>95905071</v>
          </cell>
          <cell r="B4449" t="str">
            <v>도전_NEW_심화 전투 학습2_미션1</v>
          </cell>
        </row>
        <row r="4450">
          <cell r="A4450">
            <v>95905072</v>
          </cell>
          <cell r="B4450" t="str">
            <v>도전_NEW_심화 전투 학습2_미션2</v>
          </cell>
        </row>
        <row r="4451">
          <cell r="A4451">
            <v>95905073</v>
          </cell>
          <cell r="B4451" t="str">
            <v>도전_NEW_심화 전투 학습2_미션3</v>
          </cell>
        </row>
        <row r="4452">
          <cell r="A4452">
            <v>95905074</v>
          </cell>
          <cell r="B4452" t="str">
            <v>도전_NEW_심화 전투 학습3_최초</v>
          </cell>
        </row>
        <row r="4453">
          <cell r="A4453">
            <v>95905075</v>
          </cell>
          <cell r="B4453" t="str">
            <v>도전_NEW_심화 전투 학습3_미션1</v>
          </cell>
        </row>
        <row r="4454">
          <cell r="A4454">
            <v>95905076</v>
          </cell>
          <cell r="B4454" t="str">
            <v>도전_NEW_심화 전투 학습3_미션2</v>
          </cell>
        </row>
        <row r="4455">
          <cell r="A4455">
            <v>95905077</v>
          </cell>
          <cell r="B4455" t="str">
            <v>도전_NEW_심화 전투 학습3_미션3</v>
          </cell>
        </row>
        <row r="4456">
          <cell r="A4456">
            <v>95905078</v>
          </cell>
          <cell r="B4456" t="str">
            <v>도전_알제 수금함대(백병)_난이도1_최초</v>
          </cell>
        </row>
        <row r="4457">
          <cell r="A4457">
            <v>95905079</v>
          </cell>
          <cell r="B4457" t="str">
            <v>도전_알제 수금함대(백병)_난이도1_미션1</v>
          </cell>
        </row>
        <row r="4458">
          <cell r="A4458">
            <v>95905080</v>
          </cell>
          <cell r="B4458" t="str">
            <v>도전_알제 수금함대(백병)_난이도1_미션2</v>
          </cell>
        </row>
        <row r="4459">
          <cell r="A4459">
            <v>95905081</v>
          </cell>
          <cell r="B4459" t="str">
            <v>도전_알제 수금함대(백병)_난이도1_미션3</v>
          </cell>
        </row>
        <row r="4460">
          <cell r="A4460">
            <v>95905082</v>
          </cell>
          <cell r="B4460" t="str">
            <v>도전_알제 수금함대(백병)_난이도2_최초</v>
          </cell>
        </row>
        <row r="4461">
          <cell r="A4461">
            <v>95905083</v>
          </cell>
          <cell r="B4461" t="str">
            <v>도전_알제 수금함대(백병)_난이도2_미션1</v>
          </cell>
        </row>
        <row r="4462">
          <cell r="A4462">
            <v>95905084</v>
          </cell>
          <cell r="B4462" t="str">
            <v>도전_알제 수금함대(백병)_난이도2_미션2</v>
          </cell>
        </row>
        <row r="4463">
          <cell r="A4463">
            <v>95905085</v>
          </cell>
          <cell r="B4463" t="str">
            <v>도전_알제 수금함대(백병)_난이도2_미션3</v>
          </cell>
        </row>
        <row r="4464">
          <cell r="A4464">
            <v>95905086</v>
          </cell>
          <cell r="B4464" t="str">
            <v>도전_알제 수금함대(백병)_난이도3_최초</v>
          </cell>
        </row>
        <row r="4465">
          <cell r="A4465">
            <v>95905087</v>
          </cell>
          <cell r="B4465" t="str">
            <v>도전_알제 수금함대(백병)_난이도3_미션1</v>
          </cell>
        </row>
        <row r="4466">
          <cell r="A4466">
            <v>95905088</v>
          </cell>
          <cell r="B4466" t="str">
            <v>도전_알제 수금함대(백병)_난이도3_미션2</v>
          </cell>
        </row>
        <row r="4467">
          <cell r="A4467">
            <v>95905089</v>
          </cell>
          <cell r="B4467" t="str">
            <v>도전_알제 수금함대(백병)_난이도3_미션3</v>
          </cell>
        </row>
        <row r="4468">
          <cell r="A4468">
            <v>95905090</v>
          </cell>
          <cell r="B4468" t="str">
            <v>도전_알제 수금함대(포격)_난이도1_최초</v>
          </cell>
        </row>
        <row r="4469">
          <cell r="A4469">
            <v>95905091</v>
          </cell>
          <cell r="B4469" t="str">
            <v>도전_알제 수금함대(포격)_난이도1_미션1</v>
          </cell>
        </row>
        <row r="4470">
          <cell r="A4470">
            <v>95905092</v>
          </cell>
          <cell r="B4470" t="str">
            <v>도전_알제 수금함대(포격)_난이도1_미션2</v>
          </cell>
        </row>
        <row r="4471">
          <cell r="A4471">
            <v>95905093</v>
          </cell>
          <cell r="B4471" t="str">
            <v>도전_알제 수금함대(포격)_난이도1_미션3</v>
          </cell>
        </row>
        <row r="4472">
          <cell r="A4472">
            <v>95905094</v>
          </cell>
          <cell r="B4472" t="str">
            <v>도전_알제 수금함대(포격)_난이도2_최초</v>
          </cell>
        </row>
        <row r="4473">
          <cell r="A4473">
            <v>95905095</v>
          </cell>
          <cell r="B4473" t="str">
            <v>도전_알제 수금함대(포격)_난이도2_미션1</v>
          </cell>
        </row>
        <row r="4474">
          <cell r="A4474">
            <v>95905096</v>
          </cell>
          <cell r="B4474" t="str">
            <v>도전_알제 수금함대(포격)_난이도2_미션2</v>
          </cell>
        </row>
        <row r="4475">
          <cell r="A4475">
            <v>95905097</v>
          </cell>
          <cell r="B4475" t="str">
            <v>도전_알제 수금함대(포격)_난이도2_미션3</v>
          </cell>
        </row>
        <row r="4476">
          <cell r="A4476">
            <v>95905098</v>
          </cell>
          <cell r="B4476" t="str">
            <v>도전_알제 수금함대(포격)_난이도3_최초</v>
          </cell>
        </row>
        <row r="4477">
          <cell r="A4477">
            <v>95905099</v>
          </cell>
          <cell r="B4477" t="str">
            <v>도전_알제 수금함대(포격)_난이도3_미션1</v>
          </cell>
        </row>
        <row r="4478">
          <cell r="A4478">
            <v>95905100</v>
          </cell>
          <cell r="B4478" t="str">
            <v>도전_알제 수금함대(포격)_난이도3_미션2</v>
          </cell>
        </row>
        <row r="4479">
          <cell r="A4479">
            <v>95905101</v>
          </cell>
          <cell r="B4479" t="str">
            <v>도전_알제 수금함대(포격)_난이도3_미션3</v>
          </cell>
        </row>
        <row r="4480">
          <cell r="A4480">
            <v>95905102</v>
          </cell>
          <cell r="B4480" t="str">
            <v>도전_알제 수금함대(충파)_난이도1_최초</v>
          </cell>
        </row>
        <row r="4481">
          <cell r="A4481">
            <v>95905103</v>
          </cell>
          <cell r="B4481" t="str">
            <v>도전_알제 수금함대(충파)_난이도1_미션1</v>
          </cell>
        </row>
        <row r="4482">
          <cell r="A4482">
            <v>95905104</v>
          </cell>
          <cell r="B4482" t="str">
            <v>도전_알제 수금함대(충파)_난이도1_미션2</v>
          </cell>
        </row>
        <row r="4483">
          <cell r="A4483">
            <v>95905105</v>
          </cell>
          <cell r="B4483" t="str">
            <v>도전_알제 수금함대(충파)_난이도1_미션3</v>
          </cell>
        </row>
        <row r="4484">
          <cell r="A4484">
            <v>95905106</v>
          </cell>
          <cell r="B4484" t="str">
            <v>도전_알제 수금함대(충파)_난이도2_최초</v>
          </cell>
        </row>
        <row r="4485">
          <cell r="A4485">
            <v>95905107</v>
          </cell>
          <cell r="B4485" t="str">
            <v>도전_알제 수금함대(충파)_난이도2_미션1</v>
          </cell>
        </row>
        <row r="4486">
          <cell r="A4486">
            <v>95905108</v>
          </cell>
          <cell r="B4486" t="str">
            <v>도전_알제 수금함대(충파)_난이도2_미션2</v>
          </cell>
        </row>
        <row r="4487">
          <cell r="A4487">
            <v>95905109</v>
          </cell>
          <cell r="B4487" t="str">
            <v>도전_알제 수금함대(충파)_난이도2_미션3</v>
          </cell>
        </row>
        <row r="4488">
          <cell r="A4488">
            <v>95905110</v>
          </cell>
          <cell r="B4488" t="str">
            <v>도전_알제 수금함대(충파)_난이도3_최초</v>
          </cell>
        </row>
        <row r="4489">
          <cell r="A4489">
            <v>95905111</v>
          </cell>
          <cell r="B4489" t="str">
            <v>도전_알제 수금함대(충파)_난이도3_미션1</v>
          </cell>
        </row>
        <row r="4490">
          <cell r="A4490">
            <v>95905112</v>
          </cell>
          <cell r="B4490" t="str">
            <v>도전_알제 수금함대(충파)_난이도3_미션2</v>
          </cell>
        </row>
        <row r="4491">
          <cell r="A4491">
            <v>95905113</v>
          </cell>
          <cell r="B4491" t="str">
            <v>도전_알제 수금함대(충파)_난이도3_미션3</v>
          </cell>
        </row>
        <row r="4492">
          <cell r="A4492">
            <v>95905114</v>
          </cell>
          <cell r="B4492" t="str">
            <v>도전_후퇴를 모르는 자_난이도1_최초</v>
          </cell>
        </row>
        <row r="4493">
          <cell r="A4493">
            <v>95905115</v>
          </cell>
          <cell r="B4493" t="str">
            <v>도전_후퇴를 모르는 자_난이도1_미션1</v>
          </cell>
        </row>
        <row r="4494">
          <cell r="A4494">
            <v>95905116</v>
          </cell>
          <cell r="B4494" t="str">
            <v>도전_후퇴를 모르는 자_난이도1_미션2</v>
          </cell>
        </row>
        <row r="4495">
          <cell r="A4495">
            <v>95905117</v>
          </cell>
          <cell r="B4495" t="str">
            <v>도전_후퇴를 모르는 자_난이도1_미션3</v>
          </cell>
        </row>
        <row r="4496">
          <cell r="A4496">
            <v>95905118</v>
          </cell>
          <cell r="B4496" t="str">
            <v>도전_후퇴를 모르는 자_난이도2_최초</v>
          </cell>
        </row>
        <row r="4497">
          <cell r="A4497">
            <v>95905119</v>
          </cell>
          <cell r="B4497" t="str">
            <v>도전_후퇴를 모르는 자_난이도2_미션1</v>
          </cell>
        </row>
        <row r="4498">
          <cell r="A4498">
            <v>95905120</v>
          </cell>
          <cell r="B4498" t="str">
            <v>도전_후퇴를 모르는 자_난이도2_미션2</v>
          </cell>
        </row>
        <row r="4499">
          <cell r="A4499">
            <v>95905121</v>
          </cell>
          <cell r="B4499" t="str">
            <v>도전_후퇴를 모르는 자_난이도2_미션3</v>
          </cell>
        </row>
        <row r="4500">
          <cell r="A4500">
            <v>95905122</v>
          </cell>
          <cell r="B4500" t="str">
            <v>도전_후퇴를 모르는 자_난이도3_최초</v>
          </cell>
        </row>
        <row r="4501">
          <cell r="A4501">
            <v>95905123</v>
          </cell>
          <cell r="B4501" t="str">
            <v>도전_후퇴를 모르는 자_난이도3_미션1</v>
          </cell>
        </row>
        <row r="4502">
          <cell r="A4502">
            <v>95905124</v>
          </cell>
          <cell r="B4502" t="str">
            <v>도전_후퇴를 모르는 자_난이도3_미션2</v>
          </cell>
        </row>
        <row r="4503">
          <cell r="A4503">
            <v>95905125</v>
          </cell>
          <cell r="B4503" t="str">
            <v>도전_후퇴를 모르는 자_난이도3_미션3</v>
          </cell>
        </row>
        <row r="4504">
          <cell r="A4504">
            <v>95910001</v>
          </cell>
          <cell r="B4504" t="str">
            <v>출석 1일차</v>
          </cell>
        </row>
        <row r="4505">
          <cell r="A4505">
            <v>95910002</v>
          </cell>
          <cell r="B4505" t="str">
            <v>출석 2일차</v>
          </cell>
        </row>
        <row r="4506">
          <cell r="A4506">
            <v>95910003</v>
          </cell>
          <cell r="B4506" t="str">
            <v>출석 3일차</v>
          </cell>
        </row>
        <row r="4507">
          <cell r="A4507">
            <v>95910004</v>
          </cell>
          <cell r="B4507" t="str">
            <v>출석 4일차</v>
          </cell>
        </row>
        <row r="4508">
          <cell r="A4508">
            <v>95910005</v>
          </cell>
          <cell r="B4508" t="str">
            <v>출석 5일차</v>
          </cell>
        </row>
        <row r="4509">
          <cell r="A4509">
            <v>95910006</v>
          </cell>
          <cell r="B4509" t="str">
            <v>출석 6일차</v>
          </cell>
        </row>
        <row r="4510">
          <cell r="A4510">
            <v>95910007</v>
          </cell>
          <cell r="B4510" t="str">
            <v>출석 7일차</v>
          </cell>
        </row>
        <row r="4511">
          <cell r="A4511">
            <v>95910008</v>
          </cell>
          <cell r="B4511" t="str">
            <v>출석 8일차</v>
          </cell>
        </row>
        <row r="4512">
          <cell r="A4512">
            <v>95910009</v>
          </cell>
          <cell r="B4512" t="str">
            <v>출석 9일차</v>
          </cell>
        </row>
        <row r="4513">
          <cell r="A4513">
            <v>95910010</v>
          </cell>
          <cell r="B4513" t="str">
            <v>출석 10일차</v>
          </cell>
        </row>
        <row r="4514">
          <cell r="A4514">
            <v>95910011</v>
          </cell>
          <cell r="B4514" t="str">
            <v>출석 11일차</v>
          </cell>
        </row>
        <row r="4515">
          <cell r="A4515">
            <v>95910012</v>
          </cell>
          <cell r="B4515" t="str">
            <v>출석 12일차</v>
          </cell>
        </row>
        <row r="4516">
          <cell r="A4516">
            <v>95910013</v>
          </cell>
          <cell r="B4516" t="str">
            <v>출석 13일차</v>
          </cell>
        </row>
        <row r="4517">
          <cell r="A4517">
            <v>95910014</v>
          </cell>
          <cell r="B4517" t="str">
            <v>출석 14일차</v>
          </cell>
        </row>
        <row r="4518">
          <cell r="A4518">
            <v>95910015</v>
          </cell>
          <cell r="B4518" t="str">
            <v>출석 15일차</v>
          </cell>
        </row>
        <row r="4519">
          <cell r="A4519">
            <v>95910016</v>
          </cell>
          <cell r="B4519" t="str">
            <v>출석 16일차</v>
          </cell>
        </row>
        <row r="4520">
          <cell r="A4520">
            <v>95910017</v>
          </cell>
          <cell r="B4520" t="str">
            <v>출석 17일차</v>
          </cell>
        </row>
        <row r="4521">
          <cell r="A4521">
            <v>95910018</v>
          </cell>
          <cell r="B4521" t="str">
            <v>출석 18일차</v>
          </cell>
        </row>
        <row r="4522">
          <cell r="A4522">
            <v>95910019</v>
          </cell>
          <cell r="B4522" t="str">
            <v>출석 19일차</v>
          </cell>
        </row>
        <row r="4523">
          <cell r="A4523">
            <v>95910020</v>
          </cell>
          <cell r="B4523" t="str">
            <v>출석 20일차</v>
          </cell>
        </row>
        <row r="4524">
          <cell r="A4524">
            <v>95910021</v>
          </cell>
          <cell r="B4524" t="str">
            <v>출석 21일차</v>
          </cell>
        </row>
        <row r="4525">
          <cell r="A4525">
            <v>95910022</v>
          </cell>
          <cell r="B4525" t="str">
            <v>출석 22일차</v>
          </cell>
        </row>
        <row r="4526">
          <cell r="A4526">
            <v>95910023</v>
          </cell>
          <cell r="B4526" t="str">
            <v>출석 23일차</v>
          </cell>
        </row>
        <row r="4527">
          <cell r="A4527">
            <v>95910024</v>
          </cell>
          <cell r="B4527" t="str">
            <v>출석 24일차</v>
          </cell>
        </row>
        <row r="4528">
          <cell r="A4528">
            <v>95910025</v>
          </cell>
          <cell r="B4528" t="str">
            <v>출석 25일차</v>
          </cell>
        </row>
        <row r="4529">
          <cell r="A4529">
            <v>95910026</v>
          </cell>
          <cell r="B4529" t="str">
            <v>출석 26일차</v>
          </cell>
        </row>
        <row r="4530">
          <cell r="A4530">
            <v>95910027</v>
          </cell>
          <cell r="B4530" t="str">
            <v>출석 27일차</v>
          </cell>
        </row>
        <row r="4531">
          <cell r="A4531">
            <v>95910028</v>
          </cell>
          <cell r="B4531" t="str">
            <v>출석 28일차</v>
          </cell>
        </row>
        <row r="4532">
          <cell r="A4532">
            <v>95910029</v>
          </cell>
          <cell r="B4532" t="str">
            <v>출석 29일차</v>
          </cell>
        </row>
        <row r="4533">
          <cell r="A4533">
            <v>95910030</v>
          </cell>
          <cell r="B4533" t="str">
            <v>출석 30일차</v>
          </cell>
        </row>
        <row r="4534">
          <cell r="A4534">
            <v>95910031</v>
          </cell>
          <cell r="B4534" t="str">
            <v>출석 31일차</v>
          </cell>
        </row>
        <row r="4535">
          <cell r="A4535">
            <v>95910032</v>
          </cell>
          <cell r="B4535" t="str">
            <v>주간 과제 모험</v>
          </cell>
        </row>
        <row r="4536">
          <cell r="A4536">
            <v>95910033</v>
          </cell>
          <cell r="B4536" t="str">
            <v>주간 과제 전투</v>
          </cell>
        </row>
        <row r="4537">
          <cell r="A4537">
            <v>95910034</v>
          </cell>
          <cell r="B4537" t="str">
            <v>주간 과제 교역</v>
          </cell>
        </row>
        <row r="4538">
          <cell r="A4538">
            <v>95910035</v>
          </cell>
          <cell r="B4538" t="str">
            <v>월간 과제 모험</v>
          </cell>
        </row>
        <row r="4539">
          <cell r="A4539">
            <v>95910036</v>
          </cell>
          <cell r="B4539" t="str">
            <v>월간 과제 전투</v>
          </cell>
        </row>
        <row r="4540">
          <cell r="A4540">
            <v>95910037</v>
          </cell>
          <cell r="B4540" t="str">
            <v>월간 과제 교역</v>
          </cell>
        </row>
        <row r="4541">
          <cell r="A4541">
            <v>95910038</v>
          </cell>
          <cell r="B4541" t="str">
            <v>일간 모두 완료</v>
          </cell>
        </row>
        <row r="4542">
          <cell r="A4542">
            <v>95910039</v>
          </cell>
          <cell r="B4542" t="str">
            <v>주간 모두 완료</v>
          </cell>
        </row>
        <row r="4543">
          <cell r="A4543">
            <v>95910040</v>
          </cell>
          <cell r="B4543" t="str">
            <v>월간 모두 완료</v>
          </cell>
        </row>
        <row r="4544">
          <cell r="A4544">
            <v>95910041</v>
          </cell>
          <cell r="B4544" t="str">
            <v>일간 1-13 모험</v>
          </cell>
        </row>
        <row r="4545">
          <cell r="A4545">
            <v>95910042</v>
          </cell>
          <cell r="B4545" t="str">
            <v>일간 14-20 모험</v>
          </cell>
        </row>
        <row r="4546">
          <cell r="A4546">
            <v>95910043</v>
          </cell>
          <cell r="B4546" t="str">
            <v>일간 21-30 모험</v>
          </cell>
        </row>
        <row r="4547">
          <cell r="A4547">
            <v>95910044</v>
          </cell>
          <cell r="B4547" t="str">
            <v>일간 31-40 모험</v>
          </cell>
        </row>
        <row r="4548">
          <cell r="A4548">
            <v>95910045</v>
          </cell>
          <cell r="B4548" t="str">
            <v>일간 41-50 모험</v>
          </cell>
        </row>
        <row r="4549">
          <cell r="A4549">
            <v>95910046</v>
          </cell>
          <cell r="B4549" t="str">
            <v>일간 51-60 모험</v>
          </cell>
        </row>
        <row r="4550">
          <cell r="A4550">
            <v>95910047</v>
          </cell>
          <cell r="B4550" t="str">
            <v>일간 61-70 모험</v>
          </cell>
        </row>
        <row r="4551">
          <cell r="A4551">
            <v>95910048</v>
          </cell>
          <cell r="B4551" t="str">
            <v>일간 71-80 모험</v>
          </cell>
        </row>
        <row r="4552">
          <cell r="A4552">
            <v>95910049</v>
          </cell>
          <cell r="B4552" t="str">
            <v>일간 81-90 모험</v>
          </cell>
        </row>
        <row r="4553">
          <cell r="A4553">
            <v>95910050</v>
          </cell>
          <cell r="B4553" t="str">
            <v>일간 91-99 모험</v>
          </cell>
        </row>
        <row r="4554">
          <cell r="A4554">
            <v>95910051</v>
          </cell>
          <cell r="B4554" t="str">
            <v>주간 1-20 모험</v>
          </cell>
        </row>
        <row r="4555">
          <cell r="A4555">
            <v>95910052</v>
          </cell>
          <cell r="B4555" t="str">
            <v>주간 21-30 모험</v>
          </cell>
        </row>
        <row r="4556">
          <cell r="A4556">
            <v>95910053</v>
          </cell>
          <cell r="B4556" t="str">
            <v>주간 31-40 모험</v>
          </cell>
        </row>
        <row r="4557">
          <cell r="A4557">
            <v>95910054</v>
          </cell>
          <cell r="B4557" t="str">
            <v>주간 41-50 모험</v>
          </cell>
        </row>
        <row r="4558">
          <cell r="A4558">
            <v>95910055</v>
          </cell>
          <cell r="B4558" t="str">
            <v>주간 51-60 모험</v>
          </cell>
        </row>
        <row r="4559">
          <cell r="A4559">
            <v>95910056</v>
          </cell>
          <cell r="B4559" t="str">
            <v>주간 61-70 모험</v>
          </cell>
        </row>
        <row r="4560">
          <cell r="A4560">
            <v>95910057</v>
          </cell>
          <cell r="B4560" t="str">
            <v>주간 71-80 모험</v>
          </cell>
        </row>
        <row r="4561">
          <cell r="A4561">
            <v>95910058</v>
          </cell>
          <cell r="B4561" t="str">
            <v>주간 81-90 모험</v>
          </cell>
        </row>
        <row r="4562">
          <cell r="A4562">
            <v>95910059</v>
          </cell>
          <cell r="B4562" t="str">
            <v>주간 91-99 모험</v>
          </cell>
        </row>
        <row r="4563">
          <cell r="A4563">
            <v>95910060</v>
          </cell>
          <cell r="B4563" t="str">
            <v>월간 1-25 모험</v>
          </cell>
        </row>
        <row r="4564">
          <cell r="A4564">
            <v>95910061</v>
          </cell>
          <cell r="B4564" t="str">
            <v>월간 26-40 모험</v>
          </cell>
        </row>
        <row r="4565">
          <cell r="A4565">
            <v>95910062</v>
          </cell>
          <cell r="B4565" t="str">
            <v>월간 41-50 모험</v>
          </cell>
        </row>
        <row r="4566">
          <cell r="A4566">
            <v>95910063</v>
          </cell>
          <cell r="B4566" t="str">
            <v>월간 51-60 모험</v>
          </cell>
        </row>
        <row r="4567">
          <cell r="A4567">
            <v>95910064</v>
          </cell>
          <cell r="B4567" t="str">
            <v>월간 61-70 모험</v>
          </cell>
        </row>
        <row r="4568">
          <cell r="A4568">
            <v>95910065</v>
          </cell>
          <cell r="B4568" t="str">
            <v>월간 71-80 모험</v>
          </cell>
        </row>
        <row r="4569">
          <cell r="A4569">
            <v>95910066</v>
          </cell>
          <cell r="B4569" t="str">
            <v>월간 81-90 모험</v>
          </cell>
        </row>
        <row r="4570">
          <cell r="A4570">
            <v>95910067</v>
          </cell>
          <cell r="B4570" t="str">
            <v>월간 91-99 모험</v>
          </cell>
        </row>
        <row r="4571">
          <cell r="A4571">
            <v>95910068</v>
          </cell>
          <cell r="B4571" t="str">
            <v>일간 1-13 전투</v>
          </cell>
        </row>
        <row r="4572">
          <cell r="A4572">
            <v>95910069</v>
          </cell>
          <cell r="B4572" t="str">
            <v>일간 14-20 전투</v>
          </cell>
        </row>
        <row r="4573">
          <cell r="A4573">
            <v>95910070</v>
          </cell>
          <cell r="B4573" t="str">
            <v>일간 21-30 전투</v>
          </cell>
        </row>
        <row r="4574">
          <cell r="A4574">
            <v>95910071</v>
          </cell>
          <cell r="B4574" t="str">
            <v>일간 31-40 전투</v>
          </cell>
        </row>
        <row r="4575">
          <cell r="A4575">
            <v>95910072</v>
          </cell>
          <cell r="B4575" t="str">
            <v>일간 41-50 전투</v>
          </cell>
        </row>
        <row r="4576">
          <cell r="A4576">
            <v>95910073</v>
          </cell>
          <cell r="B4576" t="str">
            <v>일간 51-60 전투</v>
          </cell>
        </row>
        <row r="4577">
          <cell r="A4577">
            <v>95910074</v>
          </cell>
          <cell r="B4577" t="str">
            <v>일간 61-70 전투</v>
          </cell>
        </row>
        <row r="4578">
          <cell r="A4578">
            <v>95910075</v>
          </cell>
          <cell r="B4578" t="str">
            <v>일간 71-80 전투</v>
          </cell>
        </row>
        <row r="4579">
          <cell r="A4579">
            <v>95910076</v>
          </cell>
          <cell r="B4579" t="str">
            <v>일간 81-90 전투</v>
          </cell>
        </row>
        <row r="4580">
          <cell r="A4580">
            <v>95910077</v>
          </cell>
          <cell r="B4580" t="str">
            <v>일간 91-99 전투</v>
          </cell>
        </row>
        <row r="4581">
          <cell r="A4581">
            <v>95910078</v>
          </cell>
          <cell r="B4581" t="str">
            <v>주간 1-20 전투</v>
          </cell>
        </row>
        <row r="4582">
          <cell r="A4582">
            <v>95910079</v>
          </cell>
          <cell r="B4582" t="str">
            <v>주간 21-30 전투</v>
          </cell>
        </row>
        <row r="4583">
          <cell r="A4583">
            <v>95910080</v>
          </cell>
          <cell r="B4583" t="str">
            <v>주간 31-40 전투</v>
          </cell>
        </row>
        <row r="4584">
          <cell r="A4584">
            <v>95910081</v>
          </cell>
          <cell r="B4584" t="str">
            <v>주간 41-50 전투</v>
          </cell>
        </row>
        <row r="4585">
          <cell r="A4585">
            <v>95910082</v>
          </cell>
          <cell r="B4585" t="str">
            <v>주간 51-60 전투</v>
          </cell>
        </row>
        <row r="4586">
          <cell r="A4586">
            <v>95910083</v>
          </cell>
          <cell r="B4586" t="str">
            <v>주간 61-70 전투</v>
          </cell>
        </row>
        <row r="4587">
          <cell r="A4587">
            <v>95910084</v>
          </cell>
          <cell r="B4587" t="str">
            <v>주간 71-80 전투</v>
          </cell>
        </row>
        <row r="4588">
          <cell r="A4588">
            <v>95910085</v>
          </cell>
          <cell r="B4588" t="str">
            <v>주간 81-90 전투</v>
          </cell>
        </row>
        <row r="4589">
          <cell r="A4589">
            <v>95910086</v>
          </cell>
          <cell r="B4589" t="str">
            <v>주간 91-99 전투</v>
          </cell>
        </row>
        <row r="4590">
          <cell r="A4590">
            <v>95910087</v>
          </cell>
          <cell r="B4590" t="str">
            <v>월간 1-25 전투</v>
          </cell>
        </row>
        <row r="4591">
          <cell r="A4591">
            <v>95910088</v>
          </cell>
          <cell r="B4591" t="str">
            <v>월간 26-40 전투</v>
          </cell>
        </row>
        <row r="4592">
          <cell r="A4592">
            <v>95910089</v>
          </cell>
          <cell r="B4592" t="str">
            <v>월간 41-50 전투</v>
          </cell>
        </row>
        <row r="4593">
          <cell r="A4593">
            <v>95910090</v>
          </cell>
          <cell r="B4593" t="str">
            <v>월간 51-60 전투</v>
          </cell>
        </row>
        <row r="4594">
          <cell r="A4594">
            <v>95910091</v>
          </cell>
          <cell r="B4594" t="str">
            <v>월간 61-70 전투</v>
          </cell>
        </row>
        <row r="4595">
          <cell r="A4595">
            <v>95910092</v>
          </cell>
          <cell r="B4595" t="str">
            <v>월간 71-80 전투</v>
          </cell>
        </row>
        <row r="4596">
          <cell r="A4596">
            <v>95910093</v>
          </cell>
          <cell r="B4596" t="str">
            <v>월간 81-90 전투</v>
          </cell>
        </row>
        <row r="4597">
          <cell r="A4597">
            <v>95910094</v>
          </cell>
          <cell r="B4597" t="str">
            <v>월간 91-99 전투</v>
          </cell>
        </row>
        <row r="4598">
          <cell r="A4598">
            <v>95910095</v>
          </cell>
          <cell r="B4598" t="str">
            <v>일간 1-13 교역</v>
          </cell>
        </row>
        <row r="4599">
          <cell r="A4599">
            <v>95910096</v>
          </cell>
          <cell r="B4599" t="str">
            <v>일간 14-20 교역</v>
          </cell>
        </row>
        <row r="4600">
          <cell r="A4600">
            <v>95910097</v>
          </cell>
          <cell r="B4600" t="str">
            <v>일간 21-30 교역</v>
          </cell>
        </row>
        <row r="4601">
          <cell r="A4601">
            <v>95910098</v>
          </cell>
          <cell r="B4601" t="str">
            <v>일간 31-40 교역</v>
          </cell>
        </row>
        <row r="4602">
          <cell r="A4602">
            <v>95910099</v>
          </cell>
          <cell r="B4602" t="str">
            <v>일간 41-50 교역</v>
          </cell>
        </row>
        <row r="4603">
          <cell r="A4603">
            <v>95910100</v>
          </cell>
          <cell r="B4603" t="str">
            <v>일간 51-60 교역</v>
          </cell>
        </row>
        <row r="4604">
          <cell r="A4604">
            <v>95910101</v>
          </cell>
          <cell r="B4604" t="str">
            <v>일간 61-70 교역</v>
          </cell>
        </row>
        <row r="4605">
          <cell r="A4605">
            <v>95910102</v>
          </cell>
          <cell r="B4605" t="str">
            <v>일간 71-80 교역</v>
          </cell>
        </row>
        <row r="4606">
          <cell r="A4606">
            <v>95910103</v>
          </cell>
          <cell r="B4606" t="str">
            <v>일간 81-90 교역</v>
          </cell>
        </row>
        <row r="4607">
          <cell r="A4607">
            <v>95910104</v>
          </cell>
          <cell r="B4607" t="str">
            <v>일간 91-99 교역</v>
          </cell>
        </row>
        <row r="4608">
          <cell r="A4608">
            <v>95910105</v>
          </cell>
          <cell r="B4608" t="str">
            <v>주간 1-20 교역</v>
          </cell>
        </row>
        <row r="4609">
          <cell r="A4609">
            <v>95910106</v>
          </cell>
          <cell r="B4609" t="str">
            <v>주간 21-30 교역</v>
          </cell>
        </row>
        <row r="4610">
          <cell r="A4610">
            <v>95910107</v>
          </cell>
          <cell r="B4610" t="str">
            <v>주간 31-40 교역</v>
          </cell>
        </row>
        <row r="4611">
          <cell r="A4611">
            <v>95910108</v>
          </cell>
          <cell r="B4611" t="str">
            <v>주간 41-50 교역</v>
          </cell>
        </row>
        <row r="4612">
          <cell r="A4612">
            <v>95910109</v>
          </cell>
          <cell r="B4612" t="str">
            <v>주간 51-60 교역</v>
          </cell>
        </row>
        <row r="4613">
          <cell r="A4613">
            <v>95910110</v>
          </cell>
          <cell r="B4613" t="str">
            <v>주간 61-70 교역</v>
          </cell>
        </row>
        <row r="4614">
          <cell r="A4614">
            <v>95910111</v>
          </cell>
          <cell r="B4614" t="str">
            <v>주간 71-80 교역</v>
          </cell>
        </row>
        <row r="4615">
          <cell r="A4615">
            <v>95910112</v>
          </cell>
          <cell r="B4615" t="str">
            <v>주간 81-90 교역</v>
          </cell>
        </row>
        <row r="4616">
          <cell r="A4616">
            <v>95910113</v>
          </cell>
          <cell r="B4616" t="str">
            <v>주간 91-99 교역</v>
          </cell>
        </row>
        <row r="4617">
          <cell r="A4617">
            <v>95910114</v>
          </cell>
          <cell r="B4617" t="str">
            <v>월간 1-25 교역</v>
          </cell>
        </row>
        <row r="4618">
          <cell r="A4618">
            <v>95910115</v>
          </cell>
          <cell r="B4618" t="str">
            <v>월간 26-40 교역</v>
          </cell>
        </row>
        <row r="4619">
          <cell r="A4619">
            <v>95910116</v>
          </cell>
          <cell r="B4619" t="str">
            <v>월간 41-50 교역</v>
          </cell>
        </row>
        <row r="4620">
          <cell r="A4620">
            <v>95910117</v>
          </cell>
          <cell r="B4620" t="str">
            <v>월간 51-60 교역</v>
          </cell>
        </row>
        <row r="4621">
          <cell r="A4621">
            <v>95910118</v>
          </cell>
          <cell r="B4621" t="str">
            <v>월간 61-70 교역</v>
          </cell>
        </row>
        <row r="4622">
          <cell r="A4622">
            <v>95910119</v>
          </cell>
          <cell r="B4622" t="str">
            <v>월간 71-80 교역</v>
          </cell>
        </row>
        <row r="4623">
          <cell r="A4623">
            <v>95910120</v>
          </cell>
          <cell r="B4623" t="str">
            <v>월간 81-90 교역</v>
          </cell>
        </row>
        <row r="4624">
          <cell r="A4624">
            <v>95910121</v>
          </cell>
          <cell r="B4624" t="str">
            <v>월간 91-99 교역</v>
          </cell>
        </row>
        <row r="4625">
          <cell r="A4625">
            <v>95910122</v>
          </cell>
          <cell r="B4625" t="str">
            <v>교역의 기본 보상_교역</v>
          </cell>
        </row>
        <row r="4626">
          <cell r="A4626">
            <v>95910123</v>
          </cell>
          <cell r="B4626" t="str">
            <v>교역의 응용 보상_교역</v>
          </cell>
        </row>
        <row r="4627">
          <cell r="A4627">
            <v>95910124</v>
          </cell>
          <cell r="B4627" t="str">
            <v>실전 교역 보상_교역</v>
          </cell>
        </row>
        <row r="4628">
          <cell r="A4628">
            <v>95910125</v>
          </cell>
          <cell r="B4628" t="str">
            <v>항구의 발전 보상_교역</v>
          </cell>
        </row>
        <row r="4629">
          <cell r="A4629">
            <v>95910126</v>
          </cell>
          <cell r="B4629" t="str">
            <v>새로운 발견 보상_모험</v>
          </cell>
        </row>
        <row r="4630">
          <cell r="A4630">
            <v>95910127</v>
          </cell>
          <cell r="B4630" t="str">
            <v>발견의 묘미 보상_모험</v>
          </cell>
        </row>
        <row r="4631">
          <cell r="A4631">
            <v>95910128</v>
          </cell>
          <cell r="B4631" t="str">
            <v>실전 전투 보상_전투</v>
          </cell>
        </row>
        <row r="4632">
          <cell r="A4632">
            <v>95910129</v>
          </cell>
          <cell r="B4632" t="str">
            <v>행동의 결과 보상_교역</v>
          </cell>
        </row>
        <row r="4633">
          <cell r="A4633">
            <v>95910130</v>
          </cell>
          <cell r="B4633" t="str">
            <v>옛 신들의 마을 보상_모험</v>
          </cell>
        </row>
        <row r="4634">
          <cell r="A4634">
            <v>95910131</v>
          </cell>
          <cell r="B4634" t="str">
            <v>화산재 덮인 빵 보상_모험</v>
          </cell>
        </row>
        <row r="4635">
          <cell r="A4635">
            <v>95910132</v>
          </cell>
          <cell r="B4635" t="str">
            <v>고래 싸움 사이의 새우 보상_전투</v>
          </cell>
        </row>
        <row r="4636">
          <cell r="A4636">
            <v>95910133</v>
          </cell>
          <cell r="B4636" t="str">
            <v>고양이 애호가 협회의 의뢰 보상_교역</v>
          </cell>
        </row>
        <row r="4637">
          <cell r="A4637">
            <v>95910134</v>
          </cell>
          <cell r="B4637" t="str">
            <v>신화 속 최고의 스승 보상_모험</v>
          </cell>
        </row>
        <row r="4638">
          <cell r="A4638">
            <v>95910135</v>
          </cell>
          <cell r="B4638" t="str">
            <v>슬픔이 담긴 꽃 보상_모험</v>
          </cell>
        </row>
        <row r="4639">
          <cell r="A4639">
            <v>95910136</v>
          </cell>
          <cell r="B4639" t="str">
            <v>사후세계를 여행하는 영혼을 위한 안내서 보상_모험</v>
          </cell>
        </row>
        <row r="4640">
          <cell r="A4640">
            <v>95910137</v>
          </cell>
          <cell r="B4640" t="str">
            <v>월계수라는 이름의 독성 식물 보상_모험</v>
          </cell>
        </row>
        <row r="4641">
          <cell r="A4641">
            <v>95910138</v>
          </cell>
          <cell r="B4641" t="str">
            <v>장인의 드레스 보상_교역</v>
          </cell>
        </row>
        <row r="4642">
          <cell r="A4642">
            <v>95910139</v>
          </cell>
          <cell r="B4642" t="str">
            <v>죽지 않는 악마의 전설 보상_모험</v>
          </cell>
        </row>
        <row r="4643">
          <cell r="A4643">
            <v>95910140</v>
          </cell>
          <cell r="B4643" t="str">
            <v>영웅의 마지막 흔적 보상_모험</v>
          </cell>
        </row>
        <row r="4644">
          <cell r="A4644">
            <v>95910141</v>
          </cell>
          <cell r="B4644" t="str">
            <v>수송 선단 호위 의뢰 보상_전투</v>
          </cell>
        </row>
        <row r="4645">
          <cell r="A4645">
            <v>95910142</v>
          </cell>
          <cell r="B4645" t="str">
            <v>머리와 몸이 다른 존재 보상_모험</v>
          </cell>
        </row>
        <row r="4646">
          <cell r="A4646">
            <v>95910143</v>
          </cell>
          <cell r="B4646" t="str">
            <v>전장을 바꾸는 한 수 보상_모험</v>
          </cell>
        </row>
        <row r="4647">
          <cell r="A4647">
            <v>95910144</v>
          </cell>
          <cell r="B4647" t="str">
            <v>황제의 왕관 보상_모험</v>
          </cell>
        </row>
        <row r="4648">
          <cell r="A4648">
            <v>95910145</v>
          </cell>
          <cell r="B4648" t="str">
            <v>시장 조사의 기본 보상_교역</v>
          </cell>
        </row>
        <row r="4649">
          <cell r="A4649">
            <v>95910146</v>
          </cell>
          <cell r="B4649" t="str">
            <v>사람을 찾아요! 보상_모험</v>
          </cell>
        </row>
        <row r="4650">
          <cell r="A4650">
            <v>95910147</v>
          </cell>
          <cell r="B4650" t="str">
            <v>시선의 행방 보상_모험</v>
          </cell>
        </row>
        <row r="4651">
          <cell r="A4651">
            <v>95910148</v>
          </cell>
          <cell r="B4651" t="str">
            <v>거꾸로 꽂힌 나무 보상_모험</v>
          </cell>
        </row>
        <row r="4652">
          <cell r="A4652">
            <v>95910149</v>
          </cell>
          <cell r="B4652" t="str">
            <v>현상 수배범 추적 보상_전투</v>
          </cell>
        </row>
        <row r="4653">
          <cell r="A4653">
            <v>95910150</v>
          </cell>
          <cell r="B4653" t="str">
            <v>기암절벽의 소문 보상_모험</v>
          </cell>
        </row>
        <row r="4654">
          <cell r="A4654">
            <v>95910151</v>
          </cell>
          <cell r="B4654" t="str">
            <v>밤에 피는 꽃 보상_모험</v>
          </cell>
        </row>
        <row r="4655">
          <cell r="A4655">
            <v>95910152</v>
          </cell>
          <cell r="B4655" t="str">
            <v>얼음 위의 백색 곰 보상_모험</v>
          </cell>
        </row>
        <row r="4656">
          <cell r="A4656">
            <v>95910153</v>
          </cell>
          <cell r="B4656" t="str">
            <v>저주를 부르는 반지 보상_모험</v>
          </cell>
        </row>
        <row r="4657">
          <cell r="A4657">
            <v>95910154</v>
          </cell>
          <cell r="B4657" t="str">
            <v>망자의 배 보상_전투</v>
          </cell>
        </row>
        <row r="4658">
          <cell r="A4658">
            <v>95910155</v>
          </cell>
          <cell r="B4658" t="str">
            <v>자연 속 청소부 보상_모험</v>
          </cell>
        </row>
        <row r="4659">
          <cell r="A4659">
            <v>95910156</v>
          </cell>
          <cell r="B4659" t="str">
            <v>눈에는 눈, 이에는 이 보상_모험</v>
          </cell>
        </row>
        <row r="4660">
          <cell r="A4660">
            <v>95910157</v>
          </cell>
          <cell r="B4660" t="str">
            <v>초일왕의 흔적 보상_모험</v>
          </cell>
        </row>
        <row r="4661">
          <cell r="A4661">
            <v>95910158</v>
          </cell>
          <cell r="B4661" t="str">
            <v>나무 속의 물고기 보상_모험</v>
          </cell>
        </row>
        <row r="4662">
          <cell r="A4662">
            <v>95910159</v>
          </cell>
          <cell r="B4662" t="str">
            <v>가장 빛나는 별 보상_모험</v>
          </cell>
        </row>
        <row r="4663">
          <cell r="A4663">
            <v>95910160</v>
          </cell>
          <cell r="B4663" t="str">
            <v>이름 없는 비석 보상_모험</v>
          </cell>
        </row>
        <row r="4664">
          <cell r="A4664">
            <v>95910161</v>
          </cell>
          <cell r="B4664" t="str">
            <v>새로운 광맥의 가능성 보상_교역</v>
          </cell>
        </row>
        <row r="4665">
          <cell r="A4665">
            <v>95910162</v>
          </cell>
          <cell r="B4665" t="str">
            <v>거대한 신전의 진실 보상_모험</v>
          </cell>
        </row>
        <row r="4666">
          <cell r="A4666">
            <v>95910163</v>
          </cell>
          <cell r="B4666" t="str">
            <v>칙명 LV1 보상</v>
          </cell>
        </row>
        <row r="4667">
          <cell r="A4667">
            <v>95910164</v>
          </cell>
          <cell r="B4667" t="str">
            <v>칙명 LV2 보상</v>
          </cell>
        </row>
        <row r="4668">
          <cell r="A4668">
            <v>95910165</v>
          </cell>
          <cell r="B4668" t="str">
            <v>칙명 LV3 보상</v>
          </cell>
        </row>
        <row r="4669">
          <cell r="A4669">
            <v>95910166</v>
          </cell>
          <cell r="B4669" t="str">
            <v>칙명 LV4 보상</v>
          </cell>
        </row>
        <row r="4670">
          <cell r="A4670">
            <v>95910167</v>
          </cell>
          <cell r="B4670" t="str">
            <v>칙명 LV5 보상</v>
          </cell>
        </row>
        <row r="4671">
          <cell r="A4671">
            <v>95910168</v>
          </cell>
          <cell r="B4671" t="str">
            <v>칙명 LV6 보상</v>
          </cell>
        </row>
        <row r="4672">
          <cell r="A4672">
            <v>95910169</v>
          </cell>
          <cell r="B4672" t="str">
            <v>칙명 LV7 보상</v>
          </cell>
        </row>
        <row r="4673">
          <cell r="A4673">
            <v>95910170</v>
          </cell>
          <cell r="B4673" t="str">
            <v>칙명 LV8 보상</v>
          </cell>
        </row>
        <row r="4674">
          <cell r="A4674">
            <v>95910171</v>
          </cell>
          <cell r="B4674" t="str">
            <v>칙명 LV9 보상</v>
          </cell>
        </row>
        <row r="4675">
          <cell r="A4675">
            <v>95910172</v>
          </cell>
          <cell r="B4675" t="str">
            <v>칙명 LV10 보상</v>
          </cell>
        </row>
        <row r="4676">
          <cell r="A4676">
            <v>95910173</v>
          </cell>
          <cell r="B4676" t="str">
            <v>칙명 LV11 보상</v>
          </cell>
        </row>
        <row r="4677">
          <cell r="A4677">
            <v>95910174</v>
          </cell>
          <cell r="B4677" t="str">
            <v>칙명 LV12 보상</v>
          </cell>
        </row>
        <row r="4678">
          <cell r="A4678">
            <v>95910175</v>
          </cell>
          <cell r="B4678" t="str">
            <v>칙명 LV13 보상</v>
          </cell>
        </row>
        <row r="4679">
          <cell r="A4679">
            <v>95910176</v>
          </cell>
          <cell r="B4679" t="str">
            <v>칙명 LV14 보상</v>
          </cell>
        </row>
        <row r="4680">
          <cell r="A4680">
            <v>95910177</v>
          </cell>
          <cell r="B4680" t="str">
            <v>칙명 LV15 보상</v>
          </cell>
        </row>
        <row r="4681">
          <cell r="A4681">
            <v>95910178</v>
          </cell>
          <cell r="B4681" t="str">
            <v>칙명 LV16 보상</v>
          </cell>
        </row>
        <row r="4682">
          <cell r="A4682">
            <v>95910179</v>
          </cell>
          <cell r="B4682" t="str">
            <v>칙명 LV17 보상</v>
          </cell>
        </row>
        <row r="4683">
          <cell r="A4683">
            <v>95910180</v>
          </cell>
          <cell r="B4683" t="str">
            <v>칙명 LV18 보상</v>
          </cell>
        </row>
        <row r="4684">
          <cell r="A4684">
            <v>95910181</v>
          </cell>
          <cell r="B4684" t="str">
            <v>칙명 LV19 보상</v>
          </cell>
        </row>
        <row r="4685">
          <cell r="A4685">
            <v>95910182</v>
          </cell>
          <cell r="B4685" t="str">
            <v>칙명 LV20 보상</v>
          </cell>
        </row>
        <row r="4686">
          <cell r="A4686">
            <v>95910183</v>
          </cell>
          <cell r="B4686" t="str">
            <v>칙명 LV21 보상</v>
          </cell>
        </row>
        <row r="4687">
          <cell r="A4687">
            <v>95910184</v>
          </cell>
          <cell r="B4687" t="str">
            <v>칙명 LV22 보상</v>
          </cell>
        </row>
        <row r="4688">
          <cell r="A4688">
            <v>95910185</v>
          </cell>
          <cell r="B4688" t="str">
            <v>칙명 LV23 보상</v>
          </cell>
        </row>
        <row r="4689">
          <cell r="A4689">
            <v>95910186</v>
          </cell>
          <cell r="B4689" t="str">
            <v>칙명 LV24 보상</v>
          </cell>
        </row>
        <row r="4690">
          <cell r="A4690">
            <v>95910187</v>
          </cell>
          <cell r="B4690" t="str">
            <v>칙명 LV25 보상</v>
          </cell>
        </row>
        <row r="4691">
          <cell r="A4691">
            <v>95910231</v>
          </cell>
          <cell r="B4691" t="str">
            <v>CBT_레드젬300</v>
          </cell>
        </row>
        <row r="4692">
          <cell r="A4692">
            <v>95910232</v>
          </cell>
          <cell r="B4692" t="str">
            <v>CBT_레드젬500</v>
          </cell>
        </row>
        <row r="4693">
          <cell r="A4693">
            <v>95910233</v>
          </cell>
          <cell r="B4693" t="str">
            <v>CBT_레드젬1000</v>
          </cell>
        </row>
        <row r="4694">
          <cell r="A4694">
            <v>95910234</v>
          </cell>
          <cell r="B4694" t="str">
            <v>CBT_레드젬1500</v>
          </cell>
        </row>
        <row r="4695">
          <cell r="A4695">
            <v>95910235</v>
          </cell>
          <cell r="B4695" t="str">
            <v>CBT_레드젬3000</v>
          </cell>
        </row>
        <row r="4696">
          <cell r="A4696">
            <v>95910236</v>
          </cell>
          <cell r="B4696" t="str">
            <v>CBT_블루젬300</v>
          </cell>
        </row>
        <row r="4697">
          <cell r="A4697">
            <v>95910237</v>
          </cell>
          <cell r="B4697" t="str">
            <v>CBT_블루젬1000</v>
          </cell>
        </row>
        <row r="4698">
          <cell r="A4698">
            <v>95910238</v>
          </cell>
          <cell r="B4698" t="str">
            <v>CBT_핫타임1</v>
          </cell>
        </row>
        <row r="4699">
          <cell r="A4699">
            <v>95910239</v>
          </cell>
          <cell r="B4699" t="str">
            <v>CBT_핫타임2</v>
          </cell>
        </row>
        <row r="4700">
          <cell r="A4700">
            <v>95910240</v>
          </cell>
          <cell r="B4700" t="str">
            <v>CBT_핫타임3</v>
          </cell>
        </row>
        <row r="4701">
          <cell r="A4701">
            <v>95910241</v>
          </cell>
          <cell r="B4701" t="str">
            <v>CBT_핫타임4</v>
          </cell>
        </row>
        <row r="4702">
          <cell r="A4702">
            <v>95910242</v>
          </cell>
          <cell r="B4702" t="str">
            <v>예언의 별 보상_모험</v>
          </cell>
        </row>
        <row r="4703">
          <cell r="A4703">
            <v>95910243</v>
          </cell>
          <cell r="B4703" t="str">
            <v>전설 속 수호신 보상_모험</v>
          </cell>
        </row>
        <row r="4704">
          <cell r="A4704">
            <v>95910244</v>
          </cell>
          <cell r="B4704" t="str">
            <v>오해를 부르는 향기 보상_모험</v>
          </cell>
        </row>
        <row r="4705">
          <cell r="A4705">
            <v>95910245</v>
          </cell>
          <cell r="B4705" t="str">
            <v>호수 아래의 성검 보상_모험</v>
          </cell>
        </row>
        <row r="4706">
          <cell r="A4706">
            <v>95910246</v>
          </cell>
          <cell r="B4706" t="str">
            <v>패스 경험치100</v>
          </cell>
        </row>
        <row r="4707">
          <cell r="A4707">
            <v>95910247</v>
          </cell>
          <cell r="B4707" t="str">
            <v>조합퀘스트_편지1</v>
          </cell>
        </row>
        <row r="4708">
          <cell r="A4708">
            <v>95910248</v>
          </cell>
          <cell r="B4708" t="str">
            <v>조합퀘스트_편지2</v>
          </cell>
        </row>
        <row r="4709">
          <cell r="A4709">
            <v>95910249</v>
          </cell>
          <cell r="B4709" t="str">
            <v>조합퀘스트_편지3</v>
          </cell>
        </row>
        <row r="4710">
          <cell r="A4710">
            <v>95910250</v>
          </cell>
          <cell r="B4710" t="str">
            <v>조합퀘스트_편지4</v>
          </cell>
        </row>
        <row r="4711">
          <cell r="A4711">
            <v>95910251</v>
          </cell>
          <cell r="B4711" t="str">
            <v>기사단의 저주 보상_교역</v>
          </cell>
        </row>
        <row r="4712">
          <cell r="A4712">
            <v>95910252</v>
          </cell>
          <cell r="B4712" t="str">
            <v>몰락 기사의 이름 보상_전투</v>
          </cell>
        </row>
        <row r="4713">
          <cell r="A4713">
            <v>95910253</v>
          </cell>
          <cell r="B4713" t="str">
            <v>오랜 저주의 종결 보상_모험</v>
          </cell>
        </row>
        <row r="4714">
          <cell r="A4714">
            <v>95910254</v>
          </cell>
          <cell r="B4714" t="str">
            <v>여관 주인의 부탁 보상_교역</v>
          </cell>
        </row>
        <row r="4715">
          <cell r="A4715">
            <v>95910255</v>
          </cell>
          <cell r="B4715" t="str">
            <v>그리운 고향으로 보상_전투</v>
          </cell>
        </row>
        <row r="4716">
          <cell r="A4716">
            <v>95910256</v>
          </cell>
          <cell r="B4716" t="str">
            <v>이어지는 지식 보상_교역</v>
          </cell>
        </row>
        <row r="4717">
          <cell r="A4717">
            <v>95910257</v>
          </cell>
          <cell r="B4717" t="str">
            <v>바닷사람의 순정 보상_교역</v>
          </cell>
        </row>
        <row r="4718">
          <cell r="A4718">
            <v>95910258</v>
          </cell>
          <cell r="B4718" t="str">
            <v>사람과 재산과 그리운 땅 보상_전투</v>
          </cell>
        </row>
        <row r="4719">
          <cell r="A4719">
            <v>95910259</v>
          </cell>
          <cell r="B4719" t="str">
            <v>유령의 행렬 보상_모험</v>
          </cell>
        </row>
        <row r="4720">
          <cell r="A4720">
            <v>95910260</v>
          </cell>
          <cell r="B4720" t="str">
            <v>항구 수호 의뢰 보상_전투</v>
          </cell>
        </row>
        <row r="4721">
          <cell r="A4721">
            <v>95910261</v>
          </cell>
          <cell r="B4721" t="str">
            <v>배신자의 말로 보상_전투</v>
          </cell>
        </row>
        <row r="4722">
          <cell r="A4722">
            <v>95910262</v>
          </cell>
          <cell r="B4722" t="str">
            <v>상인의 무기 보상_교역</v>
          </cell>
        </row>
        <row r="4723">
          <cell r="A4723">
            <v>95910263</v>
          </cell>
          <cell r="B4723" t="str">
            <v>왕궁으로의 배달 의뢰 보상_교역</v>
          </cell>
        </row>
        <row r="4724">
          <cell r="A4724">
            <v>95910264</v>
          </cell>
          <cell r="B4724" t="str">
            <v>왕궁으로부터의 조사 의뢰 보상_전투</v>
          </cell>
        </row>
        <row r="4725">
          <cell r="A4725">
            <v>95910265</v>
          </cell>
          <cell r="B4725" t="str">
            <v>그림에 가린 단어 보상_모험</v>
          </cell>
        </row>
        <row r="4726">
          <cell r="A4726">
            <v>95910266</v>
          </cell>
          <cell r="B4726" t="str">
            <v>별의 인도를 따라 보상_모험</v>
          </cell>
        </row>
        <row r="4727">
          <cell r="A4727">
            <v>95910267</v>
          </cell>
          <cell r="B4727" t="str">
            <v>마지막 선물 보상_모험</v>
          </cell>
        </row>
        <row r="4728">
          <cell r="A4728">
            <v>95910268</v>
          </cell>
          <cell r="B4728" t="str">
            <v>영혼을 붙잡는 힘 보상_모험</v>
          </cell>
        </row>
        <row r="4729">
          <cell r="A4729">
            <v>95910269</v>
          </cell>
          <cell r="B4729" t="str">
            <v>급하다 급해! 보상_교역</v>
          </cell>
        </row>
        <row r="4730">
          <cell r="A4730">
            <v>95910270</v>
          </cell>
          <cell r="B4730" t="str">
            <v>끝없는 요새 보상_모험</v>
          </cell>
        </row>
        <row r="4731">
          <cell r="A4731">
            <v>95910271</v>
          </cell>
          <cell r="B4731" t="str">
            <v>중요한 것은 속도? 보상_전투</v>
          </cell>
        </row>
        <row r="4732">
          <cell r="A4732">
            <v>95910272</v>
          </cell>
          <cell r="B4732" t="str">
            <v>당나귀 귀 보상_교역</v>
          </cell>
        </row>
        <row r="4733">
          <cell r="A4733">
            <v>95910273</v>
          </cell>
          <cell r="B4733" t="str">
            <v>색다른 요리 탐구 보상_교역</v>
          </cell>
        </row>
        <row r="4734">
          <cell r="A4734">
            <v>95910274</v>
          </cell>
          <cell r="B4734" t="str">
            <v>상류층의 입맛 보상_교역</v>
          </cell>
        </row>
        <row r="4735">
          <cell r="A4735">
            <v>95910275</v>
          </cell>
          <cell r="B4735" t="str">
            <v>잊을 수 없는 향기 보상_교역</v>
          </cell>
        </row>
        <row r="4736">
          <cell r="A4736">
            <v>95910276</v>
          </cell>
          <cell r="B4736" t="str">
            <v>조합퀘스트_해양증명서1</v>
          </cell>
        </row>
        <row r="4737">
          <cell r="A4737">
            <v>95910277</v>
          </cell>
          <cell r="B4737" t="str">
            <v>조합퀘스트_해양증명서2</v>
          </cell>
        </row>
        <row r="4738">
          <cell r="A4738">
            <v>95910278</v>
          </cell>
          <cell r="B4738" t="str">
            <v>조합퀘스트_해양증명서3</v>
          </cell>
        </row>
        <row r="4739">
          <cell r="A4739">
            <v>95910279</v>
          </cell>
          <cell r="B4739" t="str">
            <v>조합퀘스트_해양증명서4</v>
          </cell>
        </row>
        <row r="4740">
          <cell r="A4740">
            <v>95910280</v>
          </cell>
          <cell r="B4740" t="str">
            <v>종업원 퀘스트  - 깨진 유리세공</v>
          </cell>
        </row>
        <row r="4741">
          <cell r="A4741">
            <v>95910281</v>
          </cell>
          <cell r="B4741" t="str">
            <v>종업원 퀘스트  - 미화의 장신구</v>
          </cell>
        </row>
        <row r="4742">
          <cell r="A4742">
            <v>95910282</v>
          </cell>
          <cell r="B4742" t="str">
            <v>종업원 퀘스트  - 베네치아산 목재</v>
          </cell>
        </row>
        <row r="4743">
          <cell r="A4743">
            <v>95910283</v>
          </cell>
          <cell r="B4743" t="str">
            <v>종업원 퀘스트  - 반쪽짜리 지도</v>
          </cell>
        </row>
        <row r="4744">
          <cell r="A4744">
            <v>95910284</v>
          </cell>
          <cell r="B4744" t="str">
            <v>종업원 퀘스트  - 허브 향초</v>
          </cell>
        </row>
        <row r="4745">
          <cell r="A4745">
            <v>95910285</v>
          </cell>
          <cell r="B4745" t="str">
            <v>종업원 퀘스트  - 미심쩍은 툼바가</v>
          </cell>
        </row>
        <row r="4746">
          <cell r="A4746">
            <v>95910286</v>
          </cell>
          <cell r="B4746" t="str">
            <v>종업원 퀘스트  - 리리안의 귀걸이</v>
          </cell>
        </row>
        <row r="4747">
          <cell r="A4747">
            <v>95910287</v>
          </cell>
          <cell r="B4747" t="str">
            <v>종업원 퀘스트  - 리리안의 반지</v>
          </cell>
        </row>
        <row r="4748">
          <cell r="A4748">
            <v>95910288</v>
          </cell>
          <cell r="B4748" t="str">
            <v>종업원 퀘스트  - 리리안의 목걸이</v>
          </cell>
        </row>
        <row r="4749">
          <cell r="A4749">
            <v>95910289</v>
          </cell>
          <cell r="B4749" t="str">
            <v>지브롤터의 위기 보상_전투</v>
          </cell>
        </row>
        <row r="4750">
          <cell r="A4750">
            <v>95910290</v>
          </cell>
          <cell r="B4750" t="str">
            <v>네덜란드의 국부 보상_전투</v>
          </cell>
        </row>
        <row r="4751">
          <cell r="A4751">
            <v>95910291</v>
          </cell>
          <cell r="B4751" t="str">
            <v>신성한 돌무더기 보상_모험</v>
          </cell>
        </row>
        <row r="4752">
          <cell r="A4752">
            <v>95910292</v>
          </cell>
          <cell r="B4752" t="str">
            <v>바다 민족의 정체 보상_모험</v>
          </cell>
        </row>
        <row r="4753">
          <cell r="A4753">
            <v>95910293</v>
          </cell>
          <cell r="B4753" t="str">
            <v>델포이의 신탁 보상_모험</v>
          </cell>
        </row>
        <row r="4754">
          <cell r="A4754">
            <v>95910294</v>
          </cell>
          <cell r="B4754" t="str">
            <v>꺼지지 않는 불 보상_모험</v>
          </cell>
        </row>
        <row r="4755">
          <cell r="A4755">
            <v>95910295</v>
          </cell>
          <cell r="B4755" t="str">
            <v>고향의 맛 보상_교역</v>
          </cell>
        </row>
        <row r="4756">
          <cell r="A4756">
            <v>95910296</v>
          </cell>
          <cell r="B4756" t="str">
            <v>유럽의 무기 보상_ 교역</v>
          </cell>
        </row>
        <row r="4757">
          <cell r="A4757">
            <v>95910297</v>
          </cell>
          <cell r="B4757" t="str">
            <v>엉터리 연금술사 보상_교역</v>
          </cell>
        </row>
        <row r="4758">
          <cell r="A4758">
            <v>95910298</v>
          </cell>
          <cell r="B4758" t="str">
            <v>공작님의 애주 보상_ 교역</v>
          </cell>
        </row>
        <row r="4759">
          <cell r="A4759">
            <v>95910300</v>
          </cell>
          <cell r="B4759" t="str">
            <v>핫타임_월1</v>
          </cell>
        </row>
        <row r="4760">
          <cell r="A4760">
            <v>95910301</v>
          </cell>
          <cell r="B4760" t="str">
            <v>핫타임_월2</v>
          </cell>
        </row>
        <row r="4761">
          <cell r="A4761">
            <v>95910302</v>
          </cell>
          <cell r="B4761" t="str">
            <v>핫타임_월3</v>
          </cell>
        </row>
        <row r="4762">
          <cell r="A4762">
            <v>95910303</v>
          </cell>
          <cell r="B4762" t="str">
            <v>핫타임_화1</v>
          </cell>
        </row>
        <row r="4763">
          <cell r="A4763">
            <v>95910304</v>
          </cell>
          <cell r="B4763" t="str">
            <v>핫타임_화2</v>
          </cell>
        </row>
        <row r="4764">
          <cell r="A4764">
            <v>95910305</v>
          </cell>
          <cell r="B4764" t="str">
            <v>핫타임_화3</v>
          </cell>
        </row>
        <row r="4765">
          <cell r="A4765">
            <v>95910306</v>
          </cell>
          <cell r="B4765" t="str">
            <v>핫타임_수1</v>
          </cell>
        </row>
        <row r="4766">
          <cell r="A4766">
            <v>95910307</v>
          </cell>
          <cell r="B4766" t="str">
            <v>핫타임_수2</v>
          </cell>
        </row>
        <row r="4767">
          <cell r="A4767">
            <v>95910308</v>
          </cell>
          <cell r="B4767" t="str">
            <v>핫타임_수3</v>
          </cell>
        </row>
        <row r="4768">
          <cell r="A4768">
            <v>95910309</v>
          </cell>
          <cell r="B4768" t="str">
            <v>핫타임_목1</v>
          </cell>
        </row>
        <row r="4769">
          <cell r="A4769">
            <v>95910310</v>
          </cell>
          <cell r="B4769" t="str">
            <v>핫타임_목2</v>
          </cell>
        </row>
        <row r="4770">
          <cell r="A4770">
            <v>95910311</v>
          </cell>
          <cell r="B4770" t="str">
            <v>핫타임_목3</v>
          </cell>
        </row>
        <row r="4771">
          <cell r="A4771">
            <v>95910312</v>
          </cell>
          <cell r="B4771" t="str">
            <v>핫타임_금1</v>
          </cell>
        </row>
        <row r="4772">
          <cell r="A4772">
            <v>95910313</v>
          </cell>
          <cell r="B4772" t="str">
            <v>핫타임_금2</v>
          </cell>
        </row>
        <row r="4773">
          <cell r="A4773">
            <v>95910314</v>
          </cell>
          <cell r="B4773" t="str">
            <v>핫타임_금3</v>
          </cell>
        </row>
        <row r="4774">
          <cell r="A4774">
            <v>95910315</v>
          </cell>
          <cell r="B4774" t="str">
            <v>핫타임_토1</v>
          </cell>
        </row>
        <row r="4775">
          <cell r="A4775">
            <v>95910316</v>
          </cell>
          <cell r="B4775" t="str">
            <v>핫타임_토2</v>
          </cell>
        </row>
        <row r="4776">
          <cell r="A4776">
            <v>95910317</v>
          </cell>
          <cell r="B4776" t="str">
            <v>핫타임_토3</v>
          </cell>
        </row>
        <row r="4777">
          <cell r="A4777">
            <v>95910318</v>
          </cell>
          <cell r="B4777" t="str">
            <v>핫타임_일1</v>
          </cell>
        </row>
        <row r="4778">
          <cell r="A4778">
            <v>95910319</v>
          </cell>
          <cell r="B4778" t="str">
            <v>핫타임_일2</v>
          </cell>
        </row>
        <row r="4779">
          <cell r="A4779">
            <v>95910320</v>
          </cell>
          <cell r="B4779" t="str">
            <v>핫타임_일3</v>
          </cell>
        </row>
        <row r="4780">
          <cell r="A4780">
            <v>95910400</v>
          </cell>
          <cell r="B4780" t="str">
            <v>핫타임_보호권</v>
          </cell>
        </row>
        <row r="4781">
          <cell r="A4781">
            <v>95910401</v>
          </cell>
          <cell r="B4781" t="str">
            <v>출시1차_출석1일</v>
          </cell>
        </row>
        <row r="4782">
          <cell r="A4782">
            <v>95910402</v>
          </cell>
          <cell r="B4782" t="str">
            <v>출시1차_출석2일</v>
          </cell>
        </row>
        <row r="4783">
          <cell r="A4783">
            <v>95910403</v>
          </cell>
          <cell r="B4783" t="str">
            <v>출시1차_출석3일</v>
          </cell>
        </row>
        <row r="4784">
          <cell r="A4784">
            <v>95910404</v>
          </cell>
          <cell r="B4784" t="str">
            <v>출시1차_출석4일</v>
          </cell>
        </row>
        <row r="4785">
          <cell r="A4785">
            <v>95910405</v>
          </cell>
          <cell r="B4785" t="str">
            <v>출시1차_출석5일</v>
          </cell>
        </row>
        <row r="4786">
          <cell r="A4786">
            <v>95910406</v>
          </cell>
          <cell r="B4786" t="str">
            <v>출시1차_출석6일</v>
          </cell>
        </row>
        <row r="4787">
          <cell r="A4787">
            <v>95910407</v>
          </cell>
          <cell r="B4787" t="str">
            <v>출시1차_출석7일</v>
          </cell>
        </row>
        <row r="4788">
          <cell r="A4788">
            <v>95910408</v>
          </cell>
          <cell r="B4788" t="str">
            <v>출시1차_출석8일</v>
          </cell>
        </row>
        <row r="4789">
          <cell r="A4789">
            <v>95910409</v>
          </cell>
          <cell r="B4789" t="str">
            <v>출시1차_출석9일</v>
          </cell>
        </row>
        <row r="4790">
          <cell r="A4790">
            <v>95910410</v>
          </cell>
          <cell r="B4790" t="str">
            <v>출시1차_출석10일</v>
          </cell>
        </row>
        <row r="4791">
          <cell r="A4791">
            <v>95910411</v>
          </cell>
          <cell r="B4791" t="str">
            <v>출시1차_출석11일</v>
          </cell>
        </row>
        <row r="4792">
          <cell r="A4792">
            <v>95910412</v>
          </cell>
          <cell r="B4792" t="str">
            <v>출시1차_출석12일</v>
          </cell>
        </row>
        <row r="4793">
          <cell r="A4793">
            <v>95910413</v>
          </cell>
          <cell r="B4793" t="str">
            <v>출시1차_출석13일</v>
          </cell>
        </row>
        <row r="4794">
          <cell r="A4794">
            <v>95910414</v>
          </cell>
          <cell r="B4794" t="str">
            <v>출시1차_출석14일</v>
          </cell>
        </row>
        <row r="4795">
          <cell r="A4795">
            <v>95910415</v>
          </cell>
          <cell r="B4795" t="str">
            <v>출시1차_출석15일</v>
          </cell>
        </row>
        <row r="4796">
          <cell r="A4796">
            <v>95910416</v>
          </cell>
          <cell r="B4796" t="str">
            <v>출시1차_출석16일</v>
          </cell>
        </row>
        <row r="4797">
          <cell r="A4797">
            <v>95910417</v>
          </cell>
          <cell r="B4797" t="str">
            <v>출시1차_출석17일</v>
          </cell>
        </row>
        <row r="4798">
          <cell r="A4798">
            <v>95910418</v>
          </cell>
          <cell r="B4798" t="str">
            <v>출시1차_출석18일</v>
          </cell>
        </row>
        <row r="4799">
          <cell r="A4799">
            <v>95910419</v>
          </cell>
          <cell r="B4799" t="str">
            <v>출시1차_출석19일</v>
          </cell>
        </row>
        <row r="4800">
          <cell r="A4800">
            <v>95910420</v>
          </cell>
          <cell r="B4800" t="str">
            <v>출시1차_출석20일</v>
          </cell>
        </row>
        <row r="4801">
          <cell r="A4801">
            <v>95910421</v>
          </cell>
          <cell r="B4801" t="str">
            <v>출시1차_출석21일</v>
          </cell>
        </row>
        <row r="4802">
          <cell r="A4802">
            <v>95910422</v>
          </cell>
          <cell r="B4802" t="str">
            <v>출시1차_출석22일</v>
          </cell>
        </row>
        <row r="4803">
          <cell r="A4803">
            <v>95910423</v>
          </cell>
          <cell r="B4803" t="str">
            <v>출시1차_출석23일</v>
          </cell>
        </row>
        <row r="4804">
          <cell r="A4804">
            <v>95910424</v>
          </cell>
          <cell r="B4804" t="str">
            <v>출시1차_출석24일</v>
          </cell>
        </row>
        <row r="4805">
          <cell r="A4805">
            <v>95910425</v>
          </cell>
          <cell r="B4805" t="str">
            <v>출시1차_출석25일</v>
          </cell>
        </row>
        <row r="4806">
          <cell r="A4806">
            <v>95910426</v>
          </cell>
          <cell r="B4806" t="str">
            <v>출시1차_출석26일</v>
          </cell>
        </row>
        <row r="4807">
          <cell r="A4807">
            <v>95910427</v>
          </cell>
          <cell r="B4807" t="str">
            <v>출시1차_출석27일</v>
          </cell>
        </row>
        <row r="4808">
          <cell r="A4808">
            <v>95910428</v>
          </cell>
          <cell r="B4808" t="str">
            <v>출시1차_출석28일</v>
          </cell>
        </row>
        <row r="4809">
          <cell r="A4809">
            <v>95910429</v>
          </cell>
          <cell r="B4809" t="str">
            <v>출시1차_출석29일</v>
          </cell>
        </row>
        <row r="4810">
          <cell r="A4810">
            <v>95910430</v>
          </cell>
          <cell r="B4810" t="str">
            <v>출시1차_출석30일</v>
          </cell>
        </row>
        <row r="4811">
          <cell r="A4811">
            <v>95910431</v>
          </cell>
          <cell r="B4811" t="str">
            <v>출시1차_출석31일</v>
          </cell>
        </row>
        <row r="4812">
          <cell r="A4812">
            <v>95910432</v>
          </cell>
          <cell r="B4812" t="str">
            <v>출시1차_핫타임_월1</v>
          </cell>
        </row>
        <row r="4813">
          <cell r="A4813">
            <v>95910433</v>
          </cell>
          <cell r="B4813" t="str">
            <v>출시1차_핫타임_월2</v>
          </cell>
        </row>
        <row r="4814">
          <cell r="A4814">
            <v>95910434</v>
          </cell>
          <cell r="B4814" t="str">
            <v>출시1차_핫타임_월3</v>
          </cell>
        </row>
        <row r="4815">
          <cell r="A4815">
            <v>95910435</v>
          </cell>
          <cell r="B4815" t="str">
            <v>출시1차_핫타임_월4</v>
          </cell>
        </row>
        <row r="4816">
          <cell r="A4816">
            <v>95910436</v>
          </cell>
          <cell r="B4816" t="str">
            <v>출시1차_핫타임_화1</v>
          </cell>
        </row>
        <row r="4817">
          <cell r="A4817">
            <v>95910437</v>
          </cell>
          <cell r="B4817" t="str">
            <v>출시1차_핫타임_화2</v>
          </cell>
        </row>
        <row r="4818">
          <cell r="A4818">
            <v>95910438</v>
          </cell>
          <cell r="B4818" t="str">
            <v>출시1차_핫타임_화3</v>
          </cell>
        </row>
        <row r="4819">
          <cell r="A4819">
            <v>95910439</v>
          </cell>
          <cell r="B4819" t="str">
            <v>출시1차_핫타임_화4</v>
          </cell>
        </row>
        <row r="4820">
          <cell r="A4820">
            <v>95910440</v>
          </cell>
          <cell r="B4820" t="str">
            <v>출시1차_핫타임_수1</v>
          </cell>
        </row>
        <row r="4821">
          <cell r="A4821">
            <v>95910441</v>
          </cell>
          <cell r="B4821" t="str">
            <v>출시1차_핫타임_수2</v>
          </cell>
        </row>
        <row r="4822">
          <cell r="A4822">
            <v>95910442</v>
          </cell>
          <cell r="B4822" t="str">
            <v>출시1차_핫타임_수3</v>
          </cell>
        </row>
        <row r="4823">
          <cell r="A4823">
            <v>95910443</v>
          </cell>
          <cell r="B4823" t="str">
            <v>출시1차_핫타임_수4</v>
          </cell>
        </row>
        <row r="4824">
          <cell r="A4824">
            <v>95910444</v>
          </cell>
          <cell r="B4824" t="str">
            <v>출시1차_핫타임_목1</v>
          </cell>
        </row>
        <row r="4825">
          <cell r="A4825">
            <v>95910445</v>
          </cell>
          <cell r="B4825" t="str">
            <v>출시1차_핫타임_목2</v>
          </cell>
        </row>
        <row r="4826">
          <cell r="A4826">
            <v>95910446</v>
          </cell>
          <cell r="B4826" t="str">
            <v>출시1차_핫타임_목3</v>
          </cell>
        </row>
        <row r="4827">
          <cell r="A4827">
            <v>95910447</v>
          </cell>
          <cell r="B4827" t="str">
            <v>출시1차_핫타임_목4</v>
          </cell>
        </row>
        <row r="4828">
          <cell r="A4828">
            <v>95910448</v>
          </cell>
          <cell r="B4828" t="str">
            <v>출시1차_핫타임_금1</v>
          </cell>
        </row>
        <row r="4829">
          <cell r="A4829">
            <v>95910449</v>
          </cell>
          <cell r="B4829" t="str">
            <v>출시1차_핫타임_금2</v>
          </cell>
        </row>
        <row r="4830">
          <cell r="A4830">
            <v>95910450</v>
          </cell>
          <cell r="B4830" t="str">
            <v>출시1차_핫타임_금3</v>
          </cell>
        </row>
        <row r="4831">
          <cell r="A4831">
            <v>95910451</v>
          </cell>
          <cell r="B4831" t="str">
            <v>출시1차_핫타임_금4</v>
          </cell>
        </row>
        <row r="4832">
          <cell r="A4832">
            <v>95910452</v>
          </cell>
          <cell r="B4832" t="str">
            <v>출시1차_핫타임_토1</v>
          </cell>
        </row>
        <row r="4833">
          <cell r="A4833">
            <v>95910453</v>
          </cell>
          <cell r="B4833" t="str">
            <v>출시1차_핫타임_토2</v>
          </cell>
        </row>
        <row r="4834">
          <cell r="A4834">
            <v>95910454</v>
          </cell>
          <cell r="B4834" t="str">
            <v>출시1차_핫타임_토3</v>
          </cell>
        </row>
        <row r="4835">
          <cell r="A4835">
            <v>95910455</v>
          </cell>
          <cell r="B4835" t="str">
            <v>출시1차_핫타임_토4</v>
          </cell>
        </row>
        <row r="4836">
          <cell r="A4836">
            <v>95910456</v>
          </cell>
          <cell r="B4836" t="str">
            <v>출시1차_핫타임_일1</v>
          </cell>
        </row>
        <row r="4837">
          <cell r="A4837">
            <v>95910457</v>
          </cell>
          <cell r="B4837" t="str">
            <v>출시1차_핫타임_일2</v>
          </cell>
        </row>
        <row r="4838">
          <cell r="A4838">
            <v>95910458</v>
          </cell>
          <cell r="B4838" t="str">
            <v>출시1차_핫타임_일3</v>
          </cell>
        </row>
        <row r="4839">
          <cell r="A4839">
            <v>95910459</v>
          </cell>
          <cell r="B4839" t="str">
            <v>출시1차_핫타임_일4</v>
          </cell>
        </row>
        <row r="4840">
          <cell r="A4840">
            <v>95910460</v>
          </cell>
          <cell r="B4840" t="str">
            <v>출시1차_일간 1-13 공용</v>
          </cell>
        </row>
        <row r="4841">
          <cell r="A4841">
            <v>95910461</v>
          </cell>
          <cell r="B4841" t="str">
            <v>출시1차_일간 14-20 공용</v>
          </cell>
        </row>
        <row r="4842">
          <cell r="A4842">
            <v>95910462</v>
          </cell>
          <cell r="B4842" t="str">
            <v>출시1차_일간 21-30 공용</v>
          </cell>
        </row>
        <row r="4843">
          <cell r="A4843">
            <v>95910463</v>
          </cell>
          <cell r="B4843" t="str">
            <v>출시1차_일간 31-40 공용</v>
          </cell>
        </row>
        <row r="4844">
          <cell r="A4844">
            <v>95910464</v>
          </cell>
          <cell r="B4844" t="str">
            <v>출시1차_일간 41-50 공용</v>
          </cell>
        </row>
        <row r="4845">
          <cell r="A4845">
            <v>95910465</v>
          </cell>
          <cell r="B4845" t="str">
            <v>출시1차_일간 51-60 공용</v>
          </cell>
        </row>
        <row r="4846">
          <cell r="A4846">
            <v>95910466</v>
          </cell>
          <cell r="B4846" t="str">
            <v>출시1차_일간 61-70 공용</v>
          </cell>
        </row>
        <row r="4847">
          <cell r="A4847">
            <v>95910467</v>
          </cell>
          <cell r="B4847" t="str">
            <v>출시1차_일간 71-80 공용</v>
          </cell>
        </row>
        <row r="4848">
          <cell r="A4848">
            <v>95910468</v>
          </cell>
          <cell r="B4848" t="str">
            <v>출시1차_일간 81-90 공용</v>
          </cell>
        </row>
        <row r="4849">
          <cell r="A4849">
            <v>95910469</v>
          </cell>
          <cell r="B4849" t="str">
            <v>출시1차_일간 91-99 공용</v>
          </cell>
        </row>
        <row r="4850">
          <cell r="A4850">
            <v>95910470</v>
          </cell>
          <cell r="B4850" t="str">
            <v>출시1차_일간 1-13 교역</v>
          </cell>
        </row>
        <row r="4851">
          <cell r="A4851">
            <v>95910471</v>
          </cell>
          <cell r="B4851" t="str">
            <v>출시1차_일간 14-20 교역</v>
          </cell>
        </row>
        <row r="4852">
          <cell r="A4852">
            <v>95910472</v>
          </cell>
          <cell r="B4852" t="str">
            <v>출시1차_일간 21-30 교역</v>
          </cell>
        </row>
        <row r="4853">
          <cell r="A4853">
            <v>95910473</v>
          </cell>
          <cell r="B4853" t="str">
            <v>출시1차_일간 31-40 교역</v>
          </cell>
        </row>
        <row r="4854">
          <cell r="A4854">
            <v>95910474</v>
          </cell>
          <cell r="B4854" t="str">
            <v>출시1차_일간 41-50 교역</v>
          </cell>
        </row>
        <row r="4855">
          <cell r="A4855">
            <v>95910475</v>
          </cell>
          <cell r="B4855" t="str">
            <v>출시1차_일간 51-60 교역</v>
          </cell>
        </row>
        <row r="4856">
          <cell r="A4856">
            <v>95910476</v>
          </cell>
          <cell r="B4856" t="str">
            <v>출시1차_일간 61-70 교역</v>
          </cell>
        </row>
        <row r="4857">
          <cell r="A4857">
            <v>95910477</v>
          </cell>
          <cell r="B4857" t="str">
            <v>출시1차_일간 71-80 교역</v>
          </cell>
        </row>
        <row r="4858">
          <cell r="A4858">
            <v>95910478</v>
          </cell>
          <cell r="B4858" t="str">
            <v>출시1차_일간 81-90 교역</v>
          </cell>
        </row>
        <row r="4859">
          <cell r="A4859">
            <v>95910479</v>
          </cell>
          <cell r="B4859" t="str">
            <v>출시1차_일간 91-99 교역</v>
          </cell>
        </row>
        <row r="4860">
          <cell r="A4860">
            <v>95910480</v>
          </cell>
          <cell r="B4860" t="str">
            <v>출시1차_일간 1-13 모험</v>
          </cell>
        </row>
        <row r="4861">
          <cell r="A4861">
            <v>95910481</v>
          </cell>
          <cell r="B4861" t="str">
            <v>출시1차_일간 14-20 모험</v>
          </cell>
        </row>
        <row r="4862">
          <cell r="A4862">
            <v>95910482</v>
          </cell>
          <cell r="B4862" t="str">
            <v>출시1차_일간 21-30 모험</v>
          </cell>
        </row>
        <row r="4863">
          <cell r="A4863">
            <v>95910483</v>
          </cell>
          <cell r="B4863" t="str">
            <v>출시1차_일간 31-40 모험</v>
          </cell>
        </row>
        <row r="4864">
          <cell r="A4864">
            <v>95910484</v>
          </cell>
          <cell r="B4864" t="str">
            <v>출시1차_일간 41-50 모험</v>
          </cell>
        </row>
        <row r="4865">
          <cell r="A4865">
            <v>95910485</v>
          </cell>
          <cell r="B4865" t="str">
            <v>출시1차_일간 51-60 모험</v>
          </cell>
        </row>
        <row r="4866">
          <cell r="A4866">
            <v>95910486</v>
          </cell>
          <cell r="B4866" t="str">
            <v>출시1차_일간 61-70 모험</v>
          </cell>
        </row>
        <row r="4867">
          <cell r="A4867">
            <v>95910487</v>
          </cell>
          <cell r="B4867" t="str">
            <v>출시1차_일간 71-80 모험</v>
          </cell>
        </row>
        <row r="4868">
          <cell r="A4868">
            <v>95910488</v>
          </cell>
          <cell r="B4868" t="str">
            <v>출시1차_일간 81-90 모험</v>
          </cell>
        </row>
        <row r="4869">
          <cell r="A4869">
            <v>95910489</v>
          </cell>
          <cell r="B4869" t="str">
            <v>출시1차_일간 91-99 모험</v>
          </cell>
        </row>
        <row r="4870">
          <cell r="A4870">
            <v>95910490</v>
          </cell>
          <cell r="B4870" t="str">
            <v>출시1차_일간 1-13 전투</v>
          </cell>
        </row>
        <row r="4871">
          <cell r="A4871">
            <v>95910491</v>
          </cell>
          <cell r="B4871" t="str">
            <v>출시1차_일간 14-20 전투</v>
          </cell>
        </row>
        <row r="4872">
          <cell r="A4872">
            <v>95910492</v>
          </cell>
          <cell r="B4872" t="str">
            <v>출시1차_일간 21-30 전투</v>
          </cell>
        </row>
        <row r="4873">
          <cell r="A4873">
            <v>95910493</v>
          </cell>
          <cell r="B4873" t="str">
            <v>출시1차_일간 31-40 전투</v>
          </cell>
        </row>
        <row r="4874">
          <cell r="A4874">
            <v>95910494</v>
          </cell>
          <cell r="B4874" t="str">
            <v>출시1차_일간 41-50 전투</v>
          </cell>
        </row>
        <row r="4875">
          <cell r="A4875">
            <v>95910495</v>
          </cell>
          <cell r="B4875" t="str">
            <v>출시1차_일간 51-60 전투</v>
          </cell>
        </row>
        <row r="4876">
          <cell r="A4876">
            <v>95910496</v>
          </cell>
          <cell r="B4876" t="str">
            <v>출시1차_일간 61-70 전투</v>
          </cell>
        </row>
        <row r="4877">
          <cell r="A4877">
            <v>95910497</v>
          </cell>
          <cell r="B4877" t="str">
            <v>출시1차_일간 71-80 전투</v>
          </cell>
        </row>
        <row r="4878">
          <cell r="A4878">
            <v>95910498</v>
          </cell>
          <cell r="B4878" t="str">
            <v>출시1차_일간 81-90 전투</v>
          </cell>
        </row>
        <row r="4879">
          <cell r="A4879">
            <v>95910499</v>
          </cell>
          <cell r="B4879" t="str">
            <v>출시1차_일간 91-99 전투</v>
          </cell>
        </row>
        <row r="4880">
          <cell r="A4880">
            <v>95910500</v>
          </cell>
          <cell r="B4880" t="str">
            <v>출시1차_주간 1-20</v>
          </cell>
        </row>
        <row r="4881">
          <cell r="A4881">
            <v>95910501</v>
          </cell>
          <cell r="B4881" t="str">
            <v>출시1차_주간 21-30</v>
          </cell>
        </row>
        <row r="4882">
          <cell r="A4882">
            <v>95910502</v>
          </cell>
          <cell r="B4882" t="str">
            <v>출시1차_주간 31-40</v>
          </cell>
        </row>
        <row r="4883">
          <cell r="A4883">
            <v>95910503</v>
          </cell>
          <cell r="B4883" t="str">
            <v>출시1차_주간 41-50</v>
          </cell>
        </row>
        <row r="4884">
          <cell r="A4884">
            <v>95910504</v>
          </cell>
          <cell r="B4884" t="str">
            <v>출시1차_주간 51-60</v>
          </cell>
        </row>
        <row r="4885">
          <cell r="A4885">
            <v>95910505</v>
          </cell>
          <cell r="B4885" t="str">
            <v>출시1차_주간 61-70</v>
          </cell>
        </row>
        <row r="4886">
          <cell r="A4886">
            <v>95910506</v>
          </cell>
          <cell r="B4886" t="str">
            <v>출시1차_주간 71-80</v>
          </cell>
        </row>
        <row r="4887">
          <cell r="A4887">
            <v>95910507</v>
          </cell>
          <cell r="B4887" t="str">
            <v>출시1차_주간 81-90</v>
          </cell>
        </row>
        <row r="4888">
          <cell r="A4888">
            <v>95910508</v>
          </cell>
          <cell r="B4888" t="str">
            <v>출시1차_주간 91-99</v>
          </cell>
        </row>
        <row r="4889">
          <cell r="A4889">
            <v>95910509</v>
          </cell>
          <cell r="B4889" t="str">
            <v>출시1차_월간 1-25</v>
          </cell>
        </row>
        <row r="4890">
          <cell r="A4890">
            <v>95910510</v>
          </cell>
          <cell r="B4890" t="str">
            <v>출시1차_월간 26-40</v>
          </cell>
        </row>
        <row r="4891">
          <cell r="A4891">
            <v>95910511</v>
          </cell>
          <cell r="B4891" t="str">
            <v>출시1차_월간 41-50</v>
          </cell>
        </row>
        <row r="4892">
          <cell r="A4892">
            <v>95910512</v>
          </cell>
          <cell r="B4892" t="str">
            <v>출시1차_월간 51-60</v>
          </cell>
        </row>
        <row r="4893">
          <cell r="A4893">
            <v>95910513</v>
          </cell>
          <cell r="B4893" t="str">
            <v>출시1차_월간 61-70</v>
          </cell>
        </row>
        <row r="4894">
          <cell r="A4894">
            <v>95910514</v>
          </cell>
          <cell r="B4894" t="str">
            <v>출시1차_월간 71-80</v>
          </cell>
        </row>
        <row r="4895">
          <cell r="A4895">
            <v>95910515</v>
          </cell>
          <cell r="B4895" t="str">
            <v>출시1차_월간 81-90</v>
          </cell>
        </row>
        <row r="4896">
          <cell r="A4896">
            <v>95910516</v>
          </cell>
          <cell r="B4896" t="str">
            <v>출시1차_월간 91-99</v>
          </cell>
        </row>
        <row r="4897">
          <cell r="A4897">
            <v>95910517</v>
          </cell>
          <cell r="B4897" t="str">
            <v>출시2차_출석1일</v>
          </cell>
        </row>
        <row r="4898">
          <cell r="A4898">
            <v>95910518</v>
          </cell>
          <cell r="B4898" t="str">
            <v>출시2차_출석2일</v>
          </cell>
        </row>
        <row r="4899">
          <cell r="A4899">
            <v>95910519</v>
          </cell>
          <cell r="B4899" t="str">
            <v>출시2차_출석3일</v>
          </cell>
        </row>
        <row r="4900">
          <cell r="A4900">
            <v>95910520</v>
          </cell>
          <cell r="B4900" t="str">
            <v>출시2차_출석4일</v>
          </cell>
        </row>
        <row r="4901">
          <cell r="A4901">
            <v>95910521</v>
          </cell>
          <cell r="B4901" t="str">
            <v>출시2차_출석5일</v>
          </cell>
        </row>
        <row r="4902">
          <cell r="A4902">
            <v>95910522</v>
          </cell>
          <cell r="B4902" t="str">
            <v>출시2차_출석6일</v>
          </cell>
        </row>
        <row r="4903">
          <cell r="A4903">
            <v>95910523</v>
          </cell>
          <cell r="B4903" t="str">
            <v>출시2차_출석7일</v>
          </cell>
        </row>
        <row r="4904">
          <cell r="A4904">
            <v>95910524</v>
          </cell>
          <cell r="B4904" t="str">
            <v>출시2차_출석8일</v>
          </cell>
        </row>
        <row r="4905">
          <cell r="A4905">
            <v>95910525</v>
          </cell>
          <cell r="B4905" t="str">
            <v>출시2차_출석9일</v>
          </cell>
        </row>
        <row r="4906">
          <cell r="A4906">
            <v>95910526</v>
          </cell>
          <cell r="B4906" t="str">
            <v>출시2차_출석10일</v>
          </cell>
        </row>
        <row r="4907">
          <cell r="A4907">
            <v>95910527</v>
          </cell>
          <cell r="B4907" t="str">
            <v>출시2차_출석11일</v>
          </cell>
        </row>
        <row r="4908">
          <cell r="A4908">
            <v>95910528</v>
          </cell>
          <cell r="B4908" t="str">
            <v>출시2차_출석12일</v>
          </cell>
        </row>
        <row r="4909">
          <cell r="A4909">
            <v>95910529</v>
          </cell>
          <cell r="B4909" t="str">
            <v>출시2차_출석13일</v>
          </cell>
        </row>
        <row r="4910">
          <cell r="A4910">
            <v>95910530</v>
          </cell>
          <cell r="B4910" t="str">
            <v>출시2차_출석14일</v>
          </cell>
        </row>
        <row r="4911">
          <cell r="A4911">
            <v>95910531</v>
          </cell>
          <cell r="B4911" t="str">
            <v>출시2차_출석15일</v>
          </cell>
        </row>
        <row r="4912">
          <cell r="A4912">
            <v>95910532</v>
          </cell>
          <cell r="B4912" t="str">
            <v>출시2차_출석16일</v>
          </cell>
        </row>
        <row r="4913">
          <cell r="A4913">
            <v>95910533</v>
          </cell>
          <cell r="B4913" t="str">
            <v>출시2차_출석17일</v>
          </cell>
        </row>
        <row r="4914">
          <cell r="A4914">
            <v>95910534</v>
          </cell>
          <cell r="B4914" t="str">
            <v>출시2차_출석18일</v>
          </cell>
        </row>
        <row r="4915">
          <cell r="A4915">
            <v>95910535</v>
          </cell>
          <cell r="B4915" t="str">
            <v>출시2차_출석19일</v>
          </cell>
        </row>
        <row r="4916">
          <cell r="A4916">
            <v>95910536</v>
          </cell>
          <cell r="B4916" t="str">
            <v>출시2차_출석20일</v>
          </cell>
        </row>
        <row r="4917">
          <cell r="A4917">
            <v>95910537</v>
          </cell>
          <cell r="B4917" t="str">
            <v>출시2차_출석21일</v>
          </cell>
        </row>
        <row r="4918">
          <cell r="A4918">
            <v>95910538</v>
          </cell>
          <cell r="B4918" t="str">
            <v>출시2차_출석22일</v>
          </cell>
        </row>
        <row r="4919">
          <cell r="A4919">
            <v>95910539</v>
          </cell>
          <cell r="B4919" t="str">
            <v>출시2차_출석23일</v>
          </cell>
        </row>
        <row r="4920">
          <cell r="A4920">
            <v>95910540</v>
          </cell>
          <cell r="B4920" t="str">
            <v>출시2차_출석24일</v>
          </cell>
        </row>
        <row r="4921">
          <cell r="A4921">
            <v>95910541</v>
          </cell>
          <cell r="B4921" t="str">
            <v>출시2차_출석25일</v>
          </cell>
        </row>
        <row r="4922">
          <cell r="A4922">
            <v>95910542</v>
          </cell>
          <cell r="B4922" t="str">
            <v>출시2차_출석26일</v>
          </cell>
        </row>
        <row r="4923">
          <cell r="A4923">
            <v>95910543</v>
          </cell>
          <cell r="B4923" t="str">
            <v>출시2차_출석27일</v>
          </cell>
        </row>
        <row r="4924">
          <cell r="A4924">
            <v>95910544</v>
          </cell>
          <cell r="B4924" t="str">
            <v>출시2차_출석28일</v>
          </cell>
        </row>
        <row r="4925">
          <cell r="A4925">
            <v>95910545</v>
          </cell>
          <cell r="B4925" t="str">
            <v>출시2차_출석29일</v>
          </cell>
        </row>
        <row r="4926">
          <cell r="A4926">
            <v>95910546</v>
          </cell>
          <cell r="B4926" t="str">
            <v>출시2차_출석30일</v>
          </cell>
        </row>
        <row r="4927">
          <cell r="A4927">
            <v>95910547</v>
          </cell>
          <cell r="B4927" t="str">
            <v>출시2차_출석31일</v>
          </cell>
        </row>
        <row r="4928">
          <cell r="A4928">
            <v>95910548</v>
          </cell>
          <cell r="B4928" t="str">
            <v>출시1차_일간 1-13 두카트</v>
          </cell>
        </row>
        <row r="4929">
          <cell r="A4929">
            <v>95910549</v>
          </cell>
          <cell r="B4929" t="str">
            <v>출시1차_일간 14-20 두카트</v>
          </cell>
        </row>
        <row r="4930">
          <cell r="A4930">
            <v>95910550</v>
          </cell>
          <cell r="B4930" t="str">
            <v>출시1차_일간 21-30 두카트</v>
          </cell>
        </row>
        <row r="4931">
          <cell r="A4931">
            <v>95910551</v>
          </cell>
          <cell r="B4931" t="str">
            <v>출시1차_일간 31-40 두카트</v>
          </cell>
        </row>
        <row r="4932">
          <cell r="A4932">
            <v>95910552</v>
          </cell>
          <cell r="B4932" t="str">
            <v>출시1차_일간 41-50 두카트</v>
          </cell>
        </row>
        <row r="4933">
          <cell r="A4933">
            <v>95910553</v>
          </cell>
          <cell r="B4933" t="str">
            <v>출시1차_일간 51-60 두카트</v>
          </cell>
        </row>
        <row r="4934">
          <cell r="A4934">
            <v>95910554</v>
          </cell>
          <cell r="B4934" t="str">
            <v>출시1차_일간 61-70 두카트</v>
          </cell>
        </row>
        <row r="4935">
          <cell r="A4935">
            <v>95910555</v>
          </cell>
          <cell r="B4935" t="str">
            <v>출시1차_일간 71-80 두카트</v>
          </cell>
        </row>
        <row r="4936">
          <cell r="A4936">
            <v>95910556</v>
          </cell>
          <cell r="B4936" t="str">
            <v>출시1차_일간 81-90 두카트</v>
          </cell>
        </row>
        <row r="4937">
          <cell r="A4937">
            <v>95910557</v>
          </cell>
          <cell r="B4937" t="str">
            <v>출시1차_일간 91-99 두카트</v>
          </cell>
        </row>
        <row r="4938">
          <cell r="A4938">
            <v>95910558</v>
          </cell>
          <cell r="B4938" t="str">
            <v>출시1차_일간 건조 1-2 가속권</v>
          </cell>
        </row>
        <row r="4939">
          <cell r="A4939">
            <v>95910559</v>
          </cell>
          <cell r="B4939" t="str">
            <v>출시1차_일간 건조 3-4 가속권</v>
          </cell>
        </row>
        <row r="4940">
          <cell r="A4940">
            <v>95910560</v>
          </cell>
          <cell r="B4940" t="str">
            <v>출시1차_일간 건조 5-6 가속권</v>
          </cell>
        </row>
        <row r="4941">
          <cell r="A4941">
            <v>95910561</v>
          </cell>
          <cell r="B4941" t="str">
            <v>출시1차_일간 건조 7-8 가속권</v>
          </cell>
        </row>
        <row r="4942">
          <cell r="A4942">
            <v>95910562</v>
          </cell>
          <cell r="B4942" t="str">
            <v>출시1차_일간 건조 9-10 가속권</v>
          </cell>
        </row>
        <row r="4943">
          <cell r="A4943">
            <v>95910563</v>
          </cell>
          <cell r="B4943" t="str">
            <v>출시1차_일간 건조 1-2 나무</v>
          </cell>
        </row>
        <row r="4944">
          <cell r="A4944">
            <v>95910564</v>
          </cell>
          <cell r="B4944" t="str">
            <v>출시1차_일간 건조 3-4 나무</v>
          </cell>
        </row>
        <row r="4945">
          <cell r="A4945">
            <v>95910565</v>
          </cell>
          <cell r="B4945" t="str">
            <v>출시1차_일간 건조 5-6 나무</v>
          </cell>
        </row>
        <row r="4946">
          <cell r="A4946">
            <v>95910566</v>
          </cell>
          <cell r="B4946" t="str">
            <v>출시1차_일간 건조 7-8 나무</v>
          </cell>
        </row>
        <row r="4947">
          <cell r="A4947">
            <v>95910567</v>
          </cell>
          <cell r="B4947" t="str">
            <v>출시1차_일간 건조 9-10 나무</v>
          </cell>
        </row>
        <row r="4948">
          <cell r="A4948">
            <v>95910568</v>
          </cell>
          <cell r="B4948" t="str">
            <v>출시1차_일간 건조 1-2 돛대</v>
          </cell>
        </row>
        <row r="4949">
          <cell r="A4949">
            <v>95910569</v>
          </cell>
          <cell r="B4949" t="str">
            <v>출시1차_일간 건조 3-4 돛대</v>
          </cell>
        </row>
        <row r="4950">
          <cell r="A4950">
            <v>95910570</v>
          </cell>
          <cell r="B4950" t="str">
            <v>출시1차_일간 건조 5-6 돛대</v>
          </cell>
        </row>
        <row r="4951">
          <cell r="A4951">
            <v>95910571</v>
          </cell>
          <cell r="B4951" t="str">
            <v>출시1차_일간 건조 7-8 돛대</v>
          </cell>
        </row>
        <row r="4952">
          <cell r="A4952">
            <v>95910572</v>
          </cell>
          <cell r="B4952" t="str">
            <v>출시1차_일간 건조 9-10 돛대</v>
          </cell>
        </row>
        <row r="4953">
          <cell r="A4953">
            <v>95910573</v>
          </cell>
          <cell r="B4953" t="str">
            <v>출시1차_일간 건조 1-2 포문</v>
          </cell>
        </row>
        <row r="4954">
          <cell r="A4954">
            <v>95910574</v>
          </cell>
          <cell r="B4954" t="str">
            <v>출시1차_일간 건조 3-4 포문</v>
          </cell>
        </row>
        <row r="4955">
          <cell r="A4955">
            <v>95910575</v>
          </cell>
          <cell r="B4955" t="str">
            <v>출시1차_일간 건조 5-6 포문</v>
          </cell>
        </row>
        <row r="4956">
          <cell r="A4956">
            <v>95910576</v>
          </cell>
          <cell r="B4956" t="str">
            <v>출시1차_일간 건조 7-8 포문</v>
          </cell>
        </row>
        <row r="4957">
          <cell r="A4957">
            <v>95910577</v>
          </cell>
          <cell r="B4957" t="str">
            <v>출시1차_일간 건조 9-10 포문</v>
          </cell>
        </row>
        <row r="4958">
          <cell r="A4958">
            <v>95910578</v>
          </cell>
          <cell r="B4958" t="str">
            <v>출시1차_주간 1-20 두카트</v>
          </cell>
        </row>
        <row r="4959">
          <cell r="A4959">
            <v>95910579</v>
          </cell>
          <cell r="B4959" t="str">
            <v>출시1차_주간 21-30 두카트</v>
          </cell>
        </row>
        <row r="4960">
          <cell r="A4960">
            <v>95910580</v>
          </cell>
          <cell r="B4960" t="str">
            <v>출시1차_주간 31-40 두카트</v>
          </cell>
        </row>
        <row r="4961">
          <cell r="A4961">
            <v>95910581</v>
          </cell>
          <cell r="B4961" t="str">
            <v>출시1차_주간 41-50 두카트</v>
          </cell>
        </row>
        <row r="4962">
          <cell r="A4962">
            <v>95910582</v>
          </cell>
          <cell r="B4962" t="str">
            <v>출시1차_주간 51-60 두카트</v>
          </cell>
        </row>
        <row r="4963">
          <cell r="A4963">
            <v>95910583</v>
          </cell>
          <cell r="B4963" t="str">
            <v>출시1차_주간 61-70 두카트</v>
          </cell>
        </row>
        <row r="4964">
          <cell r="A4964">
            <v>95910584</v>
          </cell>
          <cell r="B4964" t="str">
            <v>출시1차_주간 71-80 두카트</v>
          </cell>
        </row>
        <row r="4965">
          <cell r="A4965">
            <v>95910585</v>
          </cell>
          <cell r="B4965" t="str">
            <v>출시1차_주간 81-90 두카트</v>
          </cell>
        </row>
        <row r="4966">
          <cell r="A4966">
            <v>95910586</v>
          </cell>
          <cell r="B4966" t="str">
            <v>출시1차_주간 91-99 두카트</v>
          </cell>
        </row>
        <row r="4967">
          <cell r="A4967">
            <v>95910587</v>
          </cell>
          <cell r="B4967" t="str">
            <v>출시1차_주간 건조 1-4 도면</v>
          </cell>
        </row>
        <row r="4968">
          <cell r="A4968">
            <v>95910588</v>
          </cell>
          <cell r="B4968" t="str">
            <v>출시1차_주간 건조 5-12 도면</v>
          </cell>
        </row>
        <row r="4969">
          <cell r="A4969">
            <v>95910589</v>
          </cell>
          <cell r="B4969" t="str">
            <v>출시1차_일간 건조 11-12 나무</v>
          </cell>
        </row>
        <row r="4970">
          <cell r="A4970">
            <v>95910590</v>
          </cell>
          <cell r="B4970" t="str">
            <v>출시1차_일간 건조 11-12 돛대</v>
          </cell>
        </row>
        <row r="4971">
          <cell r="A4971">
            <v>95910591</v>
          </cell>
          <cell r="B4971" t="str">
            <v>출시1차_일간 건조 11-12 포문</v>
          </cell>
        </row>
        <row r="4972">
          <cell r="A4972">
            <v>95912000</v>
          </cell>
          <cell r="B4972" t="str">
            <v>보물 사냥 동료를 찾습니다 보상_전투</v>
          </cell>
        </row>
        <row r="4973">
          <cell r="A4973">
            <v>95912001</v>
          </cell>
          <cell r="B4973" t="str">
            <v>가돈 럼의 지옥 주방 보상_교역</v>
          </cell>
        </row>
        <row r="4974">
          <cell r="A4974">
            <v>95912002</v>
          </cell>
          <cell r="B4974" t="str">
            <v>주사위의 달인 보상_전투</v>
          </cell>
        </row>
        <row r="4975">
          <cell r="A4975">
            <v>95912003</v>
          </cell>
          <cell r="B4975" t="str">
            <v>칙명 퀘스트  - 에스파냐의 기밀 칙명</v>
          </cell>
        </row>
        <row r="4976">
          <cell r="A4976">
            <v>95912004</v>
          </cell>
          <cell r="B4976" t="str">
            <v>칙명 퀘스트  - 런던의 수상한 쪽지</v>
          </cell>
        </row>
        <row r="4977">
          <cell r="A4977">
            <v>95912005</v>
          </cell>
          <cell r="B4977" t="str">
            <v>칙명 퀘스트  - 필럼의 기밀문서</v>
          </cell>
        </row>
        <row r="4978">
          <cell r="A4978">
            <v>95912006</v>
          </cell>
          <cell r="B4978" t="str">
            <v>칙명 퀘스트  - 최상품 은방울꽃</v>
          </cell>
        </row>
        <row r="4979">
          <cell r="A4979">
            <v>95912007</v>
          </cell>
          <cell r="B4979" t="str">
            <v>종업원 퀘스트 - 행운의 라벤더</v>
          </cell>
        </row>
        <row r="4980">
          <cell r="A4980">
            <v>95912008</v>
          </cell>
          <cell r="B4980" t="str">
            <v>종업원 퀘스트 - 귀중한 호박</v>
          </cell>
        </row>
        <row r="4981">
          <cell r="A4981">
            <v>95912009</v>
          </cell>
          <cell r="B4981" t="str">
            <v>종업원 퀘스트 - 켈레벡의 화석</v>
          </cell>
        </row>
        <row r="4982">
          <cell r="A4982">
            <v>95912010</v>
          </cell>
          <cell r="B4982" t="str">
            <v>종업원 퀘스트 - 배달용 올리브</v>
          </cell>
        </row>
        <row r="4983">
          <cell r="A4983">
            <v>95912011</v>
          </cell>
          <cell r="B4983" t="str">
            <v>종업원 퀘스트 - 배달용 피클</v>
          </cell>
        </row>
        <row r="4984">
          <cell r="A4984">
            <v>95912012</v>
          </cell>
          <cell r="B4984" t="str">
            <v>종업원 퀘스트 - 배달용 인쇄물</v>
          </cell>
        </row>
        <row r="4985">
          <cell r="A4985">
            <v>95912013</v>
          </cell>
          <cell r="B4985" t="str">
            <v>종업원 퀘스트  - 지아나에게 줄 조젯</v>
          </cell>
        </row>
        <row r="4986">
          <cell r="A4986">
            <v>95912014</v>
          </cell>
          <cell r="B4986" t="str">
            <v>종업원 퀘스트  - 지아나에게 줄  니시진오리</v>
          </cell>
        </row>
        <row r="4987">
          <cell r="A4987">
            <v>95912015</v>
          </cell>
          <cell r="B4987" t="str">
            <v>종업원 퀘스트  - 엘리프의 편지</v>
          </cell>
        </row>
        <row r="4988">
          <cell r="A4988">
            <v>95912016</v>
          </cell>
          <cell r="B4988" t="str">
            <v>종업원 퀘스트  - 제바히르의 편지</v>
          </cell>
        </row>
        <row r="4989">
          <cell r="A4989">
            <v>95912017</v>
          </cell>
          <cell r="B4989" t="str">
            <v>칙명 퀘스트  - 상자 속의 기록</v>
          </cell>
        </row>
        <row r="4990">
          <cell r="A4990">
            <v>95912018</v>
          </cell>
          <cell r="B4990" t="str">
            <v>칙명 퀘스트  - 낡은 항해일지</v>
          </cell>
        </row>
        <row r="4991">
          <cell r="A4991">
            <v>95912019</v>
          </cell>
          <cell r="B4991" t="str">
            <v>칙명 퀘스트  - 유적의 항해일지</v>
          </cell>
        </row>
        <row r="4992">
          <cell r="A4992">
            <v>95912020</v>
          </cell>
          <cell r="B4992" t="str">
            <v>종업원 퀘스트  - 가은정의 편지</v>
          </cell>
        </row>
        <row r="4993">
          <cell r="A4993">
            <v>95912021</v>
          </cell>
          <cell r="B4993" t="str">
            <v>종업원 퀘스트  - 즈쓰후아의 술</v>
          </cell>
        </row>
        <row r="4994">
          <cell r="A4994">
            <v>95912022</v>
          </cell>
          <cell r="B4994" t="str">
            <v>칙명 퀘스트 - 교역용 두루마리</v>
          </cell>
        </row>
        <row r="4995">
          <cell r="A4995">
            <v>95912023</v>
          </cell>
          <cell r="B4995" t="str">
            <v>칙명 퀘스트 - 단서가 적힌 두루마리</v>
          </cell>
        </row>
        <row r="4996">
          <cell r="A4996">
            <v>95912024</v>
          </cell>
          <cell r="B4996" t="str">
            <v>칙명 퀘스트 - 항해 증명서</v>
          </cell>
        </row>
        <row r="4997">
          <cell r="A4997">
            <v>95912025</v>
          </cell>
          <cell r="B4997" t="str">
            <v>칙명 퀘스트  - 네이블 총독의 서신</v>
          </cell>
        </row>
        <row r="4998">
          <cell r="A4998">
            <v>95912026</v>
          </cell>
          <cell r="B4998" t="str">
            <v>칙명 퀘스트  - 발라번 2세의 검</v>
          </cell>
        </row>
        <row r="4999">
          <cell r="A4999">
            <v>95912027</v>
          </cell>
          <cell r="B4999" t="str">
            <v>종업원 퀘스트  - 돌로리스가 쓴 동화</v>
          </cell>
        </row>
        <row r="5000">
          <cell r="A5000">
            <v>95912028</v>
          </cell>
          <cell r="B5000" t="str">
            <v>종업원 퀘스트  - 독서모임 초대장</v>
          </cell>
        </row>
        <row r="5001">
          <cell r="A5001">
            <v>95912029</v>
          </cell>
          <cell r="B5001" t="str">
            <v>칙명 퀘스트  - 비밀 암호문</v>
          </cell>
        </row>
        <row r="5002">
          <cell r="A5002">
            <v>95912030</v>
          </cell>
          <cell r="B5002" t="str">
            <v>종업원 퀘스트  - 아난드의 목걸이</v>
          </cell>
        </row>
        <row r="5003">
          <cell r="A5003">
            <v>95912031</v>
          </cell>
          <cell r="B5003" t="str">
            <v>종업원 퀘스트  - 핀자라의 전설</v>
          </cell>
        </row>
        <row r="5004">
          <cell r="A5004">
            <v>95912032</v>
          </cell>
          <cell r="B5004" t="str">
            <v>종업원 퀘스트  - 호바돈의 전설</v>
          </cell>
        </row>
        <row r="5005">
          <cell r="A5005">
            <v>95912033</v>
          </cell>
          <cell r="B5005" t="str">
            <v>종업원 퀘스트  - 주문제작 오팔 반지</v>
          </cell>
        </row>
        <row r="5006">
          <cell r="A5006">
            <v>95912034</v>
          </cell>
          <cell r="B5006" t="str">
            <v>칙명 퀘스트 - 총병관의 서신</v>
          </cell>
        </row>
        <row r="5007">
          <cell r="A5007">
            <v>95912035</v>
          </cell>
          <cell r="B5007" t="str">
            <v>칙명 퀘스트 - 선물용 용정차</v>
          </cell>
        </row>
        <row r="5008">
          <cell r="A5008">
            <v>95912036</v>
          </cell>
          <cell r="B5008" t="str">
            <v>종업원 퀘스트  - 나오미의 그림</v>
          </cell>
        </row>
        <row r="5009">
          <cell r="A5009">
            <v>95912037</v>
          </cell>
          <cell r="B5009" t="str">
            <v>종업원 퀘스트  - 페구산 목재</v>
          </cell>
        </row>
        <row r="5010">
          <cell r="A5010">
            <v>95912038</v>
          </cell>
          <cell r="B5010" t="str">
            <v>종업원 퀘스트  - 친구의 편지</v>
          </cell>
        </row>
        <row r="5011">
          <cell r="A5011">
            <v>95912039</v>
          </cell>
          <cell r="B5011" t="str">
            <v>종업원 퀘스트  - 청혼 반지</v>
          </cell>
        </row>
        <row r="5012">
          <cell r="A5012">
            <v>95912040</v>
          </cell>
          <cell r="B5012" t="str">
            <v>빚쟁이를 잡아라_전투</v>
          </cell>
        </row>
        <row r="5013">
          <cell r="A5013">
            <v>95912041</v>
          </cell>
          <cell r="B5013" t="str">
            <v>빚쟁이를 잡아라2_전투</v>
          </cell>
        </row>
        <row r="5014">
          <cell r="A5014">
            <v>95912042</v>
          </cell>
          <cell r="B5014" t="str">
            <v>빚쟁이를 잡아라3_전투</v>
          </cell>
        </row>
        <row r="5015">
          <cell r="A5015">
            <v>95912043</v>
          </cell>
          <cell r="B5015" t="str">
            <v>런던 특제 위스키</v>
          </cell>
        </row>
        <row r="5016">
          <cell r="A5016">
            <v>95912044</v>
          </cell>
          <cell r="B5016" t="str">
            <v>암스테르담 특제 진</v>
          </cell>
        </row>
        <row r="5017">
          <cell r="A5017">
            <v>95912045</v>
          </cell>
          <cell r="B5017" t="str">
            <v>함부르크 특제 맥주</v>
          </cell>
        </row>
        <row r="5018">
          <cell r="A5018">
            <v>95912046</v>
          </cell>
          <cell r="B5018" t="str">
            <v>베르겐 특제 아콰비트</v>
          </cell>
        </row>
        <row r="5019">
          <cell r="A5019">
            <v>95912047</v>
          </cell>
          <cell r="B5019" t="str">
            <v>상트페테르부르크 특제 보드카</v>
          </cell>
        </row>
        <row r="5020">
          <cell r="A5020">
            <v>95912048</v>
          </cell>
          <cell r="B5020" t="str">
            <v>칼레 특제 고블랭</v>
          </cell>
        </row>
        <row r="5021">
          <cell r="A5021">
            <v>95912049</v>
          </cell>
          <cell r="B5021" t="str">
            <v>암스테르담 특제 트위드</v>
          </cell>
        </row>
        <row r="5022">
          <cell r="A5022">
            <v>95912050</v>
          </cell>
          <cell r="B5022" t="str">
            <v>상트페테르부르크 특제 펠트</v>
          </cell>
        </row>
        <row r="5023">
          <cell r="A5023">
            <v>95912051</v>
          </cell>
          <cell r="B5023" t="str">
            <v>런던 특제 플란넬</v>
          </cell>
        </row>
        <row r="5024">
          <cell r="A5024">
            <v>95912052</v>
          </cell>
          <cell r="B5024" t="str">
            <v>칙명 퀘스트 - 총독의 서신</v>
          </cell>
        </row>
        <row r="5025">
          <cell r="A5025">
            <v>95912053</v>
          </cell>
          <cell r="B5025" t="str">
            <v>칙명 퀘스트 - 용설란 모종</v>
          </cell>
        </row>
        <row r="5026">
          <cell r="A5026">
            <v>95912054</v>
          </cell>
          <cell r="B5026" t="str">
            <v>칙명 퀘스트 - 특제 푸스틱</v>
          </cell>
        </row>
        <row r="5027">
          <cell r="A5027">
            <v>95912055</v>
          </cell>
          <cell r="B5027" t="str">
            <v>신입 은행원의 고충 - 채무자의 돈</v>
          </cell>
        </row>
        <row r="5028">
          <cell r="A5028">
            <v>95912056</v>
          </cell>
          <cell r="B5028" t="str">
            <v>신입 은행원의 고충 - 신용 불량자의 돈</v>
          </cell>
        </row>
        <row r="5029">
          <cell r="A5029">
            <v>95912057</v>
          </cell>
          <cell r="B5029" t="str">
            <v>신입 은행원의 고충 - 철학자의 돈</v>
          </cell>
        </row>
        <row r="5030">
          <cell r="A5030">
            <v>95912058</v>
          </cell>
          <cell r="B5030" t="str">
            <v>한 아이의 마지막 - 아이의 유골</v>
          </cell>
        </row>
        <row r="5031">
          <cell r="A5031">
            <v>95912059</v>
          </cell>
          <cell r="B5031" t="str">
            <v>한 아이의 마짐가 - 아이가 좋아하던 꽃</v>
          </cell>
        </row>
        <row r="5032">
          <cell r="A5032">
            <v>95912060</v>
          </cell>
          <cell r="B5032" t="str">
            <v>칙명 퀘스트 - 마르케스의 서신</v>
          </cell>
        </row>
        <row r="5033">
          <cell r="A5033">
            <v>95912061</v>
          </cell>
          <cell r="B5033" t="str">
            <v>칙명 퀘스트 - 석탄 덩어리</v>
          </cell>
        </row>
        <row r="5034">
          <cell r="A5034">
            <v>95912062</v>
          </cell>
          <cell r="B5034" t="str">
            <v>칙명 퀘스트 - 유럽 교역품 3종</v>
          </cell>
        </row>
        <row r="5035">
          <cell r="A5035">
            <v>95912063</v>
          </cell>
          <cell r="B5035" t="str">
            <v>은행원의 자랑 - 조작된 서류</v>
          </cell>
        </row>
        <row r="5036">
          <cell r="A5036">
            <v>95915000</v>
          </cell>
          <cell r="B5036" t="str">
            <v>이벤트 미션_타렛테 건조 재료</v>
          </cell>
        </row>
        <row r="5037">
          <cell r="A5037">
            <v>95915001</v>
          </cell>
          <cell r="B5037" t="str">
            <v>이벤트 미션_바르카 건조 재료</v>
          </cell>
        </row>
        <row r="5038">
          <cell r="A5038">
            <v>95915002</v>
          </cell>
          <cell r="B5038" t="str">
            <v>이벤트 미션_한자 코그 건조 재료</v>
          </cell>
        </row>
        <row r="5039">
          <cell r="A5039">
            <v>95915003</v>
          </cell>
          <cell r="B5039" t="str">
            <v>이벤트 미션_경량형 갤리 건조 재료</v>
          </cell>
        </row>
        <row r="5040">
          <cell r="A5040">
            <v>95915004</v>
          </cell>
          <cell r="B5040" t="str">
            <v>이벤트 미션_도면 세트</v>
          </cell>
        </row>
        <row r="5041">
          <cell r="A5041">
            <v>95920001</v>
          </cell>
          <cell r="B5041" t="str">
            <v>달성 보상_조안 페레로_일반1</v>
          </cell>
        </row>
        <row r="5042">
          <cell r="A5042">
            <v>95920002</v>
          </cell>
          <cell r="B5042" t="str">
            <v>달성 보상_조안 페레로_일반2</v>
          </cell>
        </row>
        <row r="5043">
          <cell r="A5043">
            <v>95920003</v>
          </cell>
          <cell r="B5043" t="str">
            <v>달성 보상_조안 페레로_일반3</v>
          </cell>
        </row>
        <row r="5044">
          <cell r="A5044">
            <v>95920004</v>
          </cell>
          <cell r="B5044" t="str">
            <v>달성 보상_조안 페레로_일반4</v>
          </cell>
        </row>
        <row r="5045">
          <cell r="A5045">
            <v>95920005</v>
          </cell>
          <cell r="B5045" t="str">
            <v>달성 보상_조안 페레로_일반5</v>
          </cell>
        </row>
        <row r="5046">
          <cell r="A5046">
            <v>95920006</v>
          </cell>
          <cell r="B5046" t="str">
            <v>달성 보상_조안 페레로_일반6</v>
          </cell>
        </row>
        <row r="5047">
          <cell r="A5047">
            <v>95920007</v>
          </cell>
          <cell r="B5047" t="str">
            <v>달성 보상_조안 페레로_일반7</v>
          </cell>
        </row>
        <row r="5048">
          <cell r="A5048">
            <v>95920008</v>
          </cell>
          <cell r="B5048" t="str">
            <v>달성 보상_조안 페레로_일반8</v>
          </cell>
        </row>
        <row r="5049">
          <cell r="A5049">
            <v>95920009</v>
          </cell>
          <cell r="B5049" t="str">
            <v>달성 보상_조안 페레로_일반9</v>
          </cell>
        </row>
        <row r="5050">
          <cell r="A5050">
            <v>95920010</v>
          </cell>
          <cell r="B5050" t="str">
            <v>달성 보상_조안 페레로_일반10</v>
          </cell>
        </row>
        <row r="5051">
          <cell r="A5051">
            <v>95920011</v>
          </cell>
          <cell r="B5051" t="str">
            <v>달성 보상_조안 페레로_일반11</v>
          </cell>
        </row>
        <row r="5052">
          <cell r="A5052">
            <v>95920012</v>
          </cell>
          <cell r="B5052" t="str">
            <v>달성 보상_조안 페레로_일반12</v>
          </cell>
        </row>
        <row r="5053">
          <cell r="A5053">
            <v>95920013</v>
          </cell>
          <cell r="B5053" t="str">
            <v>달성 보상_조안 페레로_일반13</v>
          </cell>
        </row>
        <row r="5054">
          <cell r="A5054">
            <v>95920014</v>
          </cell>
          <cell r="B5054" t="str">
            <v>달성 보상_조안 페레로_일반14</v>
          </cell>
        </row>
        <row r="5055">
          <cell r="A5055">
            <v>95920015</v>
          </cell>
          <cell r="B5055" t="str">
            <v>달성 보상_조안 페레로_일반15</v>
          </cell>
        </row>
        <row r="5056">
          <cell r="A5056">
            <v>95920016</v>
          </cell>
          <cell r="B5056" t="str">
            <v>달성 보상_조안 페레로_일반16</v>
          </cell>
        </row>
        <row r="5057">
          <cell r="A5057">
            <v>95920017</v>
          </cell>
          <cell r="B5057" t="str">
            <v>달성 보상_조안 페레로_회고록1</v>
          </cell>
        </row>
        <row r="5058">
          <cell r="A5058">
            <v>95920018</v>
          </cell>
          <cell r="B5058" t="str">
            <v>달성 보상_조안 페레로_회고록2</v>
          </cell>
        </row>
        <row r="5059">
          <cell r="A5059">
            <v>95920019</v>
          </cell>
          <cell r="B5059" t="str">
            <v>달성 보상_조안 페레로_회고록3</v>
          </cell>
        </row>
        <row r="5060">
          <cell r="A5060">
            <v>95920020</v>
          </cell>
          <cell r="B5060" t="str">
            <v>달성 보상_조안 페레로_회고록4</v>
          </cell>
        </row>
        <row r="5061">
          <cell r="A5061">
            <v>95920021</v>
          </cell>
          <cell r="B5061" t="str">
            <v>달성 보상_조안 페레로_회고록5</v>
          </cell>
        </row>
        <row r="5062">
          <cell r="A5062">
            <v>95920022</v>
          </cell>
          <cell r="B5062" t="str">
            <v>달성 보상_조안 페레로_회고록6</v>
          </cell>
        </row>
        <row r="5063">
          <cell r="A5063">
            <v>95920023</v>
          </cell>
          <cell r="B5063" t="str">
            <v>달성 보상_조안 페레로_회고록7</v>
          </cell>
        </row>
        <row r="5064">
          <cell r="A5064">
            <v>95920024</v>
          </cell>
          <cell r="B5064" t="str">
            <v>달성 보상_조안 페레로_회고록8</v>
          </cell>
        </row>
        <row r="5065">
          <cell r="A5065">
            <v>95920025</v>
          </cell>
          <cell r="B5065" t="str">
            <v>달성 보상_조안 페레로_회고록9</v>
          </cell>
        </row>
        <row r="5066">
          <cell r="A5066">
            <v>95920026</v>
          </cell>
          <cell r="B5066" t="str">
            <v>달성 보상_조안 페레로_회고록10</v>
          </cell>
        </row>
        <row r="5067">
          <cell r="A5067">
            <v>95920027</v>
          </cell>
          <cell r="B5067" t="str">
            <v>달성 보상_조안 페레로_회고록11</v>
          </cell>
        </row>
        <row r="5068">
          <cell r="A5068">
            <v>95920028</v>
          </cell>
          <cell r="B5068" t="str">
            <v>달성 보상_조안 페레로_회고록12</v>
          </cell>
        </row>
        <row r="5069">
          <cell r="A5069">
            <v>95920029</v>
          </cell>
          <cell r="B5069" t="str">
            <v>달성 보상_조안 페레로_회고록13</v>
          </cell>
        </row>
        <row r="5070">
          <cell r="A5070">
            <v>95920030</v>
          </cell>
          <cell r="B5070" t="str">
            <v>달성 보상_조안 페레로_회고록14</v>
          </cell>
        </row>
        <row r="5071">
          <cell r="A5071">
            <v>95920031</v>
          </cell>
          <cell r="B5071" t="str">
            <v>달성 보상_조안 페레로_회고록15</v>
          </cell>
        </row>
        <row r="5072">
          <cell r="A5072">
            <v>95920032</v>
          </cell>
          <cell r="B5072" t="str">
            <v>달성 보상_조안 페레로_회고록16</v>
          </cell>
        </row>
        <row r="5073">
          <cell r="A5073">
            <v>95920033</v>
          </cell>
          <cell r="B5073" t="str">
            <v>달성 보상_카탈리나 에란초_일반1</v>
          </cell>
        </row>
        <row r="5074">
          <cell r="A5074">
            <v>95920034</v>
          </cell>
          <cell r="B5074" t="str">
            <v>달성 보상_카탈리나 에란초_일반2</v>
          </cell>
        </row>
        <row r="5075">
          <cell r="A5075">
            <v>95920035</v>
          </cell>
          <cell r="B5075" t="str">
            <v>달성 보상_카탈리나 에란초_일반3</v>
          </cell>
        </row>
        <row r="5076">
          <cell r="A5076">
            <v>95920036</v>
          </cell>
          <cell r="B5076" t="str">
            <v>달성 보상_카탈리나 에란초_일반4</v>
          </cell>
        </row>
        <row r="5077">
          <cell r="A5077">
            <v>95920037</v>
          </cell>
          <cell r="B5077" t="str">
            <v>달성 보상_카탈리나 에란초_일반5</v>
          </cell>
        </row>
        <row r="5078">
          <cell r="A5078">
            <v>95920038</v>
          </cell>
          <cell r="B5078" t="str">
            <v>달성 보상_카탈리나 에란초_일반6</v>
          </cell>
        </row>
        <row r="5079">
          <cell r="A5079">
            <v>95920039</v>
          </cell>
          <cell r="B5079" t="str">
            <v>달성 보상_카탈리나 에란초_일반7</v>
          </cell>
        </row>
        <row r="5080">
          <cell r="A5080">
            <v>95920040</v>
          </cell>
          <cell r="B5080" t="str">
            <v>달성 보상_카탈리나 에란초_일반8</v>
          </cell>
        </row>
        <row r="5081">
          <cell r="A5081">
            <v>95920041</v>
          </cell>
          <cell r="B5081" t="str">
            <v>달성 보상_카탈리나 에란초_일반9</v>
          </cell>
        </row>
        <row r="5082">
          <cell r="A5082">
            <v>95920042</v>
          </cell>
          <cell r="B5082" t="str">
            <v>달성 보상_카탈리나 에란초_일반10</v>
          </cell>
        </row>
        <row r="5083">
          <cell r="A5083">
            <v>95920043</v>
          </cell>
          <cell r="B5083" t="str">
            <v>달성 보상_카탈리나 에란초_일반11</v>
          </cell>
        </row>
        <row r="5084">
          <cell r="A5084">
            <v>95920044</v>
          </cell>
          <cell r="B5084" t="str">
            <v>달성 보상_카탈리나 에란초_일반12</v>
          </cell>
        </row>
        <row r="5085">
          <cell r="A5085">
            <v>95920045</v>
          </cell>
          <cell r="B5085" t="str">
            <v>달성 보상_카탈리나 에란초_일반13</v>
          </cell>
        </row>
        <row r="5086">
          <cell r="A5086">
            <v>95920046</v>
          </cell>
          <cell r="B5086" t="str">
            <v>달성 보상_카탈리나 에란초_일반14</v>
          </cell>
        </row>
        <row r="5087">
          <cell r="A5087">
            <v>95920047</v>
          </cell>
          <cell r="B5087" t="str">
            <v>달성 보상_카탈리나 에란초_일반15</v>
          </cell>
        </row>
        <row r="5088">
          <cell r="A5088">
            <v>95920048</v>
          </cell>
          <cell r="B5088" t="str">
            <v>달성 보상_카탈리나 에란초_일반16</v>
          </cell>
        </row>
        <row r="5089">
          <cell r="A5089">
            <v>95920049</v>
          </cell>
          <cell r="B5089" t="str">
            <v>달성 보상_카탈리나 에란초_회고록1</v>
          </cell>
        </row>
        <row r="5090">
          <cell r="A5090">
            <v>95920050</v>
          </cell>
          <cell r="B5090" t="str">
            <v>달성 보상_카탈리나 에란초_회고록2</v>
          </cell>
        </row>
        <row r="5091">
          <cell r="A5091">
            <v>95920051</v>
          </cell>
          <cell r="B5091" t="str">
            <v>달성 보상_카탈리나 에란초_회고록3</v>
          </cell>
        </row>
        <row r="5092">
          <cell r="A5092">
            <v>95920052</v>
          </cell>
          <cell r="B5092" t="str">
            <v>달성 보상_카탈리나 에란초_회고록4</v>
          </cell>
        </row>
        <row r="5093">
          <cell r="A5093">
            <v>95920053</v>
          </cell>
          <cell r="B5093" t="str">
            <v>달성 보상_카탈리나 에란초_회고록5</v>
          </cell>
        </row>
        <row r="5094">
          <cell r="A5094">
            <v>95920054</v>
          </cell>
          <cell r="B5094" t="str">
            <v>달성 보상_카탈리나 에란초_회고록6</v>
          </cell>
        </row>
        <row r="5095">
          <cell r="A5095">
            <v>95920055</v>
          </cell>
          <cell r="B5095" t="str">
            <v>달성 보상_카탈리나 에란초_회고록7</v>
          </cell>
        </row>
        <row r="5096">
          <cell r="A5096">
            <v>95920056</v>
          </cell>
          <cell r="B5096" t="str">
            <v>달성 보상_카탈리나 에란초_회고록8</v>
          </cell>
        </row>
        <row r="5097">
          <cell r="A5097">
            <v>95920057</v>
          </cell>
          <cell r="B5097" t="str">
            <v>달성 보상_카탈리나 에란초_회고록9</v>
          </cell>
        </row>
        <row r="5098">
          <cell r="A5098">
            <v>95920058</v>
          </cell>
          <cell r="B5098" t="str">
            <v>달성 보상_카탈리나 에란초_회고록10</v>
          </cell>
        </row>
        <row r="5099">
          <cell r="A5099">
            <v>95920059</v>
          </cell>
          <cell r="B5099" t="str">
            <v>달성 보상_카탈리나 에란초_회고록11</v>
          </cell>
        </row>
        <row r="5100">
          <cell r="A5100">
            <v>95920060</v>
          </cell>
          <cell r="B5100" t="str">
            <v>달성 보상_카탈리나 에란초_회고록12</v>
          </cell>
        </row>
        <row r="5101">
          <cell r="A5101">
            <v>95920061</v>
          </cell>
          <cell r="B5101" t="str">
            <v>달성 보상_카탈리나 에란초_회고록13</v>
          </cell>
        </row>
        <row r="5102">
          <cell r="A5102">
            <v>95920062</v>
          </cell>
          <cell r="B5102" t="str">
            <v>달성 보상_카탈리나 에란초_회고록14</v>
          </cell>
        </row>
        <row r="5103">
          <cell r="A5103">
            <v>95920063</v>
          </cell>
          <cell r="B5103" t="str">
            <v>달성 보상_카탈리나 에란초_회고록15</v>
          </cell>
        </row>
        <row r="5104">
          <cell r="A5104">
            <v>95920064</v>
          </cell>
          <cell r="B5104" t="str">
            <v>달성 보상_카탈리나 에란초_회고록16</v>
          </cell>
        </row>
        <row r="5105">
          <cell r="A5105">
            <v>95920065</v>
          </cell>
          <cell r="B5105" t="str">
            <v>달성 보상_알 베자스_일반1</v>
          </cell>
        </row>
        <row r="5106">
          <cell r="A5106">
            <v>95920066</v>
          </cell>
          <cell r="B5106" t="str">
            <v>달성 보상_알 베자스_일반2</v>
          </cell>
        </row>
        <row r="5107">
          <cell r="A5107">
            <v>95920067</v>
          </cell>
          <cell r="B5107" t="str">
            <v>달성 보상_알 베자스_일반3</v>
          </cell>
        </row>
        <row r="5108">
          <cell r="A5108">
            <v>95920068</v>
          </cell>
          <cell r="B5108" t="str">
            <v>달성 보상_알 베자스_일반4</v>
          </cell>
        </row>
        <row r="5109">
          <cell r="A5109">
            <v>95920069</v>
          </cell>
          <cell r="B5109" t="str">
            <v>달성 보상_알 베자스_일반5</v>
          </cell>
        </row>
        <row r="5110">
          <cell r="A5110">
            <v>95920070</v>
          </cell>
          <cell r="B5110" t="str">
            <v>달성 보상_알 베자스_일반6</v>
          </cell>
        </row>
        <row r="5111">
          <cell r="A5111">
            <v>95920071</v>
          </cell>
          <cell r="B5111" t="str">
            <v>달성 보상_알 베자스_일반7</v>
          </cell>
        </row>
        <row r="5112">
          <cell r="A5112">
            <v>95920072</v>
          </cell>
          <cell r="B5112" t="str">
            <v>달성 보상_알 베자스_일반8</v>
          </cell>
        </row>
        <row r="5113">
          <cell r="A5113">
            <v>95920073</v>
          </cell>
          <cell r="B5113" t="str">
            <v>달성 보상_알 베자스_일반9</v>
          </cell>
        </row>
        <row r="5114">
          <cell r="A5114">
            <v>95920074</v>
          </cell>
          <cell r="B5114" t="str">
            <v>달성 보상_알 베자스_일반10</v>
          </cell>
        </row>
        <row r="5115">
          <cell r="A5115">
            <v>95920075</v>
          </cell>
          <cell r="B5115" t="str">
            <v>달성 보상_알 베자스_일반11</v>
          </cell>
        </row>
        <row r="5116">
          <cell r="A5116">
            <v>95920076</v>
          </cell>
          <cell r="B5116" t="str">
            <v>달성 보상_알 베자스_일반12</v>
          </cell>
        </row>
        <row r="5117">
          <cell r="A5117">
            <v>95920077</v>
          </cell>
          <cell r="B5117" t="str">
            <v>달성 보상_알 베자스_일반13</v>
          </cell>
        </row>
        <row r="5118">
          <cell r="A5118">
            <v>95920078</v>
          </cell>
          <cell r="B5118" t="str">
            <v>달성 보상_알 베자스_일반14</v>
          </cell>
        </row>
        <row r="5119">
          <cell r="A5119">
            <v>95920079</v>
          </cell>
          <cell r="B5119" t="str">
            <v>달성 보상_알 베자스_일반15</v>
          </cell>
        </row>
        <row r="5120">
          <cell r="A5120">
            <v>95920080</v>
          </cell>
          <cell r="B5120" t="str">
            <v>달성 보상_알 베자스_일반16</v>
          </cell>
        </row>
        <row r="5121">
          <cell r="A5121">
            <v>95920081</v>
          </cell>
          <cell r="B5121" t="str">
            <v>달성 보상_알 베자스_회고록1</v>
          </cell>
        </row>
        <row r="5122">
          <cell r="A5122">
            <v>95920082</v>
          </cell>
          <cell r="B5122" t="str">
            <v>달성 보상_알 베자스_회고록2</v>
          </cell>
        </row>
        <row r="5123">
          <cell r="A5123">
            <v>95920083</v>
          </cell>
          <cell r="B5123" t="str">
            <v>달성 보상_알 베자스_회고록3</v>
          </cell>
        </row>
        <row r="5124">
          <cell r="A5124">
            <v>95920084</v>
          </cell>
          <cell r="B5124" t="str">
            <v>달성 보상_알 베자스_회고록4</v>
          </cell>
        </row>
        <row r="5125">
          <cell r="A5125">
            <v>95920085</v>
          </cell>
          <cell r="B5125" t="str">
            <v>달성 보상_알 베자스_회고록5</v>
          </cell>
        </row>
        <row r="5126">
          <cell r="A5126">
            <v>95920086</v>
          </cell>
          <cell r="B5126" t="str">
            <v>달성 보상_알 베자스_회고록6</v>
          </cell>
        </row>
        <row r="5127">
          <cell r="A5127">
            <v>95920087</v>
          </cell>
          <cell r="B5127" t="str">
            <v>달성 보상_알 베자스_회고록7</v>
          </cell>
        </row>
        <row r="5128">
          <cell r="A5128">
            <v>95920088</v>
          </cell>
          <cell r="B5128" t="str">
            <v>달성 보상_알 베자스_회고록8</v>
          </cell>
        </row>
        <row r="5129">
          <cell r="A5129">
            <v>95920089</v>
          </cell>
          <cell r="B5129" t="str">
            <v>달성 보상_알 베자스_회고록9</v>
          </cell>
        </row>
        <row r="5130">
          <cell r="A5130">
            <v>95920090</v>
          </cell>
          <cell r="B5130" t="str">
            <v>달성 보상_알 베자스_회고록10</v>
          </cell>
        </row>
        <row r="5131">
          <cell r="A5131">
            <v>95920091</v>
          </cell>
          <cell r="B5131" t="str">
            <v>달성 보상_알 베자스_회고록11</v>
          </cell>
        </row>
        <row r="5132">
          <cell r="A5132">
            <v>95920092</v>
          </cell>
          <cell r="B5132" t="str">
            <v>달성 보상_알 베자스_회고록12</v>
          </cell>
        </row>
        <row r="5133">
          <cell r="A5133">
            <v>95920093</v>
          </cell>
          <cell r="B5133" t="str">
            <v>달성 보상_알 베자스_회고록13</v>
          </cell>
        </row>
        <row r="5134">
          <cell r="A5134">
            <v>95920094</v>
          </cell>
          <cell r="B5134" t="str">
            <v>달성 보상_알 베자스_회고록14</v>
          </cell>
        </row>
        <row r="5135">
          <cell r="A5135">
            <v>95920095</v>
          </cell>
          <cell r="B5135" t="str">
            <v>달성 보상_알 베자스_회고록15</v>
          </cell>
        </row>
        <row r="5136">
          <cell r="A5136">
            <v>95920096</v>
          </cell>
          <cell r="B5136" t="str">
            <v>달성 보상_알 베자스_회고록16</v>
          </cell>
        </row>
        <row r="5137">
          <cell r="A5137">
            <v>95920097</v>
          </cell>
          <cell r="B5137" t="str">
            <v>달성 보상_옷토 스피노라_일반1</v>
          </cell>
        </row>
        <row r="5138">
          <cell r="A5138">
            <v>95920098</v>
          </cell>
          <cell r="B5138" t="str">
            <v>달성 보상_옷토 스피노라_일반2</v>
          </cell>
        </row>
        <row r="5139">
          <cell r="A5139">
            <v>95920099</v>
          </cell>
          <cell r="B5139" t="str">
            <v>달성 보상_옷토 스피노라_일반3</v>
          </cell>
        </row>
        <row r="5140">
          <cell r="A5140">
            <v>95920100</v>
          </cell>
          <cell r="B5140" t="str">
            <v>달성 보상_옷토 스피노라_일반4</v>
          </cell>
        </row>
        <row r="5141">
          <cell r="A5141">
            <v>95920101</v>
          </cell>
          <cell r="B5141" t="str">
            <v>달성 보상_옷토 스피노라_일반5</v>
          </cell>
        </row>
        <row r="5142">
          <cell r="A5142">
            <v>95920102</v>
          </cell>
          <cell r="B5142" t="str">
            <v>달성 보상_옷토 스피노라_일반6</v>
          </cell>
        </row>
        <row r="5143">
          <cell r="A5143">
            <v>95920103</v>
          </cell>
          <cell r="B5143" t="str">
            <v>달성 보상_옷토 스피노라_일반7</v>
          </cell>
        </row>
        <row r="5144">
          <cell r="A5144">
            <v>95920104</v>
          </cell>
          <cell r="B5144" t="str">
            <v>달성 보상_옷토 스피노라_일반8</v>
          </cell>
        </row>
        <row r="5145">
          <cell r="A5145">
            <v>95920105</v>
          </cell>
          <cell r="B5145" t="str">
            <v>달성 보상_옷토 스피노라_일반9</v>
          </cell>
        </row>
        <row r="5146">
          <cell r="A5146">
            <v>95920106</v>
          </cell>
          <cell r="B5146" t="str">
            <v>달성 보상_옷토 스피노라_일반10</v>
          </cell>
        </row>
        <row r="5147">
          <cell r="A5147">
            <v>95920107</v>
          </cell>
          <cell r="B5147" t="str">
            <v>달성 보상_옷토 스피노라_일반11</v>
          </cell>
        </row>
        <row r="5148">
          <cell r="A5148">
            <v>95920108</v>
          </cell>
          <cell r="B5148" t="str">
            <v>달성 보상_옷토 스피노라_일반12</v>
          </cell>
        </row>
        <row r="5149">
          <cell r="A5149">
            <v>95920109</v>
          </cell>
          <cell r="B5149" t="str">
            <v>달성 보상_옷토 스피노라_일반13</v>
          </cell>
        </row>
        <row r="5150">
          <cell r="A5150">
            <v>95920110</v>
          </cell>
          <cell r="B5150" t="str">
            <v>달성 보상_옷토 스피노라_일반14</v>
          </cell>
        </row>
        <row r="5151">
          <cell r="A5151">
            <v>95920111</v>
          </cell>
          <cell r="B5151" t="str">
            <v>달성 보상_옷토 스피노라_일반15</v>
          </cell>
        </row>
        <row r="5152">
          <cell r="A5152">
            <v>95920112</v>
          </cell>
          <cell r="B5152" t="str">
            <v>달성 보상_옷토 스피노라_일반16</v>
          </cell>
        </row>
        <row r="5153">
          <cell r="A5153">
            <v>95920113</v>
          </cell>
          <cell r="B5153" t="str">
            <v>달성 보상_옷토 스피노라_회고록1</v>
          </cell>
        </row>
        <row r="5154">
          <cell r="A5154">
            <v>95920114</v>
          </cell>
          <cell r="B5154" t="str">
            <v>달성 보상_옷토 스피노라_회고록2</v>
          </cell>
        </row>
        <row r="5155">
          <cell r="A5155">
            <v>95920115</v>
          </cell>
          <cell r="B5155" t="str">
            <v>달성 보상_옷토 스피노라_회고록3</v>
          </cell>
        </row>
        <row r="5156">
          <cell r="A5156">
            <v>95920116</v>
          </cell>
          <cell r="B5156" t="str">
            <v>달성 보상_옷토 스피노라_회고록4</v>
          </cell>
        </row>
        <row r="5157">
          <cell r="A5157">
            <v>95920117</v>
          </cell>
          <cell r="B5157" t="str">
            <v>달성 보상_옷토 스피노라_회고록5</v>
          </cell>
        </row>
        <row r="5158">
          <cell r="A5158">
            <v>95920118</v>
          </cell>
          <cell r="B5158" t="str">
            <v>달성 보상_옷토 스피노라_회고록6</v>
          </cell>
        </row>
        <row r="5159">
          <cell r="A5159">
            <v>95920119</v>
          </cell>
          <cell r="B5159" t="str">
            <v>달성 보상_옷토 스피노라_회고록7</v>
          </cell>
        </row>
        <row r="5160">
          <cell r="A5160">
            <v>95920120</v>
          </cell>
          <cell r="B5160" t="str">
            <v>달성 보상_옷토 스피노라_회고록8</v>
          </cell>
        </row>
        <row r="5161">
          <cell r="A5161">
            <v>95920121</v>
          </cell>
          <cell r="B5161" t="str">
            <v>달성 보상_옷토 스피노라_회고록9</v>
          </cell>
        </row>
        <row r="5162">
          <cell r="A5162">
            <v>95920122</v>
          </cell>
          <cell r="B5162" t="str">
            <v>달성 보상_옷토 스피노라_회고록10</v>
          </cell>
        </row>
        <row r="5163">
          <cell r="A5163">
            <v>95920123</v>
          </cell>
          <cell r="B5163" t="str">
            <v>달성 보상_옷토 스피노라_회고록11</v>
          </cell>
        </row>
        <row r="5164">
          <cell r="A5164">
            <v>95920124</v>
          </cell>
          <cell r="B5164" t="str">
            <v>달성 보상_옷토 스피노라_회고록12</v>
          </cell>
        </row>
        <row r="5165">
          <cell r="A5165">
            <v>95920125</v>
          </cell>
          <cell r="B5165" t="str">
            <v>달성 보상_옷토 스피노라_회고록13</v>
          </cell>
        </row>
        <row r="5166">
          <cell r="A5166">
            <v>95920126</v>
          </cell>
          <cell r="B5166" t="str">
            <v>달성 보상_옷토 스피노라_회고록14</v>
          </cell>
        </row>
        <row r="5167">
          <cell r="A5167">
            <v>95920127</v>
          </cell>
          <cell r="B5167" t="str">
            <v>달성 보상_옷토 스피노라_회고록15</v>
          </cell>
        </row>
        <row r="5168">
          <cell r="A5168">
            <v>95920128</v>
          </cell>
          <cell r="B5168" t="str">
            <v>달성 보상_옷토 스피노라_회고록16</v>
          </cell>
        </row>
        <row r="5169">
          <cell r="A5169">
            <v>95920129</v>
          </cell>
          <cell r="B5169" t="str">
            <v>달성 보상_피에트로 콘티_일반1</v>
          </cell>
        </row>
        <row r="5170">
          <cell r="A5170">
            <v>95920130</v>
          </cell>
          <cell r="B5170" t="str">
            <v>달성 보상_피에트로 콘티_일반2</v>
          </cell>
        </row>
        <row r="5171">
          <cell r="A5171">
            <v>95920131</v>
          </cell>
          <cell r="B5171" t="str">
            <v>달성 보상_피에트로 콘티_일반3</v>
          </cell>
        </row>
        <row r="5172">
          <cell r="A5172">
            <v>95920132</v>
          </cell>
          <cell r="B5172" t="str">
            <v>달성 보상_피에트로 콘티_일반4</v>
          </cell>
        </row>
        <row r="5173">
          <cell r="A5173">
            <v>95920133</v>
          </cell>
          <cell r="B5173" t="str">
            <v>달성 보상_피에트로 콘티_일반5</v>
          </cell>
        </row>
        <row r="5174">
          <cell r="A5174">
            <v>95920134</v>
          </cell>
          <cell r="B5174" t="str">
            <v>달성 보상_피에트로 콘티_일반6</v>
          </cell>
        </row>
        <row r="5175">
          <cell r="A5175">
            <v>95920135</v>
          </cell>
          <cell r="B5175" t="str">
            <v>달성 보상_피에트로 콘티_일반7</v>
          </cell>
        </row>
        <row r="5176">
          <cell r="A5176">
            <v>95920136</v>
          </cell>
          <cell r="B5176" t="str">
            <v>달성 보상_피에트로 콘티_일반8</v>
          </cell>
        </row>
        <row r="5177">
          <cell r="A5177">
            <v>95920137</v>
          </cell>
          <cell r="B5177" t="str">
            <v>달성 보상_피에트로 콘티_일반9</v>
          </cell>
        </row>
        <row r="5178">
          <cell r="A5178">
            <v>95920138</v>
          </cell>
          <cell r="B5178" t="str">
            <v>달성 보상_피에트로 콘티_일반10</v>
          </cell>
        </row>
        <row r="5179">
          <cell r="A5179">
            <v>95920139</v>
          </cell>
          <cell r="B5179" t="str">
            <v>달성 보상_피에트로 콘티_일반11</v>
          </cell>
        </row>
        <row r="5180">
          <cell r="A5180">
            <v>95920140</v>
          </cell>
          <cell r="B5180" t="str">
            <v>달성 보상_피에트로 콘티_일반12</v>
          </cell>
        </row>
        <row r="5181">
          <cell r="A5181">
            <v>95920141</v>
          </cell>
          <cell r="B5181" t="str">
            <v>달성 보상_피에트로 콘티_일반13</v>
          </cell>
        </row>
        <row r="5182">
          <cell r="A5182">
            <v>95920142</v>
          </cell>
          <cell r="B5182" t="str">
            <v>달성 보상_피에트로 콘티_일반14</v>
          </cell>
        </row>
        <row r="5183">
          <cell r="A5183">
            <v>95920143</v>
          </cell>
          <cell r="B5183" t="str">
            <v>달성 보상_피에트로 콘티_일반15</v>
          </cell>
        </row>
        <row r="5184">
          <cell r="A5184">
            <v>95920144</v>
          </cell>
          <cell r="B5184" t="str">
            <v>달성 보상_피에트로 콘티_일반16</v>
          </cell>
        </row>
        <row r="5185">
          <cell r="A5185">
            <v>95920145</v>
          </cell>
          <cell r="B5185" t="str">
            <v>달성 보상_피에트로 콘티_회고록1</v>
          </cell>
        </row>
        <row r="5186">
          <cell r="A5186">
            <v>95920146</v>
          </cell>
          <cell r="B5186" t="str">
            <v>달성 보상_피에트로 콘티_회고록2</v>
          </cell>
        </row>
        <row r="5187">
          <cell r="A5187">
            <v>95920147</v>
          </cell>
          <cell r="B5187" t="str">
            <v>달성 보상_피에트로 콘티_회고록3</v>
          </cell>
        </row>
        <row r="5188">
          <cell r="A5188">
            <v>95920148</v>
          </cell>
          <cell r="B5188" t="str">
            <v>달성 보상_피에트로 콘티_회고록4</v>
          </cell>
        </row>
        <row r="5189">
          <cell r="A5189">
            <v>95920149</v>
          </cell>
          <cell r="B5189" t="str">
            <v>달성 보상_피에트로 콘티_회고록5</v>
          </cell>
        </row>
        <row r="5190">
          <cell r="A5190">
            <v>95920150</v>
          </cell>
          <cell r="B5190" t="str">
            <v>달성 보상_피에트로 콘티_회고록6</v>
          </cell>
        </row>
        <row r="5191">
          <cell r="A5191">
            <v>95920151</v>
          </cell>
          <cell r="B5191" t="str">
            <v>달성 보상_피에트로 콘티_회고록7</v>
          </cell>
        </row>
        <row r="5192">
          <cell r="A5192">
            <v>95920152</v>
          </cell>
          <cell r="B5192" t="str">
            <v>달성 보상_피에트로 콘티_회고록8</v>
          </cell>
        </row>
        <row r="5193">
          <cell r="A5193">
            <v>95920153</v>
          </cell>
          <cell r="B5193" t="str">
            <v>달성 보상_피에트로 콘티_회고록9</v>
          </cell>
        </row>
        <row r="5194">
          <cell r="A5194">
            <v>95920154</v>
          </cell>
          <cell r="B5194" t="str">
            <v>달성 보상_피에트로 콘티_회고록10</v>
          </cell>
        </row>
        <row r="5195">
          <cell r="A5195">
            <v>95920155</v>
          </cell>
          <cell r="B5195" t="str">
            <v>달성 보상_피에트로 콘티_회고록11</v>
          </cell>
        </row>
        <row r="5196">
          <cell r="A5196">
            <v>95920156</v>
          </cell>
          <cell r="B5196" t="str">
            <v>달성 보상_피에트로 콘티_회고록12</v>
          </cell>
        </row>
        <row r="5197">
          <cell r="A5197">
            <v>95920157</v>
          </cell>
          <cell r="B5197" t="str">
            <v>달성 보상_피에트로 콘티_회고록13</v>
          </cell>
        </row>
        <row r="5198">
          <cell r="A5198">
            <v>95920158</v>
          </cell>
          <cell r="B5198" t="str">
            <v>달성 보상_피에트로 콘티_회고록14</v>
          </cell>
        </row>
        <row r="5199">
          <cell r="A5199">
            <v>95920159</v>
          </cell>
          <cell r="B5199" t="str">
            <v>달성 보상_피에트로 콘티_회고록15</v>
          </cell>
        </row>
        <row r="5200">
          <cell r="A5200">
            <v>95920160</v>
          </cell>
          <cell r="B5200" t="str">
            <v>달성 보상_피에트로 콘티_회고록16</v>
          </cell>
        </row>
        <row r="5201">
          <cell r="A5201">
            <v>95920161</v>
          </cell>
          <cell r="B5201" t="str">
            <v>달성 보상_밀란다 베르테_일반1</v>
          </cell>
        </row>
        <row r="5202">
          <cell r="A5202">
            <v>95920162</v>
          </cell>
          <cell r="B5202" t="str">
            <v>달성 보상_밀란다 베르테_일반2</v>
          </cell>
        </row>
        <row r="5203">
          <cell r="A5203">
            <v>95920163</v>
          </cell>
          <cell r="B5203" t="str">
            <v>달성 보상_밀란다 베르테_일반3</v>
          </cell>
        </row>
        <row r="5204">
          <cell r="A5204">
            <v>95920164</v>
          </cell>
          <cell r="B5204" t="str">
            <v>달성 보상_밀란다 베르테_일반4</v>
          </cell>
        </row>
        <row r="5205">
          <cell r="A5205">
            <v>95920165</v>
          </cell>
          <cell r="B5205" t="str">
            <v>달성 보상_밀란다 베르테_일반5</v>
          </cell>
        </row>
        <row r="5206">
          <cell r="A5206">
            <v>95920166</v>
          </cell>
          <cell r="B5206" t="str">
            <v>달성 보상_밀란다 베르테_일반6</v>
          </cell>
        </row>
        <row r="5207">
          <cell r="A5207">
            <v>95920167</v>
          </cell>
          <cell r="B5207" t="str">
            <v>달성 보상_밀란다 베르테_일반7</v>
          </cell>
        </row>
        <row r="5208">
          <cell r="A5208">
            <v>95920168</v>
          </cell>
          <cell r="B5208" t="str">
            <v>달성 보상_밀란다 베르테_일반8</v>
          </cell>
        </row>
        <row r="5209">
          <cell r="A5209">
            <v>95920169</v>
          </cell>
          <cell r="B5209" t="str">
            <v>달성 보상_밀란다 베르테_일반9</v>
          </cell>
        </row>
        <row r="5210">
          <cell r="A5210">
            <v>95920170</v>
          </cell>
          <cell r="B5210" t="str">
            <v>달성 보상_밀란다 베르테_일반10</v>
          </cell>
        </row>
        <row r="5211">
          <cell r="A5211">
            <v>95920171</v>
          </cell>
          <cell r="B5211" t="str">
            <v>달성 보상_밀란다 베르테_일반11</v>
          </cell>
        </row>
        <row r="5212">
          <cell r="A5212">
            <v>95920172</v>
          </cell>
          <cell r="B5212" t="str">
            <v>달성 보상_밀란다 베르테_일반12</v>
          </cell>
        </row>
        <row r="5213">
          <cell r="A5213">
            <v>95920173</v>
          </cell>
          <cell r="B5213" t="str">
            <v>달성 보상_밀란다 베르테_일반13</v>
          </cell>
        </row>
        <row r="5214">
          <cell r="A5214">
            <v>95920174</v>
          </cell>
          <cell r="B5214" t="str">
            <v>달성 보상_밀란다 베르테_일반14</v>
          </cell>
        </row>
        <row r="5215">
          <cell r="A5215">
            <v>95920175</v>
          </cell>
          <cell r="B5215" t="str">
            <v>달성 보상_밀란다 베르테_일반15</v>
          </cell>
        </row>
        <row r="5216">
          <cell r="A5216">
            <v>95920176</v>
          </cell>
          <cell r="B5216" t="str">
            <v>달성 보상_밀란다 베르테_일반16</v>
          </cell>
        </row>
        <row r="5217">
          <cell r="A5217">
            <v>95920177</v>
          </cell>
          <cell r="B5217" t="str">
            <v>달성 보상_밀란다 베르테_회고록1</v>
          </cell>
        </row>
        <row r="5218">
          <cell r="A5218">
            <v>95920178</v>
          </cell>
          <cell r="B5218" t="str">
            <v>달성 보상_밀란다 베르테_회고록2</v>
          </cell>
        </row>
        <row r="5219">
          <cell r="A5219">
            <v>95920179</v>
          </cell>
          <cell r="B5219" t="str">
            <v>달성 보상_밀란다 베르테_회고록3</v>
          </cell>
        </row>
        <row r="5220">
          <cell r="A5220">
            <v>95920180</v>
          </cell>
          <cell r="B5220" t="str">
            <v>달성 보상_밀란다 베르테_회고록4</v>
          </cell>
        </row>
        <row r="5221">
          <cell r="A5221">
            <v>95920181</v>
          </cell>
          <cell r="B5221" t="str">
            <v>달성 보상_밀란다 베르테_회고록5</v>
          </cell>
        </row>
        <row r="5222">
          <cell r="A5222">
            <v>95920182</v>
          </cell>
          <cell r="B5222" t="str">
            <v>달성 보상_밀란다 베르테_회고록6</v>
          </cell>
        </row>
        <row r="5223">
          <cell r="A5223">
            <v>95920183</v>
          </cell>
          <cell r="B5223" t="str">
            <v>달성 보상_밀란다 베르테_회고록7</v>
          </cell>
        </row>
        <row r="5224">
          <cell r="A5224">
            <v>95920184</v>
          </cell>
          <cell r="B5224" t="str">
            <v>달성 보상_밀란다 베르테_회고록8</v>
          </cell>
        </row>
        <row r="5225">
          <cell r="A5225">
            <v>95920185</v>
          </cell>
          <cell r="B5225" t="str">
            <v>달성 보상_밀란다 베르테_회고록9</v>
          </cell>
        </row>
        <row r="5226">
          <cell r="A5226">
            <v>95920186</v>
          </cell>
          <cell r="B5226" t="str">
            <v>달성 보상_밀란다 베르테_회고록10</v>
          </cell>
        </row>
        <row r="5227">
          <cell r="A5227">
            <v>95920187</v>
          </cell>
          <cell r="B5227" t="str">
            <v>달성 보상_밀란다 베르테_회고록11</v>
          </cell>
        </row>
        <row r="5228">
          <cell r="A5228">
            <v>95920188</v>
          </cell>
          <cell r="B5228" t="str">
            <v>달성 보상_밀란다 베르테_회고록12</v>
          </cell>
        </row>
        <row r="5229">
          <cell r="A5229">
            <v>95920189</v>
          </cell>
          <cell r="B5229" t="str">
            <v>달성 보상_밀란다 베르테_회고록13</v>
          </cell>
        </row>
        <row r="5230">
          <cell r="A5230">
            <v>95920190</v>
          </cell>
          <cell r="B5230" t="str">
            <v>달성 보상_밀란다 베르테_회고록14</v>
          </cell>
        </row>
        <row r="5231">
          <cell r="A5231">
            <v>95920191</v>
          </cell>
          <cell r="B5231" t="str">
            <v>달성 보상_밀란다 베르테_회고록15</v>
          </cell>
        </row>
        <row r="5232">
          <cell r="A5232">
            <v>95920192</v>
          </cell>
          <cell r="B5232" t="str">
            <v>달성 보상_밀란다 베르테_회고록16</v>
          </cell>
        </row>
        <row r="5233">
          <cell r="A5233">
            <v>95920193</v>
          </cell>
          <cell r="B5233" t="str">
            <v>달성 보상_살바도르 레이스_일반1</v>
          </cell>
        </row>
        <row r="5234">
          <cell r="A5234">
            <v>95920194</v>
          </cell>
          <cell r="B5234" t="str">
            <v>달성 보상_살바도르 레이스_일반2</v>
          </cell>
        </row>
        <row r="5235">
          <cell r="A5235">
            <v>95920195</v>
          </cell>
          <cell r="B5235" t="str">
            <v>달성 보상_살바도르 레이스_일반3</v>
          </cell>
        </row>
        <row r="5236">
          <cell r="A5236">
            <v>95920196</v>
          </cell>
          <cell r="B5236" t="str">
            <v>달성 보상_살바도르 레이스_일반4</v>
          </cell>
        </row>
        <row r="5237">
          <cell r="A5237">
            <v>95920197</v>
          </cell>
          <cell r="B5237" t="str">
            <v>달성 보상_살바도르 레이스_일반5</v>
          </cell>
        </row>
        <row r="5238">
          <cell r="A5238">
            <v>95920198</v>
          </cell>
          <cell r="B5238" t="str">
            <v>달성 보상_살바도르 레이스_일반6</v>
          </cell>
        </row>
        <row r="5239">
          <cell r="A5239">
            <v>95920199</v>
          </cell>
          <cell r="B5239" t="str">
            <v>달성 보상_살바도르 레이스_일반7</v>
          </cell>
        </row>
        <row r="5240">
          <cell r="A5240">
            <v>95920200</v>
          </cell>
          <cell r="B5240" t="str">
            <v>달성 보상_살바도르 레이스_일반8</v>
          </cell>
        </row>
        <row r="5241">
          <cell r="A5241">
            <v>95920201</v>
          </cell>
          <cell r="B5241" t="str">
            <v>달성 보상_살바도르 레이스_일반9</v>
          </cell>
        </row>
        <row r="5242">
          <cell r="A5242">
            <v>95920202</v>
          </cell>
          <cell r="B5242" t="str">
            <v>달성 보상_살바도르 레이스_일반10</v>
          </cell>
        </row>
        <row r="5243">
          <cell r="A5243">
            <v>95920203</v>
          </cell>
          <cell r="B5243" t="str">
            <v>달성 보상_살바도르 레이스_일반11</v>
          </cell>
        </row>
        <row r="5244">
          <cell r="A5244">
            <v>95920204</v>
          </cell>
          <cell r="B5244" t="str">
            <v>달성 보상_살바도르 레이스_일반12</v>
          </cell>
        </row>
        <row r="5245">
          <cell r="A5245">
            <v>95920205</v>
          </cell>
          <cell r="B5245" t="str">
            <v>달성 보상_살바도르 레이스_일반13</v>
          </cell>
        </row>
        <row r="5246">
          <cell r="A5246">
            <v>95920206</v>
          </cell>
          <cell r="B5246" t="str">
            <v>달성 보상_살바도르 레이스_일반14</v>
          </cell>
        </row>
        <row r="5247">
          <cell r="A5247">
            <v>95920207</v>
          </cell>
          <cell r="B5247" t="str">
            <v>달성 보상_살바도르 레이스_일반15</v>
          </cell>
        </row>
        <row r="5248">
          <cell r="A5248">
            <v>95920208</v>
          </cell>
          <cell r="B5248" t="str">
            <v>달성 보상_살바도르 레이스_일반16</v>
          </cell>
        </row>
        <row r="5249">
          <cell r="A5249">
            <v>95920209</v>
          </cell>
          <cell r="B5249" t="str">
            <v>달성 보상_살바도르 레이스_회고록1</v>
          </cell>
        </row>
        <row r="5250">
          <cell r="A5250">
            <v>95920210</v>
          </cell>
          <cell r="B5250" t="str">
            <v>달성 보상_살바도르 레이스_회고록2</v>
          </cell>
        </row>
        <row r="5251">
          <cell r="A5251">
            <v>95920211</v>
          </cell>
          <cell r="B5251" t="str">
            <v>달성 보상_살바도르 레이스_회고록3</v>
          </cell>
        </row>
        <row r="5252">
          <cell r="A5252">
            <v>95920212</v>
          </cell>
          <cell r="B5252" t="str">
            <v>달성 보상_살바도르 레이스_회고록4</v>
          </cell>
        </row>
        <row r="5253">
          <cell r="A5253">
            <v>95920213</v>
          </cell>
          <cell r="B5253" t="str">
            <v>달성 보상_살바도르 레이스_회고록5</v>
          </cell>
        </row>
        <row r="5254">
          <cell r="A5254">
            <v>95920214</v>
          </cell>
          <cell r="B5254" t="str">
            <v>달성 보상_살바도르 레이스_회고록6</v>
          </cell>
        </row>
        <row r="5255">
          <cell r="A5255">
            <v>95920215</v>
          </cell>
          <cell r="B5255" t="str">
            <v>달성 보상_살바도르 레이스_회고록7</v>
          </cell>
        </row>
        <row r="5256">
          <cell r="A5256">
            <v>95920216</v>
          </cell>
          <cell r="B5256" t="str">
            <v>달성 보상_살바도르 레이스_회고록8</v>
          </cell>
        </row>
        <row r="5257">
          <cell r="A5257">
            <v>95920217</v>
          </cell>
          <cell r="B5257" t="str">
            <v>달성 보상_살바도르 레이스_회고록9</v>
          </cell>
        </row>
        <row r="5258">
          <cell r="A5258">
            <v>95920218</v>
          </cell>
          <cell r="B5258" t="str">
            <v>달성 보상_살바도르 레이스_회고록10</v>
          </cell>
        </row>
        <row r="5259">
          <cell r="A5259">
            <v>95920219</v>
          </cell>
          <cell r="B5259" t="str">
            <v>달성 보상_살바도르 레이스_회고록11</v>
          </cell>
        </row>
        <row r="5260">
          <cell r="A5260">
            <v>95920220</v>
          </cell>
          <cell r="B5260" t="str">
            <v>달성 보상_살바도르 레이스_회고록12</v>
          </cell>
        </row>
        <row r="5261">
          <cell r="A5261">
            <v>95920221</v>
          </cell>
          <cell r="B5261" t="str">
            <v>달성 보상_살바도르 레이스_회고록13</v>
          </cell>
        </row>
        <row r="5262">
          <cell r="A5262">
            <v>95920222</v>
          </cell>
          <cell r="B5262" t="str">
            <v>달성 보상_살바도르 레이스_회고록14</v>
          </cell>
        </row>
        <row r="5263">
          <cell r="A5263">
            <v>95920223</v>
          </cell>
          <cell r="B5263" t="str">
            <v>달성 보상_살바도르 레이스_회고록15</v>
          </cell>
        </row>
        <row r="5264">
          <cell r="A5264">
            <v>95920224</v>
          </cell>
          <cell r="B5264" t="str">
            <v>달성 보상_살바도르 레이스_회고록16</v>
          </cell>
        </row>
        <row r="5265">
          <cell r="A5265">
            <v>95920225</v>
          </cell>
          <cell r="B5265" t="str">
            <v>달성 보상_앤 보니_일반1</v>
          </cell>
        </row>
        <row r="5266">
          <cell r="A5266">
            <v>95920226</v>
          </cell>
          <cell r="B5266" t="str">
            <v>달성 보상_앤 보니_일반2</v>
          </cell>
        </row>
        <row r="5267">
          <cell r="A5267">
            <v>95920227</v>
          </cell>
          <cell r="B5267" t="str">
            <v>달성 보상_앤 보니_일반3</v>
          </cell>
        </row>
        <row r="5268">
          <cell r="A5268">
            <v>95920228</v>
          </cell>
          <cell r="B5268" t="str">
            <v>달성 보상_앤 보니_일반4</v>
          </cell>
        </row>
        <row r="5269">
          <cell r="A5269">
            <v>95920229</v>
          </cell>
          <cell r="B5269" t="str">
            <v>달성 보상_앤 보니_일반5</v>
          </cell>
        </row>
        <row r="5270">
          <cell r="A5270">
            <v>95920230</v>
          </cell>
          <cell r="B5270" t="str">
            <v>달성 보상_앤 보니_일반6</v>
          </cell>
        </row>
        <row r="5271">
          <cell r="A5271">
            <v>95920231</v>
          </cell>
          <cell r="B5271" t="str">
            <v>달성 보상_앤 보니_일반7</v>
          </cell>
        </row>
        <row r="5272">
          <cell r="A5272">
            <v>95920232</v>
          </cell>
          <cell r="B5272" t="str">
            <v>달성 보상_앤 보니_일반8</v>
          </cell>
        </row>
        <row r="5273">
          <cell r="A5273">
            <v>95920233</v>
          </cell>
          <cell r="B5273" t="str">
            <v>달성 보상_앤 보니_일반9</v>
          </cell>
        </row>
        <row r="5274">
          <cell r="A5274">
            <v>95920234</v>
          </cell>
          <cell r="B5274" t="str">
            <v>달성 보상_앤 보니_일반10</v>
          </cell>
        </row>
        <row r="5275">
          <cell r="A5275">
            <v>95920235</v>
          </cell>
          <cell r="B5275" t="str">
            <v>달성 보상_앤 보니_일반11</v>
          </cell>
        </row>
        <row r="5276">
          <cell r="A5276">
            <v>95920236</v>
          </cell>
          <cell r="B5276" t="str">
            <v>달성 보상_앤 보니_일반12</v>
          </cell>
        </row>
        <row r="5277">
          <cell r="A5277">
            <v>95920237</v>
          </cell>
          <cell r="B5277" t="str">
            <v>달성 보상_앤 보니_일반13</v>
          </cell>
        </row>
        <row r="5278">
          <cell r="A5278">
            <v>95920238</v>
          </cell>
          <cell r="B5278" t="str">
            <v>달성 보상_앤 보니_일반14</v>
          </cell>
        </row>
        <row r="5279">
          <cell r="A5279">
            <v>95920239</v>
          </cell>
          <cell r="B5279" t="str">
            <v>달성 보상_앤 보니_일반15</v>
          </cell>
        </row>
        <row r="5280">
          <cell r="A5280">
            <v>95920240</v>
          </cell>
          <cell r="B5280" t="str">
            <v>달성 보상_앤 보니_일반16</v>
          </cell>
        </row>
        <row r="5281">
          <cell r="A5281">
            <v>95920241</v>
          </cell>
          <cell r="B5281" t="str">
            <v>달성 보상_앤 보니_회고록1</v>
          </cell>
        </row>
        <row r="5282">
          <cell r="A5282">
            <v>95920242</v>
          </cell>
          <cell r="B5282" t="str">
            <v>달성 보상_앤 보니_회고록2</v>
          </cell>
        </row>
        <row r="5283">
          <cell r="A5283">
            <v>95920243</v>
          </cell>
          <cell r="B5283" t="str">
            <v>달성 보상_앤 보니_회고록3</v>
          </cell>
        </row>
        <row r="5284">
          <cell r="A5284">
            <v>95920244</v>
          </cell>
          <cell r="B5284" t="str">
            <v>달성 보상_앤 보니_회고록4</v>
          </cell>
        </row>
        <row r="5285">
          <cell r="A5285">
            <v>95920245</v>
          </cell>
          <cell r="B5285" t="str">
            <v>달성 보상_앤 보니_회고록5</v>
          </cell>
        </row>
        <row r="5286">
          <cell r="A5286">
            <v>95920246</v>
          </cell>
          <cell r="B5286" t="str">
            <v>달성 보상_앤 보니_회고록6</v>
          </cell>
        </row>
        <row r="5287">
          <cell r="A5287">
            <v>95920247</v>
          </cell>
          <cell r="B5287" t="str">
            <v>달성 보상_앤 보니_회고록7</v>
          </cell>
        </row>
        <row r="5288">
          <cell r="A5288">
            <v>95920248</v>
          </cell>
          <cell r="B5288" t="str">
            <v>달성 보상_앤 보니_회고록8</v>
          </cell>
        </row>
        <row r="5289">
          <cell r="A5289">
            <v>95920249</v>
          </cell>
          <cell r="B5289" t="str">
            <v>달성 보상_앤 보니_회고록9</v>
          </cell>
        </row>
        <row r="5290">
          <cell r="A5290">
            <v>95920250</v>
          </cell>
          <cell r="B5290" t="str">
            <v>달성 보상_앤 보니_회고록10</v>
          </cell>
        </row>
        <row r="5291">
          <cell r="A5291">
            <v>95920251</v>
          </cell>
          <cell r="B5291" t="str">
            <v>달성 보상_앤 보니_회고록11</v>
          </cell>
        </row>
        <row r="5292">
          <cell r="A5292">
            <v>95920252</v>
          </cell>
          <cell r="B5292" t="str">
            <v>달성 보상_앤 보니_회고록12</v>
          </cell>
        </row>
        <row r="5293">
          <cell r="A5293">
            <v>95920253</v>
          </cell>
          <cell r="B5293" t="str">
            <v>달성 보상_앤 보니_회고록13</v>
          </cell>
        </row>
        <row r="5294">
          <cell r="A5294">
            <v>95920254</v>
          </cell>
          <cell r="B5294" t="str">
            <v>달성 보상_앤 보니_회고록14</v>
          </cell>
        </row>
        <row r="5295">
          <cell r="A5295">
            <v>95920255</v>
          </cell>
          <cell r="B5295" t="str">
            <v>달성 보상_앤 보니_회고록15</v>
          </cell>
        </row>
        <row r="5296">
          <cell r="A5296">
            <v>95920256</v>
          </cell>
          <cell r="B5296" t="str">
            <v>달성 보상_앤 보니_회고록16</v>
          </cell>
        </row>
        <row r="5297">
          <cell r="A5297">
            <v>95920257</v>
          </cell>
          <cell r="B5297" t="str">
            <v>달성 보상_에르네스트 로페스_일반1</v>
          </cell>
        </row>
        <row r="5298">
          <cell r="A5298">
            <v>95920258</v>
          </cell>
          <cell r="B5298" t="str">
            <v>달성 보상_에르네스트 로페스_일반2</v>
          </cell>
        </row>
        <row r="5299">
          <cell r="A5299">
            <v>95920259</v>
          </cell>
          <cell r="B5299" t="str">
            <v>달성 보상_에르네스트 로페스_일반3</v>
          </cell>
        </row>
        <row r="5300">
          <cell r="A5300">
            <v>95920260</v>
          </cell>
          <cell r="B5300" t="str">
            <v>달성 보상_에르네스트 로페스_일반4</v>
          </cell>
        </row>
        <row r="5301">
          <cell r="A5301">
            <v>95920261</v>
          </cell>
          <cell r="B5301" t="str">
            <v>달성 보상_에르네스트 로페스_일반5</v>
          </cell>
        </row>
        <row r="5302">
          <cell r="A5302">
            <v>95920262</v>
          </cell>
          <cell r="B5302" t="str">
            <v>달성 보상_에르네스트 로페스_일반6</v>
          </cell>
        </row>
        <row r="5303">
          <cell r="A5303">
            <v>95920263</v>
          </cell>
          <cell r="B5303" t="str">
            <v>달성 보상_에르네스트 로페스_일반7</v>
          </cell>
        </row>
        <row r="5304">
          <cell r="A5304">
            <v>95920264</v>
          </cell>
          <cell r="B5304" t="str">
            <v>달성 보상_에르네스트 로페스_일반8</v>
          </cell>
        </row>
        <row r="5305">
          <cell r="A5305">
            <v>95920265</v>
          </cell>
          <cell r="B5305" t="str">
            <v>달성 보상_에르네스트 로페스_일반9</v>
          </cell>
        </row>
        <row r="5306">
          <cell r="A5306">
            <v>95920266</v>
          </cell>
          <cell r="B5306" t="str">
            <v>달성 보상_에르네스트 로페스_일반10</v>
          </cell>
        </row>
        <row r="5307">
          <cell r="A5307">
            <v>95920267</v>
          </cell>
          <cell r="B5307" t="str">
            <v>달성 보상_에르네스트 로페스_일반11</v>
          </cell>
        </row>
        <row r="5308">
          <cell r="A5308">
            <v>95920268</v>
          </cell>
          <cell r="B5308" t="str">
            <v>달성 보상_에르네스트 로페스_일반12</v>
          </cell>
        </row>
        <row r="5309">
          <cell r="A5309">
            <v>95920269</v>
          </cell>
          <cell r="B5309" t="str">
            <v>달성 보상_에르네스트 로페스_일반13</v>
          </cell>
        </row>
        <row r="5310">
          <cell r="A5310">
            <v>95920270</v>
          </cell>
          <cell r="B5310" t="str">
            <v>달성 보상_에르네스트 로페스_일반14</v>
          </cell>
        </row>
        <row r="5311">
          <cell r="A5311">
            <v>95920271</v>
          </cell>
          <cell r="B5311" t="str">
            <v>달성 보상_에르네스트 로페스_일반15</v>
          </cell>
        </row>
        <row r="5312">
          <cell r="A5312">
            <v>95920272</v>
          </cell>
          <cell r="B5312" t="str">
            <v>달성 보상_에르네스트 로페스_일반16</v>
          </cell>
        </row>
        <row r="5313">
          <cell r="A5313">
            <v>95920273</v>
          </cell>
          <cell r="B5313" t="str">
            <v>달성 보상_에르네스트 로페스_회고록1</v>
          </cell>
        </row>
        <row r="5314">
          <cell r="A5314">
            <v>95920274</v>
          </cell>
          <cell r="B5314" t="str">
            <v>달성 보상_에르네스트 로페스_회고록2</v>
          </cell>
        </row>
        <row r="5315">
          <cell r="A5315">
            <v>95920275</v>
          </cell>
          <cell r="B5315" t="str">
            <v>달성 보상_에르네스트 로페스_회고록3</v>
          </cell>
        </row>
        <row r="5316">
          <cell r="A5316">
            <v>95920276</v>
          </cell>
          <cell r="B5316" t="str">
            <v>달성 보상_에르네스트 로페스_회고록4</v>
          </cell>
        </row>
        <row r="5317">
          <cell r="A5317">
            <v>95920277</v>
          </cell>
          <cell r="B5317" t="str">
            <v>달성 보상_에르네스트 로페스_회고록5</v>
          </cell>
        </row>
        <row r="5318">
          <cell r="A5318">
            <v>95920278</v>
          </cell>
          <cell r="B5318" t="str">
            <v>달성 보상_에르네스트 로페스_회고록6</v>
          </cell>
        </row>
        <row r="5319">
          <cell r="A5319">
            <v>95920279</v>
          </cell>
          <cell r="B5319" t="str">
            <v>달성 보상_에르네스트 로페스_회고록7</v>
          </cell>
        </row>
        <row r="5320">
          <cell r="A5320">
            <v>95920280</v>
          </cell>
          <cell r="B5320" t="str">
            <v>달성 보상_에르네스트 로페스_회고록8</v>
          </cell>
        </row>
        <row r="5321">
          <cell r="A5321">
            <v>95920281</v>
          </cell>
          <cell r="B5321" t="str">
            <v>달성 보상_에르네스트 로페스_회고록9</v>
          </cell>
        </row>
        <row r="5322">
          <cell r="A5322">
            <v>95920282</v>
          </cell>
          <cell r="B5322" t="str">
            <v>달성 보상_에르네스트 로페스_회고록10</v>
          </cell>
        </row>
        <row r="5323">
          <cell r="A5323">
            <v>95920283</v>
          </cell>
          <cell r="B5323" t="str">
            <v>달성 보상_에르네스트 로페스_회고록11</v>
          </cell>
        </row>
        <row r="5324">
          <cell r="A5324">
            <v>95920284</v>
          </cell>
          <cell r="B5324" t="str">
            <v>달성 보상_에르네스트 로페스_회고록12</v>
          </cell>
        </row>
        <row r="5325">
          <cell r="A5325">
            <v>95920285</v>
          </cell>
          <cell r="B5325" t="str">
            <v>달성 보상_에르네스트 로페스_회고록13</v>
          </cell>
        </row>
        <row r="5326">
          <cell r="A5326">
            <v>95920286</v>
          </cell>
          <cell r="B5326" t="str">
            <v>달성 보상_에르네스트 로페스_회고록14</v>
          </cell>
        </row>
        <row r="5327">
          <cell r="A5327">
            <v>95920287</v>
          </cell>
          <cell r="B5327" t="str">
            <v>달성 보상_에르네스트 로페스_회고록15</v>
          </cell>
        </row>
        <row r="5328">
          <cell r="A5328">
            <v>95920288</v>
          </cell>
          <cell r="B5328" t="str">
            <v>달성 보상_에르네스트 로페스_회고록16</v>
          </cell>
        </row>
        <row r="5329">
          <cell r="A5329">
            <v>95920289</v>
          </cell>
          <cell r="B5329" t="str">
            <v>달성 보상_사이이다 알 후라_일반1</v>
          </cell>
        </row>
        <row r="5330">
          <cell r="A5330">
            <v>95920290</v>
          </cell>
          <cell r="B5330" t="str">
            <v>달성 보상_사이이다 알 후라_일반2</v>
          </cell>
        </row>
        <row r="5331">
          <cell r="A5331">
            <v>95920291</v>
          </cell>
          <cell r="B5331" t="str">
            <v>달성 보상_사이이다 알 후라_일반3</v>
          </cell>
        </row>
        <row r="5332">
          <cell r="A5332">
            <v>95920292</v>
          </cell>
          <cell r="B5332" t="str">
            <v>달성 보상_사이이다 알 후라_일반4</v>
          </cell>
        </row>
        <row r="5333">
          <cell r="A5333">
            <v>95920293</v>
          </cell>
          <cell r="B5333" t="str">
            <v>달성 보상_사이이다 알 후라_일반5</v>
          </cell>
        </row>
        <row r="5334">
          <cell r="A5334">
            <v>95920294</v>
          </cell>
          <cell r="B5334" t="str">
            <v>달성 보상_사이이다 알 후라_일반6</v>
          </cell>
        </row>
        <row r="5335">
          <cell r="A5335">
            <v>95920295</v>
          </cell>
          <cell r="B5335" t="str">
            <v>달성 보상_사이이다 알 후라_일반7</v>
          </cell>
        </row>
        <row r="5336">
          <cell r="A5336">
            <v>95920296</v>
          </cell>
          <cell r="B5336" t="str">
            <v>달성 보상_사이이다 알 후라_일반8</v>
          </cell>
        </row>
        <row r="5337">
          <cell r="A5337">
            <v>95920297</v>
          </cell>
          <cell r="B5337" t="str">
            <v>달성 보상_사이이다 알 후라_일반9</v>
          </cell>
        </row>
        <row r="5338">
          <cell r="A5338">
            <v>95920298</v>
          </cell>
          <cell r="B5338" t="str">
            <v>달성 보상_사이이다 알 후라_일반10</v>
          </cell>
        </row>
        <row r="5339">
          <cell r="A5339">
            <v>95920299</v>
          </cell>
          <cell r="B5339" t="str">
            <v>달성 보상_사이이다 알 후라_일반11</v>
          </cell>
        </row>
        <row r="5340">
          <cell r="A5340">
            <v>95920300</v>
          </cell>
          <cell r="B5340" t="str">
            <v>달성 보상_사이이다 알 후라_일반12</v>
          </cell>
        </row>
        <row r="5341">
          <cell r="A5341">
            <v>95920301</v>
          </cell>
          <cell r="B5341" t="str">
            <v>달성 보상_사이이다 알 후라_일반13</v>
          </cell>
        </row>
        <row r="5342">
          <cell r="A5342">
            <v>95920302</v>
          </cell>
          <cell r="B5342" t="str">
            <v>달성 보상_사이이다 알 후라_일반14</v>
          </cell>
        </row>
        <row r="5343">
          <cell r="A5343">
            <v>95920303</v>
          </cell>
          <cell r="B5343" t="str">
            <v>달성 보상_사이이다 알 후라_일반15</v>
          </cell>
        </row>
        <row r="5344">
          <cell r="A5344">
            <v>95920304</v>
          </cell>
          <cell r="B5344" t="str">
            <v>달성 보상_사이이다 알 후라_일반16</v>
          </cell>
        </row>
        <row r="5345">
          <cell r="A5345">
            <v>95920305</v>
          </cell>
          <cell r="B5345" t="str">
            <v>달성 보상_사이이다 알 후라_회고록1</v>
          </cell>
        </row>
        <row r="5346">
          <cell r="A5346">
            <v>95920306</v>
          </cell>
          <cell r="B5346" t="str">
            <v>달성 보상_사이이다 알 후라_회고록2</v>
          </cell>
        </row>
        <row r="5347">
          <cell r="A5347">
            <v>95920307</v>
          </cell>
          <cell r="B5347" t="str">
            <v>달성 보상_사이이다 알 후라_회고록3</v>
          </cell>
        </row>
        <row r="5348">
          <cell r="A5348">
            <v>95920308</v>
          </cell>
          <cell r="B5348" t="str">
            <v>달성 보상_사이이다 알 후라_회고록4</v>
          </cell>
        </row>
        <row r="5349">
          <cell r="A5349">
            <v>95920309</v>
          </cell>
          <cell r="B5349" t="str">
            <v>달성 보상_사이이다 알 후라_회고록5</v>
          </cell>
        </row>
        <row r="5350">
          <cell r="A5350">
            <v>95920310</v>
          </cell>
          <cell r="B5350" t="str">
            <v>달성 보상_사이이다 알 후라_회고록6</v>
          </cell>
        </row>
        <row r="5351">
          <cell r="A5351">
            <v>95920311</v>
          </cell>
          <cell r="B5351" t="str">
            <v>달성 보상_사이이다 알 후라_회고록7</v>
          </cell>
        </row>
        <row r="5352">
          <cell r="A5352">
            <v>95920312</v>
          </cell>
          <cell r="B5352" t="str">
            <v>달성 보상_사이이다 알 후라_회고록8</v>
          </cell>
        </row>
        <row r="5353">
          <cell r="A5353">
            <v>95920313</v>
          </cell>
          <cell r="B5353" t="str">
            <v>달성 보상_사이이다 알 후라_회고록9</v>
          </cell>
        </row>
        <row r="5354">
          <cell r="A5354">
            <v>95920314</v>
          </cell>
          <cell r="B5354" t="str">
            <v>달성 보상_사이이다 알 후라_회고록10</v>
          </cell>
        </row>
        <row r="5355">
          <cell r="A5355">
            <v>95920315</v>
          </cell>
          <cell r="B5355" t="str">
            <v>달성 보상_사이이다 알 후라_회고록11</v>
          </cell>
        </row>
        <row r="5356">
          <cell r="A5356">
            <v>95920316</v>
          </cell>
          <cell r="B5356" t="str">
            <v>달성 보상_사이이다 알 후라_회고록12</v>
          </cell>
        </row>
        <row r="5357">
          <cell r="A5357">
            <v>95920317</v>
          </cell>
          <cell r="B5357" t="str">
            <v>달성 보상_사이이다 알 후라_회고록13</v>
          </cell>
        </row>
        <row r="5358">
          <cell r="A5358">
            <v>95920318</v>
          </cell>
          <cell r="B5358" t="str">
            <v>달성 보상_사이이다 알 후라_회고록14</v>
          </cell>
        </row>
        <row r="5359">
          <cell r="A5359">
            <v>95920319</v>
          </cell>
          <cell r="B5359" t="str">
            <v>달성 보상_사이이다 알 후라_회고록15</v>
          </cell>
        </row>
        <row r="5360">
          <cell r="A5360">
            <v>95920320</v>
          </cell>
          <cell r="B5360" t="str">
            <v>달성 보상_사이이다 알 후라_회고록16</v>
          </cell>
        </row>
        <row r="5361">
          <cell r="A5361">
            <v>95920321</v>
          </cell>
          <cell r="B5361" t="str">
            <v>달성 보상_이마이 사키_일반1</v>
          </cell>
        </row>
        <row r="5362">
          <cell r="A5362">
            <v>95920322</v>
          </cell>
          <cell r="B5362" t="str">
            <v>달성 보상_이마이 사키_일반2</v>
          </cell>
        </row>
        <row r="5363">
          <cell r="A5363">
            <v>95920323</v>
          </cell>
          <cell r="B5363" t="str">
            <v>달성 보상_이마이 사키_일반3</v>
          </cell>
        </row>
        <row r="5364">
          <cell r="A5364">
            <v>95920324</v>
          </cell>
          <cell r="B5364" t="str">
            <v>달성 보상_이마이 사키_일반4</v>
          </cell>
        </row>
        <row r="5365">
          <cell r="A5365">
            <v>95920325</v>
          </cell>
          <cell r="B5365" t="str">
            <v>달성 보상_이마이 사키_일반5</v>
          </cell>
        </row>
        <row r="5366">
          <cell r="A5366">
            <v>95920326</v>
          </cell>
          <cell r="B5366" t="str">
            <v>달성 보상_이마이 사키_일반6</v>
          </cell>
        </row>
        <row r="5367">
          <cell r="A5367">
            <v>95920327</v>
          </cell>
          <cell r="B5367" t="str">
            <v>달성 보상_이마이 사키_일반7</v>
          </cell>
        </row>
        <row r="5368">
          <cell r="A5368">
            <v>95920328</v>
          </cell>
          <cell r="B5368" t="str">
            <v>달성 보상_이마이 사키_일반8</v>
          </cell>
        </row>
        <row r="5369">
          <cell r="A5369">
            <v>95920329</v>
          </cell>
          <cell r="B5369" t="str">
            <v>달성 보상_이마이 사키_일반9</v>
          </cell>
        </row>
        <row r="5370">
          <cell r="A5370">
            <v>95920330</v>
          </cell>
          <cell r="B5370" t="str">
            <v>달성 보상_이마이 사키_일반10</v>
          </cell>
        </row>
        <row r="5371">
          <cell r="A5371">
            <v>95920331</v>
          </cell>
          <cell r="B5371" t="str">
            <v>달성 보상_이마이 사키_일반11</v>
          </cell>
        </row>
        <row r="5372">
          <cell r="A5372">
            <v>95920332</v>
          </cell>
          <cell r="B5372" t="str">
            <v>달성 보상_이마이 사키_일반12</v>
          </cell>
        </row>
        <row r="5373">
          <cell r="A5373">
            <v>95920333</v>
          </cell>
          <cell r="B5373" t="str">
            <v>달성 보상_이마이 사키_일반13</v>
          </cell>
        </row>
        <row r="5374">
          <cell r="A5374">
            <v>95920334</v>
          </cell>
          <cell r="B5374" t="str">
            <v>달성 보상_이마이 사키_일반14</v>
          </cell>
        </row>
        <row r="5375">
          <cell r="A5375">
            <v>95920335</v>
          </cell>
          <cell r="B5375" t="str">
            <v>달성 보상_이마이 사키_일반15</v>
          </cell>
        </row>
        <row r="5376">
          <cell r="A5376">
            <v>95920336</v>
          </cell>
          <cell r="B5376" t="str">
            <v>달성 보상_이마이 사키_일반16</v>
          </cell>
        </row>
        <row r="5377">
          <cell r="A5377">
            <v>95920337</v>
          </cell>
          <cell r="B5377" t="str">
            <v>달성 보상_이마이 사키_회고록1</v>
          </cell>
        </row>
        <row r="5378">
          <cell r="A5378">
            <v>95920338</v>
          </cell>
          <cell r="B5378" t="str">
            <v>달성 보상_이마이 사키_회고록2</v>
          </cell>
        </row>
        <row r="5379">
          <cell r="A5379">
            <v>95920339</v>
          </cell>
          <cell r="B5379" t="str">
            <v>달성 보상_이마이 사키_회고록3</v>
          </cell>
        </row>
        <row r="5380">
          <cell r="A5380">
            <v>95920340</v>
          </cell>
          <cell r="B5380" t="str">
            <v>달성 보상_이마이 사키_회고록4</v>
          </cell>
        </row>
        <row r="5381">
          <cell r="A5381">
            <v>95920341</v>
          </cell>
          <cell r="B5381" t="str">
            <v>달성 보상_이마이 사키_회고록5</v>
          </cell>
        </row>
        <row r="5382">
          <cell r="A5382">
            <v>95920342</v>
          </cell>
          <cell r="B5382" t="str">
            <v>달성 보상_이마이 사키_회고록6</v>
          </cell>
        </row>
        <row r="5383">
          <cell r="A5383">
            <v>95920343</v>
          </cell>
          <cell r="B5383" t="str">
            <v>달성 보상_이마이 사키_회고록7</v>
          </cell>
        </row>
        <row r="5384">
          <cell r="A5384">
            <v>95920344</v>
          </cell>
          <cell r="B5384" t="str">
            <v>달성 보상_이마이 사키_회고록8</v>
          </cell>
        </row>
        <row r="5385">
          <cell r="A5385">
            <v>95920345</v>
          </cell>
          <cell r="B5385" t="str">
            <v>달성 보상_이마이 사키_회고록9</v>
          </cell>
        </row>
        <row r="5386">
          <cell r="A5386">
            <v>95920346</v>
          </cell>
          <cell r="B5386" t="str">
            <v>달성 보상_이마이 사키_회고록10</v>
          </cell>
        </row>
        <row r="5387">
          <cell r="A5387">
            <v>95920347</v>
          </cell>
          <cell r="B5387" t="str">
            <v>달성 보상_이마이 사키_회고록11</v>
          </cell>
        </row>
        <row r="5388">
          <cell r="A5388">
            <v>95920348</v>
          </cell>
          <cell r="B5388" t="str">
            <v>달성 보상_이마이 사키_회고록12</v>
          </cell>
        </row>
        <row r="5389">
          <cell r="A5389">
            <v>95920349</v>
          </cell>
          <cell r="B5389" t="str">
            <v>달성 보상_이마이 사키_회고록13</v>
          </cell>
        </row>
        <row r="5390">
          <cell r="A5390">
            <v>95920350</v>
          </cell>
          <cell r="B5390" t="str">
            <v>달성 보상_이마이 사키_회고록14</v>
          </cell>
        </row>
        <row r="5391">
          <cell r="A5391">
            <v>95920351</v>
          </cell>
          <cell r="B5391" t="str">
            <v>달성 보상_이마이 사키_회고록15</v>
          </cell>
        </row>
        <row r="5392">
          <cell r="A5392">
            <v>95920352</v>
          </cell>
          <cell r="B5392" t="str">
            <v>달성 보상_이마이 사키_회고록16</v>
          </cell>
        </row>
        <row r="5393">
          <cell r="A5393">
            <v>95930001</v>
          </cell>
          <cell r="B5393" t="str">
            <v>거리 1로 편지 배달</v>
          </cell>
        </row>
        <row r="5394">
          <cell r="A5394">
            <v>95930002</v>
          </cell>
          <cell r="B5394" t="str">
            <v>거리 2로 편지 배달</v>
          </cell>
        </row>
        <row r="5395">
          <cell r="A5395">
            <v>95930003</v>
          </cell>
          <cell r="B5395" t="str">
            <v>거리 3로 편지 배달</v>
          </cell>
        </row>
        <row r="5396">
          <cell r="A5396">
            <v>95930004</v>
          </cell>
          <cell r="B5396" t="str">
            <v>거리 4로 편지 배달</v>
          </cell>
        </row>
        <row r="5397">
          <cell r="A5397">
            <v>95930005</v>
          </cell>
          <cell r="B5397" t="str">
            <v>거리 5로 편지 배달</v>
          </cell>
        </row>
        <row r="5398">
          <cell r="A5398">
            <v>95930006</v>
          </cell>
          <cell r="B5398" t="str">
            <v>거리 6로 편지 배달</v>
          </cell>
        </row>
        <row r="5399">
          <cell r="A5399">
            <v>95930007</v>
          </cell>
          <cell r="B5399" t="str">
            <v>거리 7로 편지 배달</v>
          </cell>
        </row>
        <row r="5400">
          <cell r="A5400">
            <v>95930008</v>
          </cell>
          <cell r="B5400" t="str">
            <v>거리 8로 편지 배달</v>
          </cell>
        </row>
        <row r="5401">
          <cell r="A5401">
            <v>95930009</v>
          </cell>
          <cell r="B5401" t="str">
            <v>거리 9로 편지 배달</v>
          </cell>
        </row>
        <row r="5402">
          <cell r="A5402">
            <v>95930010</v>
          </cell>
          <cell r="B5402" t="str">
            <v>거리 10로 편지 배달</v>
          </cell>
        </row>
        <row r="5403">
          <cell r="A5403">
            <v>95930011</v>
          </cell>
          <cell r="B5403" t="str">
            <v>거리 11로 편지 배달</v>
          </cell>
        </row>
        <row r="5404">
          <cell r="A5404">
            <v>95930012</v>
          </cell>
          <cell r="B5404" t="str">
            <v>거리 12로 편지 배달</v>
          </cell>
        </row>
        <row r="5405">
          <cell r="A5405">
            <v>95930013</v>
          </cell>
          <cell r="B5405" t="str">
            <v>거리 13로 편지 배달</v>
          </cell>
        </row>
        <row r="5406">
          <cell r="A5406">
            <v>95930014</v>
          </cell>
          <cell r="B5406" t="str">
            <v>거리 14로 편지 배달</v>
          </cell>
        </row>
        <row r="5407">
          <cell r="A5407">
            <v>95930015</v>
          </cell>
          <cell r="B5407" t="str">
            <v>거리 15로 편지 배달</v>
          </cell>
        </row>
        <row r="5408">
          <cell r="A5408">
            <v>95930016</v>
          </cell>
          <cell r="B5408" t="str">
            <v>거리 1로 교역품 배달</v>
          </cell>
        </row>
        <row r="5409">
          <cell r="A5409">
            <v>95930017</v>
          </cell>
          <cell r="B5409" t="str">
            <v>거리 2로 교역품 배달</v>
          </cell>
        </row>
        <row r="5410">
          <cell r="A5410">
            <v>95930018</v>
          </cell>
          <cell r="B5410" t="str">
            <v>거리 3로 교역품 배달</v>
          </cell>
        </row>
        <row r="5411">
          <cell r="A5411">
            <v>95930019</v>
          </cell>
          <cell r="B5411" t="str">
            <v>거리 4로 교역품 배달</v>
          </cell>
        </row>
        <row r="5412">
          <cell r="A5412">
            <v>95930020</v>
          </cell>
          <cell r="B5412" t="str">
            <v>거리 5로 교역품 배달</v>
          </cell>
        </row>
        <row r="5413">
          <cell r="A5413">
            <v>95930021</v>
          </cell>
          <cell r="B5413" t="str">
            <v>거리 6로 교역품 배달</v>
          </cell>
        </row>
        <row r="5414">
          <cell r="A5414">
            <v>95930022</v>
          </cell>
          <cell r="B5414" t="str">
            <v>거리 7로 교역품 배달</v>
          </cell>
        </row>
        <row r="5415">
          <cell r="A5415">
            <v>95930023</v>
          </cell>
          <cell r="B5415" t="str">
            <v>거리 8로 교역품 배달</v>
          </cell>
        </row>
        <row r="5416">
          <cell r="A5416">
            <v>95930024</v>
          </cell>
          <cell r="B5416" t="str">
            <v>거리 9로 교역품 배달</v>
          </cell>
        </row>
        <row r="5417">
          <cell r="A5417">
            <v>95930025</v>
          </cell>
          <cell r="B5417" t="str">
            <v>거리 10로 교역품 배달</v>
          </cell>
        </row>
        <row r="5418">
          <cell r="A5418">
            <v>95930026</v>
          </cell>
          <cell r="B5418" t="str">
            <v>거리 11로 교역품 배달</v>
          </cell>
        </row>
        <row r="5419">
          <cell r="A5419">
            <v>95930027</v>
          </cell>
          <cell r="B5419" t="str">
            <v>거리 12로 교역품 배달</v>
          </cell>
        </row>
        <row r="5420">
          <cell r="A5420">
            <v>95930028</v>
          </cell>
          <cell r="B5420" t="str">
            <v>거리 13로 교역품 배달</v>
          </cell>
        </row>
        <row r="5421">
          <cell r="A5421">
            <v>95930029</v>
          </cell>
          <cell r="B5421" t="str">
            <v>거리 14로 교역품 배달</v>
          </cell>
        </row>
        <row r="5422">
          <cell r="A5422">
            <v>95930030</v>
          </cell>
          <cell r="B5422" t="str">
            <v>거리 15로 교역품 배달</v>
          </cell>
        </row>
        <row r="5423">
          <cell r="A5423">
            <v>95930031</v>
          </cell>
          <cell r="B5423" t="str">
            <v>거리 1로 채무 수금</v>
          </cell>
        </row>
        <row r="5424">
          <cell r="A5424">
            <v>95930032</v>
          </cell>
          <cell r="B5424" t="str">
            <v>거리 2로 채무 수금</v>
          </cell>
        </row>
        <row r="5425">
          <cell r="A5425">
            <v>95930033</v>
          </cell>
          <cell r="B5425" t="str">
            <v>거리 3로 채무 수금</v>
          </cell>
        </row>
        <row r="5426">
          <cell r="A5426">
            <v>95930034</v>
          </cell>
          <cell r="B5426" t="str">
            <v>거리 4로 채무 수금</v>
          </cell>
        </row>
        <row r="5427">
          <cell r="A5427">
            <v>95930035</v>
          </cell>
          <cell r="B5427" t="str">
            <v>거리 5로 채무 수금</v>
          </cell>
        </row>
        <row r="5428">
          <cell r="A5428">
            <v>95930036</v>
          </cell>
          <cell r="B5428" t="str">
            <v>거리 6로 채무 수금</v>
          </cell>
        </row>
        <row r="5429">
          <cell r="A5429">
            <v>95930037</v>
          </cell>
          <cell r="B5429" t="str">
            <v>거리 7로 채무 수금</v>
          </cell>
        </row>
        <row r="5430">
          <cell r="A5430">
            <v>95930038</v>
          </cell>
          <cell r="B5430" t="str">
            <v>거리 8로 채무 수금</v>
          </cell>
        </row>
        <row r="5431">
          <cell r="A5431">
            <v>95930039</v>
          </cell>
          <cell r="B5431" t="str">
            <v>거리 9로 채무 수금</v>
          </cell>
        </row>
        <row r="5432">
          <cell r="A5432">
            <v>95930040</v>
          </cell>
          <cell r="B5432" t="str">
            <v>거리 10로 채무 수금</v>
          </cell>
        </row>
        <row r="5433">
          <cell r="A5433">
            <v>95930041</v>
          </cell>
          <cell r="B5433" t="str">
            <v>거리 11로 채무 수금</v>
          </cell>
        </row>
        <row r="5434">
          <cell r="A5434">
            <v>95930042</v>
          </cell>
          <cell r="B5434" t="str">
            <v>거리 12로 채무 수금</v>
          </cell>
        </row>
        <row r="5435">
          <cell r="A5435">
            <v>95930043</v>
          </cell>
          <cell r="B5435" t="str">
            <v>거리 13로 채무 수금</v>
          </cell>
        </row>
        <row r="5436">
          <cell r="A5436">
            <v>95930044</v>
          </cell>
          <cell r="B5436" t="str">
            <v>거리 14로 채무 수금</v>
          </cell>
        </row>
        <row r="5437">
          <cell r="A5437">
            <v>95930045</v>
          </cell>
          <cell r="B5437" t="str">
            <v>거리 15로 채무 수금</v>
          </cell>
        </row>
        <row r="5438">
          <cell r="A5438">
            <v>95930046</v>
          </cell>
          <cell r="B5438" t="str">
            <v>거리 1로 도구 배달</v>
          </cell>
        </row>
        <row r="5439">
          <cell r="A5439">
            <v>95930047</v>
          </cell>
          <cell r="B5439" t="str">
            <v>거리 2로 도구 배달</v>
          </cell>
        </row>
        <row r="5440">
          <cell r="A5440">
            <v>95930048</v>
          </cell>
          <cell r="B5440" t="str">
            <v>거리 3로 도구 배달</v>
          </cell>
        </row>
        <row r="5441">
          <cell r="A5441">
            <v>95930049</v>
          </cell>
          <cell r="B5441" t="str">
            <v>거리 4로 도구 배달</v>
          </cell>
        </row>
        <row r="5442">
          <cell r="A5442">
            <v>95930050</v>
          </cell>
          <cell r="B5442" t="str">
            <v>거리 5로 도구 배달</v>
          </cell>
        </row>
        <row r="5443">
          <cell r="A5443">
            <v>95930051</v>
          </cell>
          <cell r="B5443" t="str">
            <v>거리 6로 도구 배달</v>
          </cell>
        </row>
        <row r="5444">
          <cell r="A5444">
            <v>95930052</v>
          </cell>
          <cell r="B5444" t="str">
            <v>거리 7로 도구 배달</v>
          </cell>
        </row>
        <row r="5445">
          <cell r="A5445">
            <v>95930053</v>
          </cell>
          <cell r="B5445" t="str">
            <v>거리 8로 도구 배달</v>
          </cell>
        </row>
        <row r="5446">
          <cell r="A5446">
            <v>95930054</v>
          </cell>
          <cell r="B5446" t="str">
            <v>거리 9로 도구 배달</v>
          </cell>
        </row>
        <row r="5447">
          <cell r="A5447">
            <v>95930055</v>
          </cell>
          <cell r="B5447" t="str">
            <v>거리 10로 도구 배달</v>
          </cell>
        </row>
        <row r="5448">
          <cell r="A5448">
            <v>95930056</v>
          </cell>
          <cell r="B5448" t="str">
            <v>거리 11로 도구 배달</v>
          </cell>
        </row>
        <row r="5449">
          <cell r="A5449">
            <v>95930057</v>
          </cell>
          <cell r="B5449" t="str">
            <v>거리 12로 도구 배달</v>
          </cell>
        </row>
        <row r="5450">
          <cell r="A5450">
            <v>95930058</v>
          </cell>
          <cell r="B5450" t="str">
            <v>거리 13로 도구 배달</v>
          </cell>
        </row>
        <row r="5451">
          <cell r="A5451">
            <v>95930059</v>
          </cell>
          <cell r="B5451" t="str">
            <v>거리 14로 도구 배달</v>
          </cell>
        </row>
        <row r="5452">
          <cell r="A5452">
            <v>95930060</v>
          </cell>
          <cell r="B5452" t="str">
            <v>거리 15로 도구 배달</v>
          </cell>
        </row>
        <row r="5453">
          <cell r="A5453">
            <v>95930061</v>
          </cell>
          <cell r="B5453" t="str">
            <v>해적 토벌 1단계</v>
          </cell>
        </row>
        <row r="5454">
          <cell r="A5454">
            <v>95930062</v>
          </cell>
          <cell r="B5454" t="str">
            <v>해적 토벌 2단계</v>
          </cell>
        </row>
        <row r="5455">
          <cell r="A5455">
            <v>95930063</v>
          </cell>
          <cell r="B5455" t="str">
            <v>해적 토벌 3단계</v>
          </cell>
        </row>
        <row r="5456">
          <cell r="A5456">
            <v>95930064</v>
          </cell>
          <cell r="B5456" t="str">
            <v>해적 토벌 4단계</v>
          </cell>
        </row>
        <row r="5457">
          <cell r="A5457">
            <v>95930065</v>
          </cell>
          <cell r="B5457" t="str">
            <v>해적 토벌 5단계</v>
          </cell>
        </row>
        <row r="5458">
          <cell r="A5458">
            <v>95930066</v>
          </cell>
          <cell r="B5458" t="str">
            <v>해적 토벌 6단계</v>
          </cell>
        </row>
        <row r="5459">
          <cell r="A5459">
            <v>95930067</v>
          </cell>
          <cell r="B5459" t="str">
            <v>해적 토벌 7단계</v>
          </cell>
        </row>
        <row r="5460">
          <cell r="A5460">
            <v>95930068</v>
          </cell>
          <cell r="B5460" t="str">
            <v>해적 토벌 8단계</v>
          </cell>
        </row>
        <row r="5461">
          <cell r="A5461">
            <v>95930069</v>
          </cell>
          <cell r="B5461" t="str">
            <v>해적 토벌 9단계</v>
          </cell>
        </row>
        <row r="5462">
          <cell r="A5462">
            <v>95930070</v>
          </cell>
          <cell r="B5462" t="str">
            <v>해적 토벌 10단계</v>
          </cell>
        </row>
        <row r="5463">
          <cell r="A5463">
            <v>95930071</v>
          </cell>
          <cell r="B5463" t="str">
            <v>해적 토벌 11단계</v>
          </cell>
        </row>
        <row r="5464">
          <cell r="A5464">
            <v>95930072</v>
          </cell>
          <cell r="B5464" t="str">
            <v>해적 토벌 12단계</v>
          </cell>
        </row>
        <row r="5465">
          <cell r="A5465">
            <v>95930073</v>
          </cell>
          <cell r="B5465" t="str">
            <v>해적 토벌 13단계</v>
          </cell>
        </row>
        <row r="5466">
          <cell r="A5466">
            <v>95930074</v>
          </cell>
          <cell r="B5466" t="str">
            <v>해적 토벌 14단계</v>
          </cell>
        </row>
        <row r="5467">
          <cell r="A5467">
            <v>95930075</v>
          </cell>
          <cell r="B5467" t="str">
            <v>해적 토벌 15단계</v>
          </cell>
        </row>
        <row r="5468">
          <cell r="A5468">
            <v>95930076</v>
          </cell>
          <cell r="B5468" t="str">
            <v>거리 1로 투자</v>
          </cell>
        </row>
        <row r="5469">
          <cell r="A5469">
            <v>95930077</v>
          </cell>
          <cell r="B5469" t="str">
            <v>거리 2로 투자</v>
          </cell>
        </row>
        <row r="5470">
          <cell r="A5470">
            <v>95930078</v>
          </cell>
          <cell r="B5470" t="str">
            <v>거리 3로 투자</v>
          </cell>
        </row>
        <row r="5471">
          <cell r="A5471">
            <v>95930079</v>
          </cell>
          <cell r="B5471" t="str">
            <v>거리 4로 투자</v>
          </cell>
        </row>
        <row r="5472">
          <cell r="A5472">
            <v>95930080</v>
          </cell>
          <cell r="B5472" t="str">
            <v>거리 5로 투자</v>
          </cell>
        </row>
        <row r="5473">
          <cell r="A5473">
            <v>95930081</v>
          </cell>
          <cell r="B5473" t="str">
            <v>거리 6로 투자</v>
          </cell>
        </row>
        <row r="5474">
          <cell r="A5474">
            <v>95930082</v>
          </cell>
          <cell r="B5474" t="str">
            <v>거리 7로 투자</v>
          </cell>
        </row>
        <row r="5475">
          <cell r="A5475">
            <v>95930083</v>
          </cell>
          <cell r="B5475" t="str">
            <v>거리 8로 투자</v>
          </cell>
        </row>
        <row r="5476">
          <cell r="A5476">
            <v>95930084</v>
          </cell>
          <cell r="B5476" t="str">
            <v>거리 9로 투자</v>
          </cell>
        </row>
        <row r="5477">
          <cell r="A5477">
            <v>95930085</v>
          </cell>
          <cell r="B5477" t="str">
            <v>거리 10로 투자</v>
          </cell>
        </row>
        <row r="5478">
          <cell r="A5478">
            <v>95930086</v>
          </cell>
          <cell r="B5478" t="str">
            <v>거리 11로 투자</v>
          </cell>
        </row>
        <row r="5479">
          <cell r="A5479">
            <v>95930087</v>
          </cell>
          <cell r="B5479" t="str">
            <v>거리 12로 투자</v>
          </cell>
        </row>
        <row r="5480">
          <cell r="A5480">
            <v>95930088</v>
          </cell>
          <cell r="B5480" t="str">
            <v>거리 13로 투자</v>
          </cell>
        </row>
        <row r="5481">
          <cell r="A5481">
            <v>95930089</v>
          </cell>
          <cell r="B5481" t="str">
            <v>거리 14로 투자</v>
          </cell>
        </row>
        <row r="5482">
          <cell r="A5482">
            <v>95930090</v>
          </cell>
          <cell r="B5482" t="str">
            <v>거리 15로 투자</v>
          </cell>
        </row>
        <row r="5483">
          <cell r="A5483">
            <v>95930091</v>
          </cell>
          <cell r="B5483" t="str">
            <v>거리 1로 장비 배달</v>
          </cell>
        </row>
        <row r="5484">
          <cell r="A5484">
            <v>95930092</v>
          </cell>
          <cell r="B5484" t="str">
            <v>거리 2로 장비 배달</v>
          </cell>
        </row>
        <row r="5485">
          <cell r="A5485">
            <v>95930093</v>
          </cell>
          <cell r="B5485" t="str">
            <v>거리 3로 장비 배달</v>
          </cell>
        </row>
        <row r="5486">
          <cell r="A5486">
            <v>95930094</v>
          </cell>
          <cell r="B5486" t="str">
            <v>거리 4로 장비 배달</v>
          </cell>
        </row>
        <row r="5487">
          <cell r="A5487">
            <v>95930095</v>
          </cell>
          <cell r="B5487" t="str">
            <v>거리 5로 장비 배달</v>
          </cell>
        </row>
        <row r="5488">
          <cell r="A5488">
            <v>95930096</v>
          </cell>
          <cell r="B5488" t="str">
            <v>거리 6로 장비 배달</v>
          </cell>
        </row>
        <row r="5489">
          <cell r="A5489">
            <v>95930097</v>
          </cell>
          <cell r="B5489" t="str">
            <v>거리 7로 장비 배달</v>
          </cell>
        </row>
        <row r="5490">
          <cell r="A5490">
            <v>95930098</v>
          </cell>
          <cell r="B5490" t="str">
            <v>거리 8로 장비 배달</v>
          </cell>
        </row>
        <row r="5491">
          <cell r="A5491">
            <v>95930099</v>
          </cell>
          <cell r="B5491" t="str">
            <v>거리 9로 장비 배달</v>
          </cell>
        </row>
        <row r="5492">
          <cell r="A5492">
            <v>95930100</v>
          </cell>
          <cell r="B5492" t="str">
            <v>거리 10로 장비 배달</v>
          </cell>
        </row>
        <row r="5493">
          <cell r="A5493">
            <v>95930101</v>
          </cell>
          <cell r="B5493" t="str">
            <v>거리 11로 장비 배달</v>
          </cell>
        </row>
        <row r="5494">
          <cell r="A5494">
            <v>95930102</v>
          </cell>
          <cell r="B5494" t="str">
            <v>거리 12로 장비 배달</v>
          </cell>
        </row>
        <row r="5495">
          <cell r="A5495">
            <v>95930103</v>
          </cell>
          <cell r="B5495" t="str">
            <v>거리 13로 장비 배달</v>
          </cell>
        </row>
        <row r="5496">
          <cell r="A5496">
            <v>95930104</v>
          </cell>
          <cell r="B5496" t="str">
            <v>거리 14로 장비 배달</v>
          </cell>
        </row>
        <row r="5497">
          <cell r="A5497">
            <v>95930105</v>
          </cell>
          <cell r="B5497" t="str">
            <v>거리 15로 장비 배달</v>
          </cell>
        </row>
        <row r="5498">
          <cell r="A5498">
            <v>95930106</v>
          </cell>
          <cell r="B5498" t="str">
            <v>[일반 칙명] 국적 함대 토벌1</v>
          </cell>
        </row>
        <row r="5499">
          <cell r="A5499">
            <v>95930107</v>
          </cell>
          <cell r="B5499" t="str">
            <v>[일반 칙명] 국적 함대 토벌2</v>
          </cell>
        </row>
        <row r="5500">
          <cell r="A5500">
            <v>95930108</v>
          </cell>
          <cell r="B5500" t="str">
            <v>[일반 칙명] 국적 함대 토벌3</v>
          </cell>
        </row>
        <row r="5501">
          <cell r="A5501">
            <v>95930109</v>
          </cell>
          <cell r="B5501" t="str">
            <v>[일반 칙명] 국적 함대 토벌4</v>
          </cell>
        </row>
        <row r="5502">
          <cell r="A5502">
            <v>95930110</v>
          </cell>
          <cell r="B5502" t="str">
            <v>[일반 칙명] 국적 함대 토벌5</v>
          </cell>
        </row>
        <row r="5503">
          <cell r="A5503">
            <v>95930111</v>
          </cell>
          <cell r="B5503" t="str">
            <v>[일반 칙명] 국적 함대 토벌6</v>
          </cell>
        </row>
        <row r="5504">
          <cell r="A5504">
            <v>95930112</v>
          </cell>
          <cell r="B5504" t="str">
            <v>[일반 칙명] 국적 함대 토벌7</v>
          </cell>
        </row>
        <row r="5505">
          <cell r="A5505">
            <v>95930113</v>
          </cell>
          <cell r="B5505" t="str">
            <v>[일반 칙명] 국적 함대 토벌8</v>
          </cell>
        </row>
        <row r="5506">
          <cell r="A5506">
            <v>95930114</v>
          </cell>
          <cell r="B5506" t="str">
            <v>[일반 칙명] 국적 함대 토벌9</v>
          </cell>
        </row>
        <row r="5507">
          <cell r="A5507">
            <v>95930115</v>
          </cell>
          <cell r="B5507" t="str">
            <v>[일반 칙명] 국적 함대 토벌10</v>
          </cell>
        </row>
        <row r="5508">
          <cell r="A5508">
            <v>95930121</v>
          </cell>
          <cell r="B5508" t="str">
            <v>[일반 칙명] 해적 함대 토벌1</v>
          </cell>
        </row>
        <row r="5509">
          <cell r="A5509">
            <v>95930122</v>
          </cell>
          <cell r="B5509" t="str">
            <v>[일반 칙명] 해적 함대 토벌2</v>
          </cell>
        </row>
        <row r="5510">
          <cell r="A5510">
            <v>95930123</v>
          </cell>
          <cell r="B5510" t="str">
            <v>[일반 칙명] 해적 함대 토벌3</v>
          </cell>
        </row>
        <row r="5511">
          <cell r="A5511">
            <v>95930124</v>
          </cell>
          <cell r="B5511" t="str">
            <v>[일반 칙명] 해적 함대 토벌4</v>
          </cell>
        </row>
        <row r="5512">
          <cell r="A5512">
            <v>95930125</v>
          </cell>
          <cell r="B5512" t="str">
            <v>[일반 칙명] 해적 함대 토벌5</v>
          </cell>
        </row>
        <row r="5513">
          <cell r="A5513">
            <v>95930126</v>
          </cell>
          <cell r="B5513" t="str">
            <v>[일반 칙명] 해적 함대 토벌6</v>
          </cell>
        </row>
        <row r="5514">
          <cell r="A5514">
            <v>95930127</v>
          </cell>
          <cell r="B5514" t="str">
            <v>[일반 칙명] 해적 함대 토벌7</v>
          </cell>
        </row>
        <row r="5515">
          <cell r="A5515">
            <v>95930128</v>
          </cell>
          <cell r="B5515" t="str">
            <v>[일반 칙명] 해적 함대 토벌8</v>
          </cell>
        </row>
        <row r="5516">
          <cell r="A5516">
            <v>95930129</v>
          </cell>
          <cell r="B5516" t="str">
            <v>[일반 칙명] 해적 함대 토벌9</v>
          </cell>
        </row>
        <row r="5517">
          <cell r="A5517">
            <v>95930130</v>
          </cell>
          <cell r="B5517" t="str">
            <v>[일반 칙명] 해적 함대 토벌10</v>
          </cell>
        </row>
        <row r="5518">
          <cell r="A5518">
            <v>95930136</v>
          </cell>
          <cell r="B5518" t="str">
            <v>[일반 칙명] 투자1</v>
          </cell>
        </row>
        <row r="5519">
          <cell r="A5519">
            <v>95930137</v>
          </cell>
          <cell r="B5519" t="str">
            <v>[일반 칙명] 투자2</v>
          </cell>
        </row>
        <row r="5520">
          <cell r="A5520">
            <v>95930138</v>
          </cell>
          <cell r="B5520" t="str">
            <v>[일반 칙명] 투자3</v>
          </cell>
        </row>
        <row r="5521">
          <cell r="A5521">
            <v>95930139</v>
          </cell>
          <cell r="B5521" t="str">
            <v>[일반 칙명] 투자4</v>
          </cell>
        </row>
        <row r="5522">
          <cell r="A5522">
            <v>95930140</v>
          </cell>
          <cell r="B5522" t="str">
            <v>[일반 칙명] 투자5</v>
          </cell>
        </row>
        <row r="5523">
          <cell r="A5523">
            <v>95930141</v>
          </cell>
          <cell r="B5523" t="str">
            <v>[일반 칙명] 투자6</v>
          </cell>
        </row>
        <row r="5524">
          <cell r="A5524">
            <v>95930142</v>
          </cell>
          <cell r="B5524" t="str">
            <v>[일반 칙명] 투자7</v>
          </cell>
        </row>
        <row r="5525">
          <cell r="A5525">
            <v>95930143</v>
          </cell>
          <cell r="B5525" t="str">
            <v>[일반 칙명] 투자8</v>
          </cell>
        </row>
        <row r="5526">
          <cell r="A5526">
            <v>95930144</v>
          </cell>
          <cell r="B5526" t="str">
            <v>[일반 칙명] 투자9</v>
          </cell>
        </row>
        <row r="5527">
          <cell r="A5527">
            <v>95930145</v>
          </cell>
          <cell r="B5527" t="str">
            <v>[일반 칙명] 투자10</v>
          </cell>
        </row>
        <row r="5528">
          <cell r="A5528">
            <v>95930151</v>
          </cell>
          <cell r="B5528" t="str">
            <v>[일반 칙명] 교역품 납품1</v>
          </cell>
        </row>
        <row r="5529">
          <cell r="A5529">
            <v>95930152</v>
          </cell>
          <cell r="B5529" t="str">
            <v>[일반 칙명] 교역품 납품2</v>
          </cell>
        </row>
        <row r="5530">
          <cell r="A5530">
            <v>95930153</v>
          </cell>
          <cell r="B5530" t="str">
            <v>[일반 칙명] 교역품 납품3</v>
          </cell>
        </row>
        <row r="5531">
          <cell r="A5531">
            <v>95930154</v>
          </cell>
          <cell r="B5531" t="str">
            <v>[일반 칙명] 교역품 납품4</v>
          </cell>
        </row>
        <row r="5532">
          <cell r="A5532">
            <v>95930155</v>
          </cell>
          <cell r="B5532" t="str">
            <v>[일반 칙명] 교역품 납품5</v>
          </cell>
        </row>
        <row r="5533">
          <cell r="A5533">
            <v>95930156</v>
          </cell>
          <cell r="B5533" t="str">
            <v>[일반 칙명] 교역품 납품6</v>
          </cell>
        </row>
        <row r="5534">
          <cell r="A5534">
            <v>95930157</v>
          </cell>
          <cell r="B5534" t="str">
            <v>[일반 칙명] 교역품 납품7</v>
          </cell>
        </row>
        <row r="5535">
          <cell r="A5535">
            <v>95930158</v>
          </cell>
          <cell r="B5535" t="str">
            <v>[일반 칙명] 교역품 납품8</v>
          </cell>
        </row>
        <row r="5536">
          <cell r="A5536">
            <v>95930159</v>
          </cell>
          <cell r="B5536" t="str">
            <v>[일반 칙명] 교역품 납품9</v>
          </cell>
        </row>
        <row r="5537">
          <cell r="A5537">
            <v>95930160</v>
          </cell>
          <cell r="B5537" t="str">
            <v>[일반 칙명] 교역품 납품10</v>
          </cell>
        </row>
        <row r="5538">
          <cell r="A5538">
            <v>95930166</v>
          </cell>
          <cell r="B5538" t="str">
            <v>[일반 칙명] 조난자 구출1</v>
          </cell>
        </row>
        <row r="5539">
          <cell r="A5539">
            <v>95930167</v>
          </cell>
          <cell r="B5539" t="str">
            <v>[일반 칙명] 조난자 구출2</v>
          </cell>
        </row>
        <row r="5540">
          <cell r="A5540">
            <v>95930168</v>
          </cell>
          <cell r="B5540" t="str">
            <v>[일반 칙명] 조난자 구출3</v>
          </cell>
        </row>
        <row r="5541">
          <cell r="A5541">
            <v>95930169</v>
          </cell>
          <cell r="B5541" t="str">
            <v>[일반 칙명] 조난자 구출4</v>
          </cell>
        </row>
        <row r="5542">
          <cell r="A5542">
            <v>95930170</v>
          </cell>
          <cell r="B5542" t="str">
            <v>[일반 칙명] 조난자 구출5</v>
          </cell>
        </row>
        <row r="5543">
          <cell r="A5543">
            <v>95930171</v>
          </cell>
          <cell r="B5543" t="str">
            <v>[일반 칙명] 조난자 구출6</v>
          </cell>
        </row>
        <row r="5544">
          <cell r="A5544">
            <v>95930172</v>
          </cell>
          <cell r="B5544" t="str">
            <v>[일반 칙명] 조난자 구출7</v>
          </cell>
        </row>
        <row r="5545">
          <cell r="A5545">
            <v>95930173</v>
          </cell>
          <cell r="B5545" t="str">
            <v>[일반 칙명] 조난자 구출8</v>
          </cell>
        </row>
        <row r="5546">
          <cell r="A5546">
            <v>95930174</v>
          </cell>
          <cell r="B5546" t="str">
            <v>[일반 칙명] 조난자 구출9</v>
          </cell>
        </row>
        <row r="5547">
          <cell r="A5547">
            <v>95930175</v>
          </cell>
          <cell r="B5547" t="str">
            <v>[일반 칙명] 조난자 구출10</v>
          </cell>
        </row>
        <row r="5548">
          <cell r="A5548">
            <v>95930181</v>
          </cell>
          <cell r="B5548" t="str">
            <v>[일반 칙명] 항구 방문1</v>
          </cell>
        </row>
        <row r="5549">
          <cell r="A5549">
            <v>95930182</v>
          </cell>
          <cell r="B5549" t="str">
            <v>[일반 칙명] 항구 방문2</v>
          </cell>
        </row>
        <row r="5550">
          <cell r="A5550">
            <v>95930183</v>
          </cell>
          <cell r="B5550" t="str">
            <v>[일반 칙명] 항구 방문3</v>
          </cell>
        </row>
        <row r="5551">
          <cell r="A5551">
            <v>95930184</v>
          </cell>
          <cell r="B5551" t="str">
            <v>[일반 칙명] 항구 방문4</v>
          </cell>
        </row>
        <row r="5552">
          <cell r="A5552">
            <v>95930185</v>
          </cell>
          <cell r="B5552" t="str">
            <v>[일반 칙명] 항구 방문5</v>
          </cell>
        </row>
        <row r="5553">
          <cell r="A5553">
            <v>95930186</v>
          </cell>
          <cell r="B5553" t="str">
            <v>[일반 칙명] 항구 방문6</v>
          </cell>
        </row>
        <row r="5554">
          <cell r="A5554">
            <v>95930187</v>
          </cell>
          <cell r="B5554" t="str">
            <v>[일반 칙명] 항구 방문7</v>
          </cell>
        </row>
        <row r="5555">
          <cell r="A5555">
            <v>95930188</v>
          </cell>
          <cell r="B5555" t="str">
            <v>[일반 칙명] 항구 방문8</v>
          </cell>
        </row>
        <row r="5556">
          <cell r="A5556">
            <v>95930189</v>
          </cell>
          <cell r="B5556" t="str">
            <v>[일반 칙명] 항구 방문9</v>
          </cell>
        </row>
        <row r="5557">
          <cell r="A5557">
            <v>95930190</v>
          </cell>
          <cell r="B5557" t="str">
            <v>[일반 칙명] 항구 방문10</v>
          </cell>
        </row>
        <row r="5558">
          <cell r="A5558">
            <v>95930196</v>
          </cell>
          <cell r="B5558" t="str">
            <v>[승급 칙명] LV1</v>
          </cell>
        </row>
        <row r="5559">
          <cell r="A5559">
            <v>95930197</v>
          </cell>
          <cell r="B5559" t="str">
            <v>[승급 칙명] LV2</v>
          </cell>
        </row>
        <row r="5560">
          <cell r="A5560">
            <v>95930198</v>
          </cell>
          <cell r="B5560" t="str">
            <v>[승급 칙명] LV3</v>
          </cell>
        </row>
        <row r="5561">
          <cell r="A5561">
            <v>95930199</v>
          </cell>
          <cell r="B5561" t="str">
            <v>[승급 칙명] LV4</v>
          </cell>
        </row>
        <row r="5562">
          <cell r="A5562">
            <v>95930200</v>
          </cell>
          <cell r="B5562" t="str">
            <v>[승급 칙명] LV5</v>
          </cell>
        </row>
        <row r="5563">
          <cell r="A5563">
            <v>95930201</v>
          </cell>
          <cell r="B5563" t="str">
            <v>[승급 칙명] LV6</v>
          </cell>
        </row>
        <row r="5564">
          <cell r="A5564">
            <v>95930202</v>
          </cell>
          <cell r="B5564" t="str">
            <v>[승급 칙명] LV7</v>
          </cell>
        </row>
        <row r="5565">
          <cell r="A5565">
            <v>95930203</v>
          </cell>
          <cell r="B5565" t="str">
            <v>[승급 칙명] LV8</v>
          </cell>
        </row>
        <row r="5566">
          <cell r="A5566">
            <v>95930204</v>
          </cell>
          <cell r="B5566" t="str">
            <v>[승급 칙명] LV9</v>
          </cell>
        </row>
        <row r="5567">
          <cell r="A5567">
            <v>95930205</v>
          </cell>
          <cell r="B5567" t="str">
            <v>[승급 칙명] LV10</v>
          </cell>
        </row>
        <row r="5568">
          <cell r="A5568">
            <v>95930206</v>
          </cell>
          <cell r="B5568" t="str">
            <v>[승급 칙명] LV11</v>
          </cell>
        </row>
        <row r="5569">
          <cell r="A5569">
            <v>95930207</v>
          </cell>
          <cell r="B5569" t="str">
            <v>[일반 칙명] 국적 투자1</v>
          </cell>
        </row>
        <row r="5570">
          <cell r="A5570">
            <v>95930208</v>
          </cell>
          <cell r="B5570" t="str">
            <v>[일반 칙명] 국적 투자2</v>
          </cell>
        </row>
        <row r="5571">
          <cell r="A5571">
            <v>95930209</v>
          </cell>
          <cell r="B5571" t="str">
            <v>[일반 칙명] 국적 투자3</v>
          </cell>
        </row>
        <row r="5572">
          <cell r="A5572">
            <v>95930210</v>
          </cell>
          <cell r="B5572" t="str">
            <v>[일반 칙명] 국적 투자4</v>
          </cell>
        </row>
        <row r="5573">
          <cell r="A5573">
            <v>95930211</v>
          </cell>
          <cell r="B5573" t="str">
            <v>[일반 칙명] 국적 투자5</v>
          </cell>
        </row>
        <row r="5574">
          <cell r="A5574">
            <v>95930212</v>
          </cell>
          <cell r="B5574" t="str">
            <v>[일반 칙명] 국적 투자6</v>
          </cell>
        </row>
        <row r="5575">
          <cell r="A5575">
            <v>95930213</v>
          </cell>
          <cell r="B5575" t="str">
            <v>[일반 칙명] 국적 투자7</v>
          </cell>
        </row>
        <row r="5576">
          <cell r="A5576">
            <v>95930214</v>
          </cell>
          <cell r="B5576" t="str">
            <v>[일반 칙명] 국적 투자8</v>
          </cell>
        </row>
        <row r="5577">
          <cell r="A5577">
            <v>95930215</v>
          </cell>
          <cell r="B5577" t="str">
            <v>[일반 칙명] 국적 투자9</v>
          </cell>
        </row>
        <row r="5578">
          <cell r="A5578">
            <v>95930216</v>
          </cell>
          <cell r="B5578" t="str">
            <v>[일반 칙명] 국적 투자10</v>
          </cell>
        </row>
        <row r="5579">
          <cell r="A5579">
            <v>95930232</v>
          </cell>
          <cell r="B5579" t="str">
            <v>거리 1로 낚시</v>
          </cell>
        </row>
        <row r="5580">
          <cell r="A5580">
            <v>95930233</v>
          </cell>
          <cell r="B5580" t="str">
            <v>거리 2로 낚시</v>
          </cell>
        </row>
        <row r="5581">
          <cell r="A5581">
            <v>95930234</v>
          </cell>
          <cell r="B5581" t="str">
            <v>거리 3로 낚시</v>
          </cell>
        </row>
        <row r="5582">
          <cell r="A5582">
            <v>95930235</v>
          </cell>
          <cell r="B5582" t="str">
            <v>거리 4로 낚시</v>
          </cell>
        </row>
        <row r="5583">
          <cell r="A5583">
            <v>95930236</v>
          </cell>
          <cell r="B5583" t="str">
            <v>거리 5로 낚시</v>
          </cell>
        </row>
        <row r="5584">
          <cell r="A5584">
            <v>95930237</v>
          </cell>
          <cell r="B5584" t="str">
            <v>거리 6로 낚시</v>
          </cell>
        </row>
        <row r="5585">
          <cell r="A5585">
            <v>95930238</v>
          </cell>
          <cell r="B5585" t="str">
            <v>거리 7로 낚시</v>
          </cell>
        </row>
        <row r="5586">
          <cell r="A5586">
            <v>95930239</v>
          </cell>
          <cell r="B5586" t="str">
            <v>거리 8로 낚시</v>
          </cell>
        </row>
        <row r="5587">
          <cell r="A5587">
            <v>95930240</v>
          </cell>
          <cell r="B5587" t="str">
            <v>거리 9로 낚시</v>
          </cell>
        </row>
        <row r="5588">
          <cell r="A5588">
            <v>95930241</v>
          </cell>
          <cell r="B5588" t="str">
            <v>거리 10로 낚시</v>
          </cell>
        </row>
        <row r="5589">
          <cell r="A5589">
            <v>95930242</v>
          </cell>
          <cell r="B5589" t="str">
            <v>거리 11로 낚시</v>
          </cell>
        </row>
        <row r="5590">
          <cell r="A5590">
            <v>95930243</v>
          </cell>
          <cell r="B5590" t="str">
            <v>거리 12로 낚시</v>
          </cell>
        </row>
        <row r="5591">
          <cell r="A5591">
            <v>95930244</v>
          </cell>
          <cell r="B5591" t="str">
            <v>거리 13로 낚시</v>
          </cell>
        </row>
        <row r="5592">
          <cell r="A5592">
            <v>95930245</v>
          </cell>
          <cell r="B5592" t="str">
            <v>거리 14로 낚시</v>
          </cell>
        </row>
        <row r="5593">
          <cell r="A5593">
            <v>95930246</v>
          </cell>
          <cell r="B5593" t="str">
            <v>거리 15로 낚시</v>
          </cell>
        </row>
        <row r="5594">
          <cell r="A5594">
            <v>95930247</v>
          </cell>
          <cell r="B5594" t="str">
            <v>건조 1단계_1</v>
          </cell>
        </row>
        <row r="5595">
          <cell r="A5595">
            <v>95930248</v>
          </cell>
          <cell r="B5595" t="str">
            <v>건조 2단계_1</v>
          </cell>
        </row>
        <row r="5596">
          <cell r="A5596">
            <v>95930249</v>
          </cell>
          <cell r="B5596" t="str">
            <v>건조 3단계_1</v>
          </cell>
        </row>
        <row r="5597">
          <cell r="A5597">
            <v>95930250</v>
          </cell>
          <cell r="B5597" t="str">
            <v>건조 3단계_2</v>
          </cell>
        </row>
        <row r="5598">
          <cell r="A5598">
            <v>95930251</v>
          </cell>
          <cell r="B5598" t="str">
            <v>건조 4단계_1</v>
          </cell>
        </row>
        <row r="5599">
          <cell r="A5599">
            <v>95930252</v>
          </cell>
          <cell r="B5599" t="str">
            <v>건조 4단계_2</v>
          </cell>
        </row>
        <row r="5600">
          <cell r="A5600">
            <v>95930253</v>
          </cell>
          <cell r="B5600" t="str">
            <v>건조 5단계_1</v>
          </cell>
        </row>
        <row r="5601">
          <cell r="A5601">
            <v>95930254</v>
          </cell>
          <cell r="B5601" t="str">
            <v>건조 5단계_2</v>
          </cell>
        </row>
        <row r="5602">
          <cell r="A5602">
            <v>95930255</v>
          </cell>
          <cell r="B5602" t="str">
            <v>건조 5단계_3</v>
          </cell>
        </row>
        <row r="5603">
          <cell r="A5603">
            <v>95930256</v>
          </cell>
          <cell r="B5603" t="str">
            <v>건조 6단계_1</v>
          </cell>
        </row>
        <row r="5604">
          <cell r="A5604">
            <v>95930257</v>
          </cell>
          <cell r="B5604" t="str">
            <v>건조 6단계_2</v>
          </cell>
        </row>
        <row r="5605">
          <cell r="A5605">
            <v>95930258</v>
          </cell>
          <cell r="B5605" t="str">
            <v>건조 6단계_3</v>
          </cell>
        </row>
        <row r="5606">
          <cell r="A5606">
            <v>95930259</v>
          </cell>
          <cell r="B5606" t="str">
            <v>건조 7단계_1</v>
          </cell>
        </row>
        <row r="5607">
          <cell r="A5607">
            <v>95930260</v>
          </cell>
          <cell r="B5607" t="str">
            <v>건조 7단계_2</v>
          </cell>
        </row>
        <row r="5608">
          <cell r="A5608">
            <v>95930261</v>
          </cell>
          <cell r="B5608" t="str">
            <v>건조 7단계_3</v>
          </cell>
        </row>
        <row r="5609">
          <cell r="A5609">
            <v>95930262</v>
          </cell>
          <cell r="B5609" t="str">
            <v>건조 7단계_4</v>
          </cell>
        </row>
        <row r="5610">
          <cell r="A5610">
            <v>95930263</v>
          </cell>
          <cell r="B5610" t="str">
            <v>건조 8단계_1</v>
          </cell>
        </row>
        <row r="5611">
          <cell r="A5611">
            <v>95930264</v>
          </cell>
          <cell r="B5611" t="str">
            <v>건조 8단계_2</v>
          </cell>
        </row>
        <row r="5612">
          <cell r="A5612">
            <v>95930265</v>
          </cell>
          <cell r="B5612" t="str">
            <v>건조 8단계_3</v>
          </cell>
        </row>
        <row r="5613">
          <cell r="A5613">
            <v>95930266</v>
          </cell>
          <cell r="B5613" t="str">
            <v>건조 8단계_4</v>
          </cell>
        </row>
        <row r="5614">
          <cell r="A5614">
            <v>95930267</v>
          </cell>
          <cell r="B5614" t="str">
            <v>NEW_건조 1단계</v>
          </cell>
        </row>
        <row r="5615">
          <cell r="A5615">
            <v>95930268</v>
          </cell>
          <cell r="B5615" t="str">
            <v>NEW_건조 2단계</v>
          </cell>
        </row>
        <row r="5616">
          <cell r="A5616">
            <v>95930269</v>
          </cell>
          <cell r="B5616" t="str">
            <v>NEW_건조 3단계</v>
          </cell>
        </row>
        <row r="5617">
          <cell r="A5617">
            <v>95930270</v>
          </cell>
          <cell r="B5617" t="str">
            <v>NEW_건조 4단계</v>
          </cell>
        </row>
        <row r="5618">
          <cell r="A5618">
            <v>95930271</v>
          </cell>
          <cell r="B5618" t="str">
            <v>NEW_건조 5단계</v>
          </cell>
        </row>
        <row r="5619">
          <cell r="A5619">
            <v>95930272</v>
          </cell>
          <cell r="B5619" t="str">
            <v>NEW_건조 6단계</v>
          </cell>
        </row>
        <row r="5620">
          <cell r="A5620">
            <v>95930273</v>
          </cell>
          <cell r="B5620" t="str">
            <v>NEW_건조 7단계</v>
          </cell>
        </row>
        <row r="5621">
          <cell r="A5621">
            <v>95930274</v>
          </cell>
          <cell r="B5621" t="str">
            <v>NEW_건조 8단계</v>
          </cell>
        </row>
        <row r="5622">
          <cell r="A5622">
            <v>95930275</v>
          </cell>
          <cell r="B5622" t="str">
            <v>NEW_건조 9단계</v>
          </cell>
        </row>
        <row r="5623">
          <cell r="A5623">
            <v>95930276</v>
          </cell>
          <cell r="B5623" t="str">
            <v>거리 1로 교역 수익</v>
          </cell>
        </row>
        <row r="5624">
          <cell r="A5624">
            <v>95930277</v>
          </cell>
          <cell r="B5624" t="str">
            <v>거리 2로 교역 수익</v>
          </cell>
        </row>
        <row r="5625">
          <cell r="A5625">
            <v>95930278</v>
          </cell>
          <cell r="B5625" t="str">
            <v>거리 3로 교역 수익</v>
          </cell>
        </row>
        <row r="5626">
          <cell r="A5626">
            <v>95930279</v>
          </cell>
          <cell r="B5626" t="str">
            <v>거리 4로 교역 수익</v>
          </cell>
        </row>
        <row r="5627">
          <cell r="A5627">
            <v>95930280</v>
          </cell>
          <cell r="B5627" t="str">
            <v>거리 5로 교역 수익</v>
          </cell>
        </row>
        <row r="5628">
          <cell r="A5628">
            <v>95930281</v>
          </cell>
          <cell r="B5628" t="str">
            <v>거리 6로 교역 수익</v>
          </cell>
        </row>
        <row r="5629">
          <cell r="A5629">
            <v>95930282</v>
          </cell>
          <cell r="B5629" t="str">
            <v>거리 7로 교역 수익</v>
          </cell>
        </row>
        <row r="5630">
          <cell r="A5630">
            <v>95930283</v>
          </cell>
          <cell r="B5630" t="str">
            <v>거리 8로 교역 수익</v>
          </cell>
        </row>
        <row r="5631">
          <cell r="A5631">
            <v>95930284</v>
          </cell>
          <cell r="B5631" t="str">
            <v>거리 9로 교역 수익</v>
          </cell>
        </row>
        <row r="5632">
          <cell r="A5632">
            <v>95930285</v>
          </cell>
          <cell r="B5632" t="str">
            <v>거리 10로 교역 수익</v>
          </cell>
        </row>
        <row r="5633">
          <cell r="A5633">
            <v>95930286</v>
          </cell>
          <cell r="B5633" t="str">
            <v>거리 11로 교역 수익</v>
          </cell>
        </row>
        <row r="5634">
          <cell r="A5634">
            <v>95930287</v>
          </cell>
          <cell r="B5634" t="str">
            <v>거리 12로 교역 수익</v>
          </cell>
        </row>
        <row r="5635">
          <cell r="A5635">
            <v>95930288</v>
          </cell>
          <cell r="B5635" t="str">
            <v>거리 13로 교역 수익</v>
          </cell>
        </row>
        <row r="5636">
          <cell r="A5636">
            <v>95930289</v>
          </cell>
          <cell r="B5636" t="str">
            <v>거리 14로 교역 수익</v>
          </cell>
        </row>
        <row r="5637">
          <cell r="A5637">
            <v>95930290</v>
          </cell>
          <cell r="B5637" t="str">
            <v>거리 15로 교역 수익</v>
          </cell>
        </row>
        <row r="5638">
          <cell r="A5638">
            <v>95930291</v>
          </cell>
          <cell r="B5638" t="str">
            <v>가이드 1차</v>
          </cell>
        </row>
        <row r="5639">
          <cell r="A5639">
            <v>95930292</v>
          </cell>
          <cell r="B5639" t="str">
            <v>가이드 2차</v>
          </cell>
        </row>
        <row r="5640">
          <cell r="A5640">
            <v>95930293</v>
          </cell>
          <cell r="B5640" t="str">
            <v>가이드 3차</v>
          </cell>
        </row>
        <row r="5641">
          <cell r="A5641">
            <v>95930294</v>
          </cell>
          <cell r="B5641" t="str">
            <v>가이드 4차</v>
          </cell>
        </row>
        <row r="5642">
          <cell r="A5642">
            <v>95930295</v>
          </cell>
          <cell r="B5642" t="str">
            <v>가이드 5차</v>
          </cell>
        </row>
        <row r="5643">
          <cell r="A5643">
            <v>95930296</v>
          </cell>
          <cell r="B5643" t="str">
            <v>가이드 6차</v>
          </cell>
        </row>
        <row r="5644">
          <cell r="A5644">
            <v>95930297</v>
          </cell>
          <cell r="B5644" t="str">
            <v>가이드 7차</v>
          </cell>
        </row>
        <row r="5645">
          <cell r="A5645">
            <v>95930298</v>
          </cell>
          <cell r="B5645" t="str">
            <v>가이드 8차</v>
          </cell>
        </row>
        <row r="5646">
          <cell r="A5646">
            <v>95930299</v>
          </cell>
          <cell r="B5646" t="str">
            <v>가이드 9차</v>
          </cell>
        </row>
        <row r="5647">
          <cell r="A5647">
            <v>95930300</v>
          </cell>
          <cell r="B5647" t="str">
            <v>가이드 10차</v>
          </cell>
        </row>
        <row r="5648">
          <cell r="A5648">
            <v>95930301</v>
          </cell>
          <cell r="B5648" t="str">
            <v>가이드 11차</v>
          </cell>
        </row>
        <row r="5649">
          <cell r="A5649">
            <v>95930302</v>
          </cell>
          <cell r="B5649" t="str">
            <v>가이드 12차</v>
          </cell>
        </row>
        <row r="5650">
          <cell r="A5650">
            <v>95930303</v>
          </cell>
          <cell r="B5650" t="str">
            <v>가이드 13차</v>
          </cell>
        </row>
        <row r="5651">
          <cell r="A5651">
            <v>95930304</v>
          </cell>
          <cell r="B5651" t="str">
            <v>가이드 14차</v>
          </cell>
        </row>
        <row r="5652">
          <cell r="A5652">
            <v>95930305</v>
          </cell>
          <cell r="B5652" t="str">
            <v>가이드 15차</v>
          </cell>
        </row>
        <row r="5653">
          <cell r="A5653">
            <v>95930306</v>
          </cell>
          <cell r="B5653" t="str">
            <v>가이드 16차</v>
          </cell>
        </row>
        <row r="5654">
          <cell r="A5654">
            <v>95930307</v>
          </cell>
          <cell r="B5654" t="str">
            <v>가이드 17차</v>
          </cell>
        </row>
        <row r="5655">
          <cell r="A5655">
            <v>95930308</v>
          </cell>
          <cell r="B5655" t="str">
            <v>가이드 18차</v>
          </cell>
        </row>
        <row r="5656">
          <cell r="A5656">
            <v>95930309</v>
          </cell>
          <cell r="B5656" t="str">
            <v>가이드 19차</v>
          </cell>
        </row>
        <row r="5657">
          <cell r="A5657">
            <v>95930310</v>
          </cell>
          <cell r="B5657" t="str">
            <v>가이드 20차</v>
          </cell>
        </row>
        <row r="5658">
          <cell r="A5658">
            <v>95930311</v>
          </cell>
          <cell r="B5658" t="str">
            <v>완벽한 승리 1단계</v>
          </cell>
        </row>
        <row r="5659">
          <cell r="A5659">
            <v>95930312</v>
          </cell>
          <cell r="B5659" t="str">
            <v>완벽한 승리 2단계</v>
          </cell>
        </row>
        <row r="5660">
          <cell r="A5660">
            <v>95930313</v>
          </cell>
          <cell r="B5660" t="str">
            <v>완벽한 승리 3단계</v>
          </cell>
        </row>
        <row r="5661">
          <cell r="A5661">
            <v>95930314</v>
          </cell>
          <cell r="B5661" t="str">
            <v>완벽한 승리 4단계</v>
          </cell>
        </row>
        <row r="5662">
          <cell r="A5662">
            <v>95930315</v>
          </cell>
          <cell r="B5662" t="str">
            <v>완벽한 승리 5단계</v>
          </cell>
        </row>
        <row r="5663">
          <cell r="A5663">
            <v>95930316</v>
          </cell>
          <cell r="B5663" t="str">
            <v>완벽한 승리 6단계</v>
          </cell>
        </row>
        <row r="5664">
          <cell r="A5664">
            <v>95930317</v>
          </cell>
          <cell r="B5664" t="str">
            <v>완벽한 승리 7단계</v>
          </cell>
        </row>
        <row r="5665">
          <cell r="A5665">
            <v>95930318</v>
          </cell>
          <cell r="B5665" t="str">
            <v>완벽한 승리 8단계</v>
          </cell>
        </row>
        <row r="5666">
          <cell r="A5666">
            <v>95930319</v>
          </cell>
          <cell r="B5666" t="str">
            <v>완벽한 승리 9단계</v>
          </cell>
        </row>
        <row r="5667">
          <cell r="A5667">
            <v>95930320</v>
          </cell>
          <cell r="B5667" t="str">
            <v>완벽한 승리 10단계</v>
          </cell>
        </row>
        <row r="5668">
          <cell r="A5668">
            <v>95930321</v>
          </cell>
          <cell r="B5668" t="str">
            <v>완벽한 승리 11단계</v>
          </cell>
        </row>
        <row r="5669">
          <cell r="A5669">
            <v>95930322</v>
          </cell>
          <cell r="B5669" t="str">
            <v>완벽한 승리 12단계</v>
          </cell>
        </row>
        <row r="5670">
          <cell r="A5670">
            <v>95930323</v>
          </cell>
          <cell r="B5670" t="str">
            <v>완벽한 승리 13단계</v>
          </cell>
        </row>
        <row r="5671">
          <cell r="A5671">
            <v>95930324</v>
          </cell>
          <cell r="B5671" t="str">
            <v>완벽한 승리 14단계</v>
          </cell>
        </row>
        <row r="5672">
          <cell r="A5672">
            <v>95930325</v>
          </cell>
          <cell r="B5672" t="str">
            <v>완벽한 승리 15단계</v>
          </cell>
        </row>
        <row r="5673">
          <cell r="A5673">
            <v>95930326</v>
          </cell>
          <cell r="B5673" t="str">
            <v>가이드 면세증</v>
          </cell>
        </row>
        <row r="5674">
          <cell r="A5674">
            <v>95930327</v>
          </cell>
          <cell r="B5674" t="str">
            <v>행운의 편지 1단계</v>
          </cell>
        </row>
        <row r="5675">
          <cell r="A5675">
            <v>95930328</v>
          </cell>
          <cell r="B5675" t="str">
            <v>행운의 편지 2단계</v>
          </cell>
        </row>
        <row r="5676">
          <cell r="A5676">
            <v>95930329</v>
          </cell>
          <cell r="B5676" t="str">
            <v>행운의 편지 3단계</v>
          </cell>
        </row>
        <row r="5677">
          <cell r="A5677">
            <v>95930330</v>
          </cell>
          <cell r="B5677" t="str">
            <v>행운의 편지 4단계</v>
          </cell>
        </row>
        <row r="5678">
          <cell r="A5678">
            <v>95930331</v>
          </cell>
          <cell r="B5678" t="str">
            <v>행운의 편지 5단계</v>
          </cell>
        </row>
        <row r="5679">
          <cell r="A5679">
            <v>95930332</v>
          </cell>
          <cell r="B5679" t="str">
            <v>행운의 편지 6단계</v>
          </cell>
        </row>
        <row r="5680">
          <cell r="A5680">
            <v>95930333</v>
          </cell>
          <cell r="B5680" t="str">
            <v>행운의 편지 7단계</v>
          </cell>
        </row>
        <row r="5681">
          <cell r="A5681">
            <v>95930334</v>
          </cell>
          <cell r="B5681" t="str">
            <v>행운의 편지 8단계</v>
          </cell>
        </row>
        <row r="5682">
          <cell r="A5682">
            <v>95930335</v>
          </cell>
          <cell r="B5682" t="str">
            <v>행운의 편지 9단계</v>
          </cell>
        </row>
        <row r="5683">
          <cell r="A5683">
            <v>95930336</v>
          </cell>
          <cell r="B5683" t="str">
            <v>행운의 편지 10단계</v>
          </cell>
        </row>
        <row r="5684">
          <cell r="A5684">
            <v>95930337</v>
          </cell>
          <cell r="B5684" t="str">
            <v>행운의 편지 11단계</v>
          </cell>
        </row>
        <row r="5685">
          <cell r="A5685">
            <v>95930338</v>
          </cell>
          <cell r="B5685" t="str">
            <v>행운의 편지 12단계</v>
          </cell>
        </row>
        <row r="5686">
          <cell r="A5686">
            <v>95930339</v>
          </cell>
          <cell r="B5686" t="str">
            <v>행운의 편지 13단계</v>
          </cell>
        </row>
        <row r="5687">
          <cell r="A5687">
            <v>95930340</v>
          </cell>
          <cell r="B5687" t="str">
            <v>행운의 편지 14단계</v>
          </cell>
        </row>
        <row r="5688">
          <cell r="A5688">
            <v>95930341</v>
          </cell>
          <cell r="B5688" t="str">
            <v>행운의 편지 15단계</v>
          </cell>
        </row>
        <row r="5689">
          <cell r="A5689">
            <v>95930342</v>
          </cell>
          <cell r="B5689" t="str">
            <v>해류 조사 1단계</v>
          </cell>
        </row>
        <row r="5690">
          <cell r="A5690">
            <v>95930343</v>
          </cell>
          <cell r="B5690" t="str">
            <v>해류 조사 2단계</v>
          </cell>
        </row>
        <row r="5691">
          <cell r="A5691">
            <v>95930344</v>
          </cell>
          <cell r="B5691" t="str">
            <v>해류 조사 3단계</v>
          </cell>
        </row>
        <row r="5692">
          <cell r="A5692">
            <v>95930345</v>
          </cell>
          <cell r="B5692" t="str">
            <v>해류 조사 4단계</v>
          </cell>
        </row>
        <row r="5693">
          <cell r="A5693">
            <v>95930346</v>
          </cell>
          <cell r="B5693" t="str">
            <v>해류 조사 5단계</v>
          </cell>
        </row>
        <row r="5694">
          <cell r="A5694">
            <v>95930347</v>
          </cell>
          <cell r="B5694" t="str">
            <v>해류 조사 6단계</v>
          </cell>
        </row>
        <row r="5695">
          <cell r="A5695">
            <v>95930348</v>
          </cell>
          <cell r="B5695" t="str">
            <v>해류 조사 7단계</v>
          </cell>
        </row>
        <row r="5696">
          <cell r="A5696">
            <v>95930349</v>
          </cell>
          <cell r="B5696" t="str">
            <v>해류 조사 8단계</v>
          </cell>
        </row>
        <row r="5697">
          <cell r="A5697">
            <v>95930350</v>
          </cell>
          <cell r="B5697" t="str">
            <v>해류 조사 9단계</v>
          </cell>
        </row>
        <row r="5698">
          <cell r="A5698">
            <v>95930351</v>
          </cell>
          <cell r="B5698" t="str">
            <v>해류 조사 10단계</v>
          </cell>
        </row>
        <row r="5699">
          <cell r="A5699">
            <v>95930352</v>
          </cell>
          <cell r="B5699" t="str">
            <v>해류 조사 11단계</v>
          </cell>
        </row>
        <row r="5700">
          <cell r="A5700">
            <v>95930353</v>
          </cell>
          <cell r="B5700" t="str">
            <v>해류 조사 12단계</v>
          </cell>
        </row>
        <row r="5701">
          <cell r="A5701">
            <v>95930354</v>
          </cell>
          <cell r="B5701" t="str">
            <v>해류 조사 13단계</v>
          </cell>
        </row>
        <row r="5702">
          <cell r="A5702">
            <v>95930355</v>
          </cell>
          <cell r="B5702" t="str">
            <v>해류 조사 14단계</v>
          </cell>
        </row>
        <row r="5703">
          <cell r="A5703">
            <v>95930356</v>
          </cell>
          <cell r="B5703" t="str">
            <v>해류 조사 15단계</v>
          </cell>
        </row>
        <row r="5704">
          <cell r="A5704">
            <v>95930357</v>
          </cell>
          <cell r="B5704" t="str">
            <v>탐험가의 최후 기록 1단계</v>
          </cell>
        </row>
        <row r="5705">
          <cell r="A5705">
            <v>95930358</v>
          </cell>
          <cell r="B5705" t="str">
            <v>탐험가의 최후 기록 2단계</v>
          </cell>
        </row>
        <row r="5706">
          <cell r="A5706">
            <v>95930359</v>
          </cell>
          <cell r="B5706" t="str">
            <v>탐험가의 최후 기록 3단계</v>
          </cell>
        </row>
        <row r="5707">
          <cell r="A5707">
            <v>95930360</v>
          </cell>
          <cell r="B5707" t="str">
            <v>탐험가의 최후 기록 4단계</v>
          </cell>
        </row>
        <row r="5708">
          <cell r="A5708">
            <v>95930361</v>
          </cell>
          <cell r="B5708" t="str">
            <v>탐험가의 최후 기록 5단계</v>
          </cell>
        </row>
        <row r="5709">
          <cell r="A5709">
            <v>95930362</v>
          </cell>
          <cell r="B5709" t="str">
            <v>탐험가의 최후 기록 6단계</v>
          </cell>
        </row>
        <row r="5710">
          <cell r="A5710">
            <v>95930363</v>
          </cell>
          <cell r="B5710" t="str">
            <v>탐험가의 최후 기록 7단계</v>
          </cell>
        </row>
        <row r="5711">
          <cell r="A5711">
            <v>95930364</v>
          </cell>
          <cell r="B5711" t="str">
            <v>탐험가의 최후 기록 8단계</v>
          </cell>
        </row>
        <row r="5712">
          <cell r="A5712">
            <v>95930365</v>
          </cell>
          <cell r="B5712" t="str">
            <v>탐험가의 최후 기록 9단계</v>
          </cell>
        </row>
        <row r="5713">
          <cell r="A5713">
            <v>95930366</v>
          </cell>
          <cell r="B5713" t="str">
            <v>탐험가의 최후 기록 10단계</v>
          </cell>
        </row>
        <row r="5714">
          <cell r="A5714">
            <v>95930367</v>
          </cell>
          <cell r="B5714" t="str">
            <v>탐험가의 최후 기록 11단계</v>
          </cell>
        </row>
        <row r="5715">
          <cell r="A5715">
            <v>95930368</v>
          </cell>
          <cell r="B5715" t="str">
            <v>탐험가의 최후 기록 12단계</v>
          </cell>
        </row>
        <row r="5716">
          <cell r="A5716">
            <v>95930369</v>
          </cell>
          <cell r="B5716" t="str">
            <v>탐험가의 최후 기록 13단계</v>
          </cell>
        </row>
        <row r="5717">
          <cell r="A5717">
            <v>95930370</v>
          </cell>
          <cell r="B5717" t="str">
            <v>탐험가의 최후 기록 14단계</v>
          </cell>
        </row>
        <row r="5718">
          <cell r="A5718">
            <v>95930371</v>
          </cell>
          <cell r="B5718" t="str">
            <v>탐험가의 최후 기록 15단계</v>
          </cell>
        </row>
        <row r="5719">
          <cell r="A5719">
            <v>95930372</v>
          </cell>
          <cell r="B5719" t="str">
            <v>만기가 도래한 납품 의뢰 1단계</v>
          </cell>
        </row>
        <row r="5720">
          <cell r="A5720">
            <v>95930373</v>
          </cell>
          <cell r="B5720" t="str">
            <v>만기가 도래한 납품 의뢰 2단계</v>
          </cell>
        </row>
        <row r="5721">
          <cell r="A5721">
            <v>95930374</v>
          </cell>
          <cell r="B5721" t="str">
            <v>만기가 도래한 납품 의뢰 3단계</v>
          </cell>
        </row>
        <row r="5722">
          <cell r="A5722">
            <v>95930375</v>
          </cell>
          <cell r="B5722" t="str">
            <v>만기가 도래한 납품 의뢰 4단계</v>
          </cell>
        </row>
        <row r="5723">
          <cell r="A5723">
            <v>95930376</v>
          </cell>
          <cell r="B5723" t="str">
            <v>만기가 도래한 납품 의뢰 5단계</v>
          </cell>
        </row>
        <row r="5724">
          <cell r="A5724">
            <v>95930377</v>
          </cell>
          <cell r="B5724" t="str">
            <v>만기가 도래한 납품 의뢰 6단계</v>
          </cell>
        </row>
        <row r="5725">
          <cell r="A5725">
            <v>95930378</v>
          </cell>
          <cell r="B5725" t="str">
            <v>만기가 도래한 납품 의뢰 7단계</v>
          </cell>
        </row>
        <row r="5726">
          <cell r="A5726">
            <v>95930379</v>
          </cell>
          <cell r="B5726" t="str">
            <v>만기가 도래한 납품 의뢰 8단계</v>
          </cell>
        </row>
        <row r="5727">
          <cell r="A5727">
            <v>95930380</v>
          </cell>
          <cell r="B5727" t="str">
            <v>만기가 도래한 납품 의뢰 9단계</v>
          </cell>
        </row>
        <row r="5728">
          <cell r="A5728">
            <v>95930381</v>
          </cell>
          <cell r="B5728" t="str">
            <v>만기가 도래한 납품 의뢰 10단계</v>
          </cell>
        </row>
        <row r="5729">
          <cell r="A5729">
            <v>95930382</v>
          </cell>
          <cell r="B5729" t="str">
            <v>만기가 도래한 납품 의뢰 11단계</v>
          </cell>
        </row>
        <row r="5730">
          <cell r="A5730">
            <v>95930383</v>
          </cell>
          <cell r="B5730" t="str">
            <v>만기가 도래한 납품 의뢰 12단계</v>
          </cell>
        </row>
        <row r="5731">
          <cell r="A5731">
            <v>95930384</v>
          </cell>
          <cell r="B5731" t="str">
            <v>만기가 도래한 납품 의뢰 13단계</v>
          </cell>
        </row>
        <row r="5732">
          <cell r="A5732">
            <v>95930385</v>
          </cell>
          <cell r="B5732" t="str">
            <v>만기가 도래한 납품 의뢰 14단계</v>
          </cell>
        </row>
        <row r="5733">
          <cell r="A5733">
            <v>95930386</v>
          </cell>
          <cell r="B5733" t="str">
            <v>만기가 도래한 납품 의뢰 15단계</v>
          </cell>
        </row>
        <row r="5734">
          <cell r="A5734">
            <v>95930387</v>
          </cell>
          <cell r="B5734" t="str">
            <v>교역상의 도전장 1단계</v>
          </cell>
        </row>
        <row r="5735">
          <cell r="A5735">
            <v>95930388</v>
          </cell>
          <cell r="B5735" t="str">
            <v>교역상의 도전장 2단계</v>
          </cell>
        </row>
        <row r="5736">
          <cell r="A5736">
            <v>95930389</v>
          </cell>
          <cell r="B5736" t="str">
            <v>교역상의 도전장 3단계</v>
          </cell>
        </row>
        <row r="5737">
          <cell r="A5737">
            <v>95930390</v>
          </cell>
          <cell r="B5737" t="str">
            <v>교역상의 도전장 4단계</v>
          </cell>
        </row>
        <row r="5738">
          <cell r="A5738">
            <v>95930391</v>
          </cell>
          <cell r="B5738" t="str">
            <v>교역상의 도전장 5단계</v>
          </cell>
        </row>
        <row r="5739">
          <cell r="A5739">
            <v>95930392</v>
          </cell>
          <cell r="B5739" t="str">
            <v>교역상의 도전장 6단계</v>
          </cell>
        </row>
        <row r="5740">
          <cell r="A5740">
            <v>95930393</v>
          </cell>
          <cell r="B5740" t="str">
            <v>교역상의 도전장 7단계</v>
          </cell>
        </row>
        <row r="5741">
          <cell r="A5741">
            <v>95930394</v>
          </cell>
          <cell r="B5741" t="str">
            <v>교역상의 도전장 8단계</v>
          </cell>
        </row>
        <row r="5742">
          <cell r="A5742">
            <v>95930395</v>
          </cell>
          <cell r="B5742" t="str">
            <v>교역상의 도전장 9단계</v>
          </cell>
        </row>
        <row r="5743">
          <cell r="A5743">
            <v>95930396</v>
          </cell>
          <cell r="B5743" t="str">
            <v>교역상의 도전장 10단계</v>
          </cell>
        </row>
        <row r="5744">
          <cell r="A5744">
            <v>95930397</v>
          </cell>
          <cell r="B5744" t="str">
            <v>교역상의 도전장 11단계</v>
          </cell>
        </row>
        <row r="5745">
          <cell r="A5745">
            <v>95930398</v>
          </cell>
          <cell r="B5745" t="str">
            <v>교역상의 도전장 12단계</v>
          </cell>
        </row>
        <row r="5746">
          <cell r="A5746">
            <v>95930399</v>
          </cell>
          <cell r="B5746" t="str">
            <v>교역상의 도전장 13단계</v>
          </cell>
        </row>
        <row r="5747">
          <cell r="A5747">
            <v>95930400</v>
          </cell>
          <cell r="B5747" t="str">
            <v>교역상의 도전장 14단계</v>
          </cell>
        </row>
        <row r="5748">
          <cell r="A5748">
            <v>95930401</v>
          </cell>
          <cell r="B5748" t="str">
            <v>교역상의 도전장 15단계</v>
          </cell>
        </row>
        <row r="5749">
          <cell r="A5749">
            <v>95930402</v>
          </cell>
          <cell r="B5749" t="str">
            <v>현상범 체포 1단계</v>
          </cell>
        </row>
        <row r="5750">
          <cell r="A5750">
            <v>95930403</v>
          </cell>
          <cell r="B5750" t="str">
            <v>현상범 체포 2단계</v>
          </cell>
        </row>
        <row r="5751">
          <cell r="A5751">
            <v>95930404</v>
          </cell>
          <cell r="B5751" t="str">
            <v>현상범 체포 3단계</v>
          </cell>
        </row>
        <row r="5752">
          <cell r="A5752">
            <v>95930405</v>
          </cell>
          <cell r="B5752" t="str">
            <v>현상범 체포 4단계</v>
          </cell>
        </row>
        <row r="5753">
          <cell r="A5753">
            <v>95930406</v>
          </cell>
          <cell r="B5753" t="str">
            <v>현상범 체포 5단계</v>
          </cell>
        </row>
        <row r="5754">
          <cell r="A5754">
            <v>95930407</v>
          </cell>
          <cell r="B5754" t="str">
            <v>현상범 체포 6단계</v>
          </cell>
        </row>
        <row r="5755">
          <cell r="A5755">
            <v>95930408</v>
          </cell>
          <cell r="B5755" t="str">
            <v>현상범 체포 7단계</v>
          </cell>
        </row>
        <row r="5756">
          <cell r="A5756">
            <v>95930409</v>
          </cell>
          <cell r="B5756" t="str">
            <v>현상범 체포 8단계</v>
          </cell>
        </row>
        <row r="5757">
          <cell r="A5757">
            <v>95930410</v>
          </cell>
          <cell r="B5757" t="str">
            <v>현상범 체포 9단계</v>
          </cell>
        </row>
        <row r="5758">
          <cell r="A5758">
            <v>95930411</v>
          </cell>
          <cell r="B5758" t="str">
            <v>현상범 체포 10단계</v>
          </cell>
        </row>
        <row r="5759">
          <cell r="A5759">
            <v>95930412</v>
          </cell>
          <cell r="B5759" t="str">
            <v>현상범 체포 11단계</v>
          </cell>
        </row>
        <row r="5760">
          <cell r="A5760">
            <v>95930413</v>
          </cell>
          <cell r="B5760" t="str">
            <v>현상범 체포 12단계</v>
          </cell>
        </row>
        <row r="5761">
          <cell r="A5761">
            <v>95930414</v>
          </cell>
          <cell r="B5761" t="str">
            <v>현상범 체포 13단계</v>
          </cell>
        </row>
        <row r="5762">
          <cell r="A5762">
            <v>95930415</v>
          </cell>
          <cell r="B5762" t="str">
            <v>현상범 체포 14단계</v>
          </cell>
        </row>
        <row r="5763">
          <cell r="A5763">
            <v>95930416</v>
          </cell>
          <cell r="B5763" t="str">
            <v>현상범 체포 15단계</v>
          </cell>
        </row>
        <row r="5764">
          <cell r="A5764">
            <v>95930417</v>
          </cell>
          <cell r="B5764" t="str">
            <v>모험 가이드 1차</v>
          </cell>
        </row>
        <row r="5765">
          <cell r="A5765">
            <v>95930418</v>
          </cell>
          <cell r="B5765" t="str">
            <v>모험 가이드 2차</v>
          </cell>
        </row>
        <row r="5766">
          <cell r="A5766">
            <v>95930419</v>
          </cell>
          <cell r="B5766" t="str">
            <v>모험 가이드 3차</v>
          </cell>
        </row>
        <row r="5767">
          <cell r="A5767">
            <v>95930420</v>
          </cell>
          <cell r="B5767" t="str">
            <v>모험 가이드 4차</v>
          </cell>
        </row>
        <row r="5768">
          <cell r="A5768">
            <v>95930421</v>
          </cell>
          <cell r="B5768" t="str">
            <v>모험 가이드 5차</v>
          </cell>
        </row>
        <row r="5769">
          <cell r="A5769">
            <v>95930422</v>
          </cell>
          <cell r="B5769" t="str">
            <v>모험 가이드 6차</v>
          </cell>
        </row>
        <row r="5770">
          <cell r="A5770">
            <v>95930423</v>
          </cell>
          <cell r="B5770" t="str">
            <v>모험 가이드 7차</v>
          </cell>
        </row>
        <row r="5771">
          <cell r="A5771">
            <v>95930424</v>
          </cell>
          <cell r="B5771" t="str">
            <v>모험 가이드 8차</v>
          </cell>
        </row>
        <row r="5772">
          <cell r="A5772">
            <v>95930425</v>
          </cell>
          <cell r="B5772" t="str">
            <v>모험 가이드 9차</v>
          </cell>
        </row>
        <row r="5773">
          <cell r="A5773">
            <v>95930426</v>
          </cell>
          <cell r="B5773" t="str">
            <v>모험 가이드 10차</v>
          </cell>
        </row>
        <row r="5774">
          <cell r="A5774">
            <v>95930427</v>
          </cell>
          <cell r="B5774" t="str">
            <v>모험 가이드 11차</v>
          </cell>
        </row>
        <row r="5775">
          <cell r="A5775">
            <v>95930428</v>
          </cell>
          <cell r="B5775" t="str">
            <v>모험 가이드 12차</v>
          </cell>
        </row>
        <row r="5776">
          <cell r="A5776">
            <v>95930429</v>
          </cell>
          <cell r="B5776" t="str">
            <v>모험 가이드 13차</v>
          </cell>
        </row>
        <row r="5777">
          <cell r="A5777">
            <v>95930430</v>
          </cell>
          <cell r="B5777" t="str">
            <v>모험 가이드 14차</v>
          </cell>
        </row>
        <row r="5778">
          <cell r="A5778">
            <v>95930431</v>
          </cell>
          <cell r="B5778" t="str">
            <v>모험 가이드 15차</v>
          </cell>
        </row>
        <row r="5779">
          <cell r="A5779">
            <v>95930432</v>
          </cell>
          <cell r="B5779" t="str">
            <v>모험 가이드 16차</v>
          </cell>
        </row>
        <row r="5780">
          <cell r="A5780">
            <v>95930433</v>
          </cell>
          <cell r="B5780" t="str">
            <v>모험 가이드 17차</v>
          </cell>
        </row>
        <row r="5781">
          <cell r="A5781">
            <v>95930434</v>
          </cell>
          <cell r="B5781" t="str">
            <v>모험 가이드 18차</v>
          </cell>
        </row>
        <row r="5782">
          <cell r="A5782">
            <v>95930435</v>
          </cell>
          <cell r="B5782" t="str">
            <v>모험 가이드 19차</v>
          </cell>
        </row>
        <row r="5783">
          <cell r="A5783">
            <v>95930436</v>
          </cell>
          <cell r="B5783" t="str">
            <v>모험 가이드 20차</v>
          </cell>
        </row>
        <row r="5784">
          <cell r="A5784">
            <v>95930437</v>
          </cell>
          <cell r="B5784" t="str">
            <v>교역 가이드 1차</v>
          </cell>
        </row>
        <row r="5785">
          <cell r="A5785">
            <v>95930438</v>
          </cell>
          <cell r="B5785" t="str">
            <v>교역 가이드 2차</v>
          </cell>
        </row>
        <row r="5786">
          <cell r="A5786">
            <v>95930439</v>
          </cell>
          <cell r="B5786" t="str">
            <v>교역 가이드 3차</v>
          </cell>
        </row>
        <row r="5787">
          <cell r="A5787">
            <v>95930440</v>
          </cell>
          <cell r="B5787" t="str">
            <v>교역 가이드 4차</v>
          </cell>
        </row>
        <row r="5788">
          <cell r="A5788">
            <v>95930441</v>
          </cell>
          <cell r="B5788" t="str">
            <v>교역 가이드 5차</v>
          </cell>
        </row>
        <row r="5789">
          <cell r="A5789">
            <v>95930442</v>
          </cell>
          <cell r="B5789" t="str">
            <v>교역 가이드 6차</v>
          </cell>
        </row>
        <row r="5790">
          <cell r="A5790">
            <v>95930443</v>
          </cell>
          <cell r="B5790" t="str">
            <v>교역 가이드 7차</v>
          </cell>
        </row>
        <row r="5791">
          <cell r="A5791">
            <v>95930444</v>
          </cell>
          <cell r="B5791" t="str">
            <v>교역 가이드 8차</v>
          </cell>
        </row>
        <row r="5792">
          <cell r="A5792">
            <v>95930445</v>
          </cell>
          <cell r="B5792" t="str">
            <v>교역 가이드 9차</v>
          </cell>
        </row>
        <row r="5793">
          <cell r="A5793">
            <v>95930446</v>
          </cell>
          <cell r="B5793" t="str">
            <v>교역 가이드 10차</v>
          </cell>
        </row>
        <row r="5794">
          <cell r="A5794">
            <v>95930447</v>
          </cell>
          <cell r="B5794" t="str">
            <v>교역 가이드 11차</v>
          </cell>
        </row>
        <row r="5795">
          <cell r="A5795">
            <v>95930448</v>
          </cell>
          <cell r="B5795" t="str">
            <v>교역 가이드 12차</v>
          </cell>
        </row>
        <row r="5796">
          <cell r="A5796">
            <v>95930449</v>
          </cell>
          <cell r="B5796" t="str">
            <v>교역 가이드 13차</v>
          </cell>
        </row>
        <row r="5797">
          <cell r="A5797">
            <v>95930450</v>
          </cell>
          <cell r="B5797" t="str">
            <v>교역 가이드 14차</v>
          </cell>
        </row>
        <row r="5798">
          <cell r="A5798">
            <v>95930451</v>
          </cell>
          <cell r="B5798" t="str">
            <v>교역 가이드 15차</v>
          </cell>
        </row>
        <row r="5799">
          <cell r="A5799">
            <v>95930452</v>
          </cell>
          <cell r="B5799" t="str">
            <v>교역 가이드 16차</v>
          </cell>
        </row>
        <row r="5800">
          <cell r="A5800">
            <v>95930453</v>
          </cell>
          <cell r="B5800" t="str">
            <v>교역 가이드 17차</v>
          </cell>
        </row>
        <row r="5801">
          <cell r="A5801">
            <v>95930454</v>
          </cell>
          <cell r="B5801" t="str">
            <v>교역 가이드 18차</v>
          </cell>
        </row>
        <row r="5802">
          <cell r="A5802">
            <v>95930455</v>
          </cell>
          <cell r="B5802" t="str">
            <v>교역 가이드 19차</v>
          </cell>
        </row>
        <row r="5803">
          <cell r="A5803">
            <v>95930456</v>
          </cell>
          <cell r="B5803" t="str">
            <v>교역 가이드 20차</v>
          </cell>
        </row>
        <row r="5804">
          <cell r="A5804">
            <v>95930457</v>
          </cell>
          <cell r="B5804" t="str">
            <v>전투 가이드 1차</v>
          </cell>
        </row>
        <row r="5805">
          <cell r="A5805">
            <v>95930458</v>
          </cell>
          <cell r="B5805" t="str">
            <v>전투 가이드 2차</v>
          </cell>
        </row>
        <row r="5806">
          <cell r="A5806">
            <v>95930459</v>
          </cell>
          <cell r="B5806" t="str">
            <v>전투 가이드 3차</v>
          </cell>
        </row>
        <row r="5807">
          <cell r="A5807">
            <v>95930460</v>
          </cell>
          <cell r="B5807" t="str">
            <v>전투 가이드 4차</v>
          </cell>
        </row>
        <row r="5808">
          <cell r="A5808">
            <v>95930461</v>
          </cell>
          <cell r="B5808" t="str">
            <v>전투 가이드 5차</v>
          </cell>
        </row>
        <row r="5809">
          <cell r="A5809">
            <v>95930462</v>
          </cell>
          <cell r="B5809" t="str">
            <v>전투 가이드 6차</v>
          </cell>
        </row>
        <row r="5810">
          <cell r="A5810">
            <v>95930463</v>
          </cell>
          <cell r="B5810" t="str">
            <v>전투 가이드 7차</v>
          </cell>
        </row>
        <row r="5811">
          <cell r="A5811">
            <v>95930464</v>
          </cell>
          <cell r="B5811" t="str">
            <v>전투 가이드 8차</v>
          </cell>
        </row>
        <row r="5812">
          <cell r="A5812">
            <v>95930465</v>
          </cell>
          <cell r="B5812" t="str">
            <v>전투 가이드 9차</v>
          </cell>
        </row>
        <row r="5813">
          <cell r="A5813">
            <v>95930466</v>
          </cell>
          <cell r="B5813" t="str">
            <v>전투 가이드 10차</v>
          </cell>
        </row>
        <row r="5814">
          <cell r="A5814">
            <v>95930467</v>
          </cell>
          <cell r="B5814" t="str">
            <v>전투 가이드 11차</v>
          </cell>
        </row>
        <row r="5815">
          <cell r="A5815">
            <v>95930468</v>
          </cell>
          <cell r="B5815" t="str">
            <v>전투 가이드 12차</v>
          </cell>
        </row>
        <row r="5816">
          <cell r="A5816">
            <v>95930469</v>
          </cell>
          <cell r="B5816" t="str">
            <v>전투 가이드 13차</v>
          </cell>
        </row>
        <row r="5817">
          <cell r="A5817">
            <v>95930470</v>
          </cell>
          <cell r="B5817" t="str">
            <v>전투 가이드 14차</v>
          </cell>
        </row>
        <row r="5818">
          <cell r="A5818">
            <v>95930471</v>
          </cell>
          <cell r="B5818" t="str">
            <v>전투 가이드 15차</v>
          </cell>
        </row>
        <row r="5819">
          <cell r="A5819">
            <v>95930472</v>
          </cell>
          <cell r="B5819" t="str">
            <v>전투 가이드 16차</v>
          </cell>
        </row>
        <row r="5820">
          <cell r="A5820">
            <v>95930473</v>
          </cell>
          <cell r="B5820" t="str">
            <v>전투 가이드 17차</v>
          </cell>
        </row>
        <row r="5821">
          <cell r="A5821">
            <v>95930474</v>
          </cell>
          <cell r="B5821" t="str">
            <v>전투 가이드 18차</v>
          </cell>
        </row>
        <row r="5822">
          <cell r="A5822">
            <v>95930475</v>
          </cell>
          <cell r="B5822" t="str">
            <v>전투 가이드 19차</v>
          </cell>
        </row>
        <row r="5823">
          <cell r="A5823">
            <v>95930476</v>
          </cell>
          <cell r="B5823" t="str">
            <v>전투 가이드 20차</v>
          </cell>
        </row>
        <row r="5824">
          <cell r="A5824">
            <v>95930477</v>
          </cell>
          <cell r="B5824" t="str">
            <v>성장 가이드 1차</v>
          </cell>
        </row>
        <row r="5825">
          <cell r="A5825">
            <v>95930478</v>
          </cell>
          <cell r="B5825" t="str">
            <v>성장 가이드 2차</v>
          </cell>
        </row>
        <row r="5826">
          <cell r="A5826">
            <v>95930479</v>
          </cell>
          <cell r="B5826" t="str">
            <v>성장 가이드 3차</v>
          </cell>
        </row>
        <row r="5827">
          <cell r="A5827">
            <v>95930480</v>
          </cell>
          <cell r="B5827" t="str">
            <v>성장 가이드 4차</v>
          </cell>
        </row>
        <row r="5828">
          <cell r="A5828">
            <v>95930481</v>
          </cell>
          <cell r="B5828" t="str">
            <v>성장 가이드 5차</v>
          </cell>
        </row>
        <row r="5829">
          <cell r="A5829">
            <v>95930482</v>
          </cell>
          <cell r="B5829" t="str">
            <v>성장 가이드 6차</v>
          </cell>
        </row>
        <row r="5830">
          <cell r="A5830">
            <v>95930483</v>
          </cell>
          <cell r="B5830" t="str">
            <v>성장 가이드 7차</v>
          </cell>
        </row>
        <row r="5831">
          <cell r="A5831">
            <v>95930484</v>
          </cell>
          <cell r="B5831" t="str">
            <v>성장 가이드 8차</v>
          </cell>
        </row>
        <row r="5832">
          <cell r="A5832">
            <v>95930485</v>
          </cell>
          <cell r="B5832" t="str">
            <v>성장 가이드 9차</v>
          </cell>
        </row>
        <row r="5833">
          <cell r="A5833">
            <v>95930486</v>
          </cell>
          <cell r="B5833" t="str">
            <v>성장 가이드 10차</v>
          </cell>
        </row>
        <row r="5834">
          <cell r="A5834">
            <v>95930487</v>
          </cell>
          <cell r="B5834" t="str">
            <v>성장 가이드 11차</v>
          </cell>
        </row>
        <row r="5835">
          <cell r="A5835">
            <v>95930488</v>
          </cell>
          <cell r="B5835" t="str">
            <v>성장 가이드 12차</v>
          </cell>
        </row>
        <row r="5836">
          <cell r="A5836">
            <v>95930489</v>
          </cell>
          <cell r="B5836" t="str">
            <v>성장 가이드 13차</v>
          </cell>
        </row>
        <row r="5837">
          <cell r="A5837">
            <v>95930490</v>
          </cell>
          <cell r="B5837" t="str">
            <v>성장 가이드 14차</v>
          </cell>
        </row>
        <row r="5838">
          <cell r="A5838">
            <v>95930491</v>
          </cell>
          <cell r="B5838" t="str">
            <v>성장 가이드 15차</v>
          </cell>
        </row>
        <row r="5839">
          <cell r="A5839">
            <v>95930492</v>
          </cell>
          <cell r="B5839" t="str">
            <v>성장 가이드 16차</v>
          </cell>
        </row>
        <row r="5840">
          <cell r="A5840">
            <v>95930493</v>
          </cell>
          <cell r="B5840" t="str">
            <v>성장 가이드 17차</v>
          </cell>
        </row>
        <row r="5841">
          <cell r="A5841">
            <v>95930494</v>
          </cell>
          <cell r="B5841" t="str">
            <v>성장 가이드 18차</v>
          </cell>
        </row>
        <row r="5842">
          <cell r="A5842">
            <v>95930495</v>
          </cell>
          <cell r="B5842" t="str">
            <v>성장 가이드 19차</v>
          </cell>
        </row>
        <row r="5843">
          <cell r="A5843">
            <v>95930496</v>
          </cell>
          <cell r="B5843" t="str">
            <v>성장 가이드 20차</v>
          </cell>
        </row>
        <row r="5844">
          <cell r="A5844">
            <v>95930497</v>
          </cell>
          <cell r="B5844" t="str">
            <v>의뢰_런던 &gt; 리스보아</v>
          </cell>
        </row>
        <row r="5845">
          <cell r="A5845">
            <v>95930498</v>
          </cell>
          <cell r="B5845" t="str">
            <v>의뢰_런던 &gt; 세비야</v>
          </cell>
        </row>
        <row r="5846">
          <cell r="A5846">
            <v>95930499</v>
          </cell>
          <cell r="B5846" t="str">
            <v>의뢰_암스테르담 &gt; 리스보아</v>
          </cell>
        </row>
        <row r="5847">
          <cell r="A5847">
            <v>95930500</v>
          </cell>
          <cell r="B5847" t="str">
            <v>의뢰_암스테르담 &gt; 세비야</v>
          </cell>
        </row>
        <row r="5848">
          <cell r="A5848">
            <v>95930501</v>
          </cell>
          <cell r="B5848" t="str">
            <v>의뢰_리스보아 &gt; 런던</v>
          </cell>
        </row>
        <row r="5849">
          <cell r="A5849">
            <v>95930502</v>
          </cell>
          <cell r="B5849" t="str">
            <v>의뢰_리스보아 &gt; 암스테르담</v>
          </cell>
        </row>
        <row r="5850">
          <cell r="A5850">
            <v>95930503</v>
          </cell>
          <cell r="B5850" t="str">
            <v>의뢰_리스보아 &gt; 코스탄티니예</v>
          </cell>
        </row>
        <row r="5851">
          <cell r="A5851">
            <v>95930504</v>
          </cell>
          <cell r="B5851" t="str">
            <v>의뢰_세비야 &gt; 런던</v>
          </cell>
        </row>
        <row r="5852">
          <cell r="A5852">
            <v>95930505</v>
          </cell>
          <cell r="B5852" t="str">
            <v>의뢰_세비야 &gt; 암스테르담</v>
          </cell>
        </row>
        <row r="5853">
          <cell r="A5853">
            <v>95930506</v>
          </cell>
          <cell r="B5853" t="str">
            <v>의뢰_세비야 &gt; 코스탄티니예</v>
          </cell>
        </row>
        <row r="5854">
          <cell r="A5854">
            <v>95930507</v>
          </cell>
          <cell r="B5854" t="str">
            <v>의뢰_코스탄티니예 &gt; 리스보아</v>
          </cell>
        </row>
        <row r="5855">
          <cell r="A5855">
            <v>95930508</v>
          </cell>
          <cell r="B5855" t="str">
            <v>의뢰_코스탄티니예 &gt; 세비야</v>
          </cell>
        </row>
        <row r="5856">
          <cell r="A5856">
            <v>95930509</v>
          </cell>
          <cell r="B5856" t="str">
            <v>의뢰_런던 &gt; 트루히요</v>
          </cell>
        </row>
        <row r="5857">
          <cell r="A5857">
            <v>95930510</v>
          </cell>
          <cell r="B5857" t="str">
            <v>의뢰_암스테르담 &gt; 트루히요</v>
          </cell>
        </row>
        <row r="5858">
          <cell r="A5858">
            <v>95930511</v>
          </cell>
          <cell r="B5858" t="str">
            <v>의뢰_리스보아 &gt; 베라크루스</v>
          </cell>
        </row>
        <row r="5859">
          <cell r="A5859">
            <v>95930512</v>
          </cell>
          <cell r="B5859" t="str">
            <v>의뢰_세비야 &gt; 베라크루스</v>
          </cell>
        </row>
        <row r="5860">
          <cell r="A5860">
            <v>95930513</v>
          </cell>
          <cell r="B5860" t="str">
            <v>의뢰_코스탄티니예 &gt; 산토도밍고</v>
          </cell>
        </row>
        <row r="5861">
          <cell r="A5861">
            <v>95930514</v>
          </cell>
          <cell r="B5861" t="str">
            <v>의뢰_트루히요 &gt; 런던</v>
          </cell>
        </row>
        <row r="5862">
          <cell r="A5862">
            <v>95930515</v>
          </cell>
          <cell r="B5862" t="str">
            <v>의뢰_트루히요 &gt; 암스테르담</v>
          </cell>
        </row>
        <row r="5863">
          <cell r="A5863">
            <v>95930516</v>
          </cell>
          <cell r="B5863" t="str">
            <v>의뢰_베라크루스 &gt; 리스보아</v>
          </cell>
        </row>
        <row r="5864">
          <cell r="A5864">
            <v>95930517</v>
          </cell>
          <cell r="B5864" t="str">
            <v>의뢰_베라크루스 &gt; 세비야</v>
          </cell>
        </row>
        <row r="5865">
          <cell r="A5865">
            <v>95930518</v>
          </cell>
          <cell r="B5865" t="str">
            <v>의뢰_산토도밍고 &gt; 코스탄티니예</v>
          </cell>
        </row>
        <row r="5866">
          <cell r="A5866">
            <v>95930519</v>
          </cell>
          <cell r="B5866" t="str">
            <v>의뢰_런던 &gt; 엘미나</v>
          </cell>
        </row>
        <row r="5867">
          <cell r="A5867">
            <v>95930520</v>
          </cell>
          <cell r="B5867" t="str">
            <v>의뢰_암스테르담 &gt; 엘미나</v>
          </cell>
        </row>
        <row r="5868">
          <cell r="A5868">
            <v>95930521</v>
          </cell>
          <cell r="B5868" t="str">
            <v>의뢰_리스보아 &gt; 팀북투</v>
          </cell>
        </row>
        <row r="5869">
          <cell r="A5869">
            <v>95930522</v>
          </cell>
          <cell r="B5869" t="str">
            <v>의뢰_세비야 &gt; 팀북투</v>
          </cell>
        </row>
        <row r="5870">
          <cell r="A5870">
            <v>95930523</v>
          </cell>
          <cell r="B5870" t="str">
            <v>의뢰_코스탄티니예 &gt; 아비장</v>
          </cell>
        </row>
        <row r="5871">
          <cell r="A5871">
            <v>95930524</v>
          </cell>
          <cell r="B5871" t="str">
            <v>의뢰_엘미나 &gt; 런던</v>
          </cell>
        </row>
        <row r="5872">
          <cell r="A5872">
            <v>95930525</v>
          </cell>
          <cell r="B5872" t="str">
            <v>의뢰_엘미나 &gt; 암스테르담</v>
          </cell>
        </row>
        <row r="5873">
          <cell r="A5873">
            <v>95930526</v>
          </cell>
          <cell r="B5873" t="str">
            <v>의뢰_팀북투 &gt; 리스보아</v>
          </cell>
        </row>
        <row r="5874">
          <cell r="A5874">
            <v>95930527</v>
          </cell>
          <cell r="B5874" t="str">
            <v>의뢰_팀북투 &gt; 세비야</v>
          </cell>
        </row>
        <row r="5875">
          <cell r="A5875">
            <v>95930528</v>
          </cell>
          <cell r="B5875" t="str">
            <v>의뢰_아비장 &gt; 코스탄티니예</v>
          </cell>
        </row>
        <row r="5876">
          <cell r="A5876">
            <v>95930529</v>
          </cell>
          <cell r="B5876" t="str">
            <v>의뢰_런던 &gt; 루안다</v>
          </cell>
        </row>
        <row r="5877">
          <cell r="A5877">
            <v>95930530</v>
          </cell>
          <cell r="B5877" t="str">
            <v>의뢰_암스테르담 &gt; 루안다</v>
          </cell>
        </row>
        <row r="5878">
          <cell r="A5878">
            <v>95930531</v>
          </cell>
          <cell r="B5878" t="str">
            <v>의뢰_리스보아 &gt; 이카파</v>
          </cell>
        </row>
        <row r="5879">
          <cell r="A5879">
            <v>95930532</v>
          </cell>
          <cell r="B5879" t="str">
            <v>의뢰_세비야 &gt; 이카파</v>
          </cell>
        </row>
        <row r="5880">
          <cell r="A5880">
            <v>95930533</v>
          </cell>
          <cell r="B5880" t="str">
            <v>의뢰_코스탄티니예 &gt; 루안다</v>
          </cell>
        </row>
        <row r="5881">
          <cell r="A5881">
            <v>95930534</v>
          </cell>
          <cell r="B5881" t="str">
            <v>의뢰_루안다 &gt; 런던</v>
          </cell>
        </row>
        <row r="5882">
          <cell r="A5882">
            <v>95930535</v>
          </cell>
          <cell r="B5882" t="str">
            <v>의뢰_루안다 &gt; 암스테르담</v>
          </cell>
        </row>
        <row r="5883">
          <cell r="A5883">
            <v>95930536</v>
          </cell>
          <cell r="B5883" t="str">
            <v>의뢰_이카파 &gt; 리스보아</v>
          </cell>
        </row>
        <row r="5884">
          <cell r="A5884">
            <v>95930537</v>
          </cell>
          <cell r="B5884" t="str">
            <v>의뢰_이카파 &gt; 세비야</v>
          </cell>
        </row>
        <row r="5885">
          <cell r="A5885">
            <v>95930538</v>
          </cell>
          <cell r="B5885" t="str">
            <v>의뢰_루안다 &gt; 코스탄티니예</v>
          </cell>
        </row>
        <row r="5886">
          <cell r="A5886">
            <v>95930539</v>
          </cell>
          <cell r="B5886" t="str">
            <v>의뢰_런던 &gt; 모삼비크</v>
          </cell>
        </row>
        <row r="5887">
          <cell r="A5887">
            <v>95930540</v>
          </cell>
          <cell r="B5887" t="str">
            <v>의뢰_암스테르담 &gt; 모삼비크</v>
          </cell>
        </row>
        <row r="5888">
          <cell r="A5888">
            <v>95930541</v>
          </cell>
          <cell r="B5888" t="str">
            <v>의뢰_리스보아 &gt; 잔지바르</v>
          </cell>
        </row>
        <row r="5889">
          <cell r="A5889">
            <v>95930542</v>
          </cell>
          <cell r="B5889" t="str">
            <v>의뢰_세비야 &gt; 잔지바르</v>
          </cell>
        </row>
        <row r="5890">
          <cell r="A5890">
            <v>95930543</v>
          </cell>
          <cell r="B5890" t="str">
            <v>의뢰_코스탄티니예 &gt; 소팔라</v>
          </cell>
        </row>
        <row r="5891">
          <cell r="A5891">
            <v>95930544</v>
          </cell>
          <cell r="B5891" t="str">
            <v>의뢰_모삼비크 &gt; 런던</v>
          </cell>
        </row>
        <row r="5892">
          <cell r="A5892">
            <v>95930545</v>
          </cell>
          <cell r="B5892" t="str">
            <v>의뢰_모삼비크 &gt; 암스테르담</v>
          </cell>
        </row>
        <row r="5893">
          <cell r="A5893">
            <v>95930546</v>
          </cell>
          <cell r="B5893" t="str">
            <v>의뢰_잔지바르 &gt; 리스보아</v>
          </cell>
        </row>
        <row r="5894">
          <cell r="A5894">
            <v>95930547</v>
          </cell>
          <cell r="B5894" t="str">
            <v>의뢰_잔지바르 &gt; 세비야</v>
          </cell>
        </row>
        <row r="5895">
          <cell r="A5895">
            <v>95930548</v>
          </cell>
          <cell r="B5895" t="str">
            <v>의뢰_소팔라 &gt; 코스탄티니예</v>
          </cell>
        </row>
        <row r="5896">
          <cell r="A5896">
            <v>95930549</v>
          </cell>
          <cell r="B5896" t="str">
            <v>의뢰_런던 &gt; 코지코드</v>
          </cell>
        </row>
        <row r="5897">
          <cell r="A5897">
            <v>95930550</v>
          </cell>
          <cell r="B5897" t="str">
            <v>의뢰_암스테르담 &gt; 코지코드</v>
          </cell>
        </row>
        <row r="5898">
          <cell r="A5898">
            <v>95930551</v>
          </cell>
          <cell r="B5898" t="str">
            <v>의뢰_리스보아 &gt; 고아</v>
          </cell>
        </row>
        <row r="5899">
          <cell r="A5899">
            <v>95930552</v>
          </cell>
          <cell r="B5899" t="str">
            <v>의뢰_세비야 &gt; 고아</v>
          </cell>
        </row>
        <row r="5900">
          <cell r="A5900">
            <v>95930553</v>
          </cell>
          <cell r="B5900" t="str">
            <v>의뢰_코스탄티니예 &gt; 코지코드</v>
          </cell>
        </row>
        <row r="5901">
          <cell r="A5901">
            <v>95930554</v>
          </cell>
          <cell r="B5901" t="str">
            <v>의뢰_코지코드 &gt; 런던</v>
          </cell>
        </row>
        <row r="5902">
          <cell r="A5902">
            <v>95930555</v>
          </cell>
          <cell r="B5902" t="str">
            <v>의뢰_코지코드 &gt; 암스테르담</v>
          </cell>
        </row>
        <row r="5903">
          <cell r="A5903">
            <v>95930556</v>
          </cell>
          <cell r="B5903" t="str">
            <v>의뢰_고아 &gt; 리스보아</v>
          </cell>
        </row>
        <row r="5904">
          <cell r="A5904">
            <v>95930557</v>
          </cell>
          <cell r="B5904" t="str">
            <v>의뢰_고아 &gt; 세비야</v>
          </cell>
        </row>
        <row r="5905">
          <cell r="A5905">
            <v>95930558</v>
          </cell>
          <cell r="B5905" t="str">
            <v>의뢰_코지코드 &gt; 코스탄티니예</v>
          </cell>
        </row>
        <row r="5906">
          <cell r="A5906">
            <v>95930559</v>
          </cell>
          <cell r="B5906" t="str">
            <v>의뢰_베라크루스 &gt; 아체</v>
          </cell>
        </row>
        <row r="5907">
          <cell r="A5907">
            <v>95930560</v>
          </cell>
          <cell r="B5907" t="str">
            <v>의뢰_트루히요 &gt; 파사이</v>
          </cell>
        </row>
        <row r="5908">
          <cell r="A5908">
            <v>95930561</v>
          </cell>
          <cell r="B5908" t="str">
            <v>의뢰_산토도밍고 &gt; 믈라카</v>
          </cell>
        </row>
        <row r="5909">
          <cell r="A5909">
            <v>95930562</v>
          </cell>
          <cell r="B5909" t="str">
            <v>의뢰_믈라카 &gt; 나사우</v>
          </cell>
        </row>
        <row r="5910">
          <cell r="A5910">
            <v>95930563</v>
          </cell>
          <cell r="B5910" t="str">
            <v>의뢰_믈라카 &gt; 포트로열</v>
          </cell>
        </row>
        <row r="5911">
          <cell r="A5911">
            <v>95930564</v>
          </cell>
          <cell r="B5911" t="str">
            <v>의뢰_믈라카 &gt; 산후안</v>
          </cell>
        </row>
        <row r="5912">
          <cell r="A5912">
            <v>95930565</v>
          </cell>
          <cell r="B5912" t="str">
            <v>의뢰_트루히요 &gt; 자야카르타</v>
          </cell>
        </row>
        <row r="5913">
          <cell r="A5913">
            <v>95930566</v>
          </cell>
          <cell r="B5913" t="str">
            <v>의뢰_산토도밍고 &gt; 반자르마신</v>
          </cell>
        </row>
        <row r="5914">
          <cell r="A5914">
            <v>95930567</v>
          </cell>
          <cell r="B5914" t="str">
            <v>의뢰_베라크루스 &gt; 반다</v>
          </cell>
        </row>
        <row r="5915">
          <cell r="A5915">
            <v>95930568</v>
          </cell>
          <cell r="B5915" t="str">
            <v>의뢰_자야카르타 &gt; 트루히요</v>
          </cell>
        </row>
        <row r="5916">
          <cell r="A5916">
            <v>95930569</v>
          </cell>
          <cell r="B5916" t="str">
            <v>의뢰_자야카르타 &gt; 메리다</v>
          </cell>
        </row>
        <row r="5917">
          <cell r="A5917">
            <v>95930570</v>
          </cell>
          <cell r="B5917" t="str">
            <v>의뢰_자야카르타 &gt; 베라크루스</v>
          </cell>
        </row>
        <row r="5918">
          <cell r="A5918">
            <v>95930571</v>
          </cell>
          <cell r="B5918" t="str">
            <v>의뢰_런던 &gt; 마카오</v>
          </cell>
        </row>
        <row r="5919">
          <cell r="A5919">
            <v>95930572</v>
          </cell>
          <cell r="B5919" t="str">
            <v>의뢰_암스테르담 &gt; 마카오</v>
          </cell>
        </row>
        <row r="5920">
          <cell r="A5920">
            <v>95930573</v>
          </cell>
          <cell r="B5920" t="str">
            <v>의뢰_리스보아 &gt; 마카오</v>
          </cell>
        </row>
        <row r="5921">
          <cell r="A5921">
            <v>95930574</v>
          </cell>
          <cell r="B5921" t="str">
            <v>의뢰_세비야 &gt; 마카오</v>
          </cell>
        </row>
        <row r="5922">
          <cell r="A5922">
            <v>95930575</v>
          </cell>
          <cell r="B5922" t="str">
            <v>의뢰_코스탄티니예 &gt; 마카오</v>
          </cell>
        </row>
        <row r="5923">
          <cell r="A5923">
            <v>95930576</v>
          </cell>
          <cell r="B5923" t="str">
            <v>의뢰_마카오 &gt; 런던</v>
          </cell>
        </row>
        <row r="5924">
          <cell r="A5924">
            <v>95930577</v>
          </cell>
          <cell r="B5924" t="str">
            <v>의뢰_마카오 &gt; 암스테르담</v>
          </cell>
        </row>
        <row r="5925">
          <cell r="A5925">
            <v>95930578</v>
          </cell>
          <cell r="B5925" t="str">
            <v>의뢰_마카오 &gt; 리스보아</v>
          </cell>
        </row>
        <row r="5926">
          <cell r="A5926">
            <v>95930579</v>
          </cell>
          <cell r="B5926" t="str">
            <v>의뢰_마카오 &gt; 세비야</v>
          </cell>
        </row>
        <row r="5927">
          <cell r="A5927">
            <v>95930580</v>
          </cell>
          <cell r="B5927" t="str">
            <v>의뢰_마카오 &gt; 코스탄티니예</v>
          </cell>
        </row>
        <row r="5928">
          <cell r="A5928">
            <v>95930581</v>
          </cell>
          <cell r="B5928" t="str">
            <v>NEW_건조 10단계</v>
          </cell>
        </row>
        <row r="5929">
          <cell r="A5929">
            <v>95930582</v>
          </cell>
          <cell r="B5929" t="str">
            <v>NEW_건조 11단계</v>
          </cell>
        </row>
        <row r="5930">
          <cell r="A5930">
            <v>95940001</v>
          </cell>
          <cell r="B5930" t="str">
            <v>벤자밍_1차</v>
          </cell>
        </row>
        <row r="5931">
          <cell r="A5931">
            <v>95940002</v>
          </cell>
          <cell r="B5931" t="str">
            <v>아구스틴_1차</v>
          </cell>
        </row>
        <row r="5932">
          <cell r="A5932">
            <v>95940003</v>
          </cell>
          <cell r="B5932" t="str">
            <v>프레드릭_1차</v>
          </cell>
        </row>
        <row r="5933">
          <cell r="A5933">
            <v>95940004</v>
          </cell>
          <cell r="B5933" t="str">
            <v>랏바우트_1차</v>
          </cell>
        </row>
        <row r="5934">
          <cell r="A5934">
            <v>95940005</v>
          </cell>
          <cell r="B5934" t="str">
            <v>데리아_1차</v>
          </cell>
        </row>
        <row r="5935">
          <cell r="A5935">
            <v>95940006</v>
          </cell>
          <cell r="B5935" t="str">
            <v>베흐람_1차</v>
          </cell>
        </row>
        <row r="5936">
          <cell r="A5936">
            <v>95940007</v>
          </cell>
          <cell r="B5936" t="str">
            <v>야무르_1차</v>
          </cell>
        </row>
        <row r="5937">
          <cell r="A5937">
            <v>95940008</v>
          </cell>
          <cell r="B5937" t="str">
            <v>구디나_1차</v>
          </cell>
        </row>
        <row r="5938">
          <cell r="A5938">
            <v>95940009</v>
          </cell>
          <cell r="B5938" t="str">
            <v>아마디_1차</v>
          </cell>
        </row>
        <row r="5939">
          <cell r="A5939">
            <v>95940010</v>
          </cell>
          <cell r="B5939" t="str">
            <v>아자르_1차</v>
          </cell>
        </row>
        <row r="5940">
          <cell r="A5940">
            <v>95940011</v>
          </cell>
          <cell r="B5940" t="str">
            <v>이시_1차</v>
          </cell>
        </row>
        <row r="5941">
          <cell r="A5941">
            <v>95940012</v>
          </cell>
          <cell r="B5941" t="str">
            <v>세이시치_1차</v>
          </cell>
        </row>
        <row r="5942">
          <cell r="A5942">
            <v>95940013</v>
          </cell>
          <cell r="B5942" t="str">
            <v>에미얄리_1차</v>
          </cell>
        </row>
        <row r="5943">
          <cell r="A5943">
            <v>95940014</v>
          </cell>
          <cell r="B5943" t="str">
            <v>청철_1차</v>
          </cell>
        </row>
        <row r="5944">
          <cell r="A5944">
            <v>95940015</v>
          </cell>
          <cell r="B5944" t="str">
            <v>파트리스_1차</v>
          </cell>
        </row>
        <row r="5945">
          <cell r="A5945">
            <v>95940016</v>
          </cell>
          <cell r="B5945" t="str">
            <v>무영_1차</v>
          </cell>
        </row>
        <row r="5946">
          <cell r="A5946">
            <v>95940017</v>
          </cell>
          <cell r="B5946" t="str">
            <v>슈에_1차</v>
          </cell>
        </row>
        <row r="5947">
          <cell r="A5947">
            <v>95940018</v>
          </cell>
          <cell r="B5947" t="str">
            <v>데브림_1차</v>
          </cell>
        </row>
        <row r="5948">
          <cell r="A5948">
            <v>95940019</v>
          </cell>
          <cell r="B5948" t="str">
            <v>티몬_1차</v>
          </cell>
        </row>
        <row r="5949">
          <cell r="A5949">
            <v>95940020</v>
          </cell>
          <cell r="B5949" t="str">
            <v>불카니코_1차</v>
          </cell>
        </row>
        <row r="5950">
          <cell r="A5950">
            <v>95940021</v>
          </cell>
          <cell r="B5950" t="str">
            <v>와만_1차</v>
          </cell>
        </row>
        <row r="5951">
          <cell r="A5951">
            <v>95940022</v>
          </cell>
          <cell r="B5951" t="str">
            <v>군투르_1차</v>
          </cell>
        </row>
        <row r="5952">
          <cell r="A5952">
            <v>95940023</v>
          </cell>
          <cell r="B5952" t="str">
            <v>시씬과크_1차</v>
          </cell>
        </row>
        <row r="5953">
          <cell r="A5953">
            <v>95940024</v>
          </cell>
          <cell r="B5953" t="str">
            <v>타마_1차</v>
          </cell>
        </row>
        <row r="5954">
          <cell r="A5954">
            <v>95940025</v>
          </cell>
          <cell r="B5954" t="str">
            <v>오나쓰_1차</v>
          </cell>
        </row>
        <row r="5955">
          <cell r="A5955">
            <v>95940026</v>
          </cell>
          <cell r="B5955" t="str">
            <v>아델리나_1차</v>
          </cell>
        </row>
        <row r="5956">
          <cell r="A5956">
            <v>95940027</v>
          </cell>
          <cell r="B5956" t="str">
            <v>완다_1차</v>
          </cell>
        </row>
        <row r="5957">
          <cell r="A5957">
            <v>95940028</v>
          </cell>
          <cell r="B5957" t="str">
            <v>예루마_1차</v>
          </cell>
        </row>
        <row r="5958">
          <cell r="A5958">
            <v>95940029</v>
          </cell>
          <cell r="B5958" t="str">
            <v>엘레느_1차</v>
          </cell>
        </row>
        <row r="5959">
          <cell r="A5959">
            <v>95940030</v>
          </cell>
          <cell r="B5959" t="str">
            <v>나탈리_1차</v>
          </cell>
        </row>
        <row r="5960">
          <cell r="A5960">
            <v>95940031</v>
          </cell>
          <cell r="B5960" t="str">
            <v>티티스_1차</v>
          </cell>
        </row>
        <row r="5961">
          <cell r="A5961">
            <v>95940032</v>
          </cell>
          <cell r="B5961" t="str">
            <v>마와르_1차</v>
          </cell>
        </row>
        <row r="5962">
          <cell r="A5962">
            <v>95940033</v>
          </cell>
          <cell r="B5962" t="str">
            <v>나오미_1차</v>
          </cell>
        </row>
        <row r="5963">
          <cell r="A5963">
            <v>95940034</v>
          </cell>
          <cell r="B5963" t="str">
            <v>코르넬리아_1차</v>
          </cell>
        </row>
        <row r="5964">
          <cell r="A5964">
            <v>95940035</v>
          </cell>
          <cell r="B5964" t="str">
            <v>아이셀_1차</v>
          </cell>
        </row>
        <row r="5965">
          <cell r="A5965">
            <v>95940036</v>
          </cell>
          <cell r="B5965" t="str">
            <v>잔수_1차</v>
          </cell>
        </row>
        <row r="5966">
          <cell r="A5966">
            <v>95940037</v>
          </cell>
          <cell r="B5966" t="str">
            <v>루도_1차</v>
          </cell>
        </row>
        <row r="5967">
          <cell r="A5967">
            <v>95940038</v>
          </cell>
          <cell r="B5967" t="str">
            <v>아난드_1차</v>
          </cell>
        </row>
        <row r="5968">
          <cell r="A5968">
            <v>95940039</v>
          </cell>
          <cell r="B5968" t="str">
            <v>잉게보르크_1차</v>
          </cell>
        </row>
        <row r="5969">
          <cell r="A5969">
            <v>95940040</v>
          </cell>
          <cell r="B5969" t="str">
            <v>켈레벡_1차</v>
          </cell>
        </row>
        <row r="5970">
          <cell r="A5970">
            <v>95940041</v>
          </cell>
          <cell r="B5970" t="str">
            <v>울로리악_1차</v>
          </cell>
        </row>
        <row r="5971">
          <cell r="A5971">
            <v>95940042</v>
          </cell>
          <cell r="B5971" t="str">
            <v>리리안_1차</v>
          </cell>
        </row>
        <row r="5972">
          <cell r="A5972">
            <v>95940043</v>
          </cell>
          <cell r="B5972" t="str">
            <v>릴_1차</v>
          </cell>
        </row>
        <row r="5973">
          <cell r="A5973">
            <v>95940044</v>
          </cell>
          <cell r="B5973" t="str">
            <v>플로라_1차</v>
          </cell>
        </row>
        <row r="5974">
          <cell r="A5974">
            <v>95940045</v>
          </cell>
          <cell r="B5974" t="str">
            <v>넬리_1차</v>
          </cell>
        </row>
        <row r="5975">
          <cell r="A5975">
            <v>95940046</v>
          </cell>
          <cell r="B5975" t="str">
            <v>사라이_1차</v>
          </cell>
        </row>
        <row r="5976">
          <cell r="A5976">
            <v>95940047</v>
          </cell>
          <cell r="B5976" t="str">
            <v>하디_1차</v>
          </cell>
        </row>
        <row r="5977">
          <cell r="A5977">
            <v>95940048</v>
          </cell>
          <cell r="B5977" t="str">
            <v>베리사_1차</v>
          </cell>
        </row>
        <row r="5978">
          <cell r="A5978">
            <v>95940049</v>
          </cell>
          <cell r="B5978" t="str">
            <v>아멜리아_1차</v>
          </cell>
        </row>
        <row r="5979">
          <cell r="A5979">
            <v>95940050</v>
          </cell>
          <cell r="B5979" t="str">
            <v>이사벨_1차</v>
          </cell>
        </row>
        <row r="5980">
          <cell r="A5980">
            <v>95940051</v>
          </cell>
          <cell r="B5980" t="str">
            <v>쿤티_1차</v>
          </cell>
        </row>
        <row r="5981">
          <cell r="A5981">
            <v>95940052</v>
          </cell>
          <cell r="B5981" t="str">
            <v>하토라_1차</v>
          </cell>
        </row>
        <row r="5982">
          <cell r="A5982">
            <v>95940053</v>
          </cell>
          <cell r="B5982" t="str">
            <v>미화_1차</v>
          </cell>
        </row>
        <row r="5983">
          <cell r="A5983">
            <v>95940054</v>
          </cell>
          <cell r="B5983" t="str">
            <v>아냐_1차</v>
          </cell>
        </row>
        <row r="5984">
          <cell r="A5984">
            <v>95940055</v>
          </cell>
          <cell r="B5984" t="str">
            <v>지아나_1차</v>
          </cell>
        </row>
        <row r="5985">
          <cell r="A5985">
            <v>95940056</v>
          </cell>
          <cell r="B5985" t="str">
            <v>테레사_1차</v>
          </cell>
        </row>
        <row r="5986">
          <cell r="A5986">
            <v>95940057</v>
          </cell>
          <cell r="B5986" t="str">
            <v>뮤리네_1차</v>
          </cell>
        </row>
        <row r="5987">
          <cell r="A5987">
            <v>95940058</v>
          </cell>
          <cell r="B5987" t="str">
            <v>실비아_1차</v>
          </cell>
        </row>
        <row r="5988">
          <cell r="A5988">
            <v>95940059</v>
          </cell>
          <cell r="B5988" t="str">
            <v>아세네트_1차</v>
          </cell>
        </row>
        <row r="5989">
          <cell r="A5989">
            <v>95940060</v>
          </cell>
          <cell r="B5989" t="str">
            <v>제바히르_1차</v>
          </cell>
        </row>
        <row r="5990">
          <cell r="A5990">
            <v>95940061</v>
          </cell>
          <cell r="B5990" t="str">
            <v>엘리프_1차</v>
          </cell>
        </row>
        <row r="5991">
          <cell r="A5991">
            <v>95940062</v>
          </cell>
          <cell r="B5991" t="str">
            <v>가더_1차</v>
          </cell>
        </row>
        <row r="5992">
          <cell r="A5992">
            <v>95940063</v>
          </cell>
          <cell r="B5992" t="str">
            <v>인두마티_1차</v>
          </cell>
        </row>
        <row r="5993">
          <cell r="A5993">
            <v>95940064</v>
          </cell>
          <cell r="B5993" t="str">
            <v>말리날리_1차</v>
          </cell>
        </row>
        <row r="5994">
          <cell r="A5994">
            <v>95940065</v>
          </cell>
          <cell r="B5994" t="str">
            <v>상경_1차</v>
          </cell>
        </row>
        <row r="5995">
          <cell r="A5995">
            <v>95940066</v>
          </cell>
          <cell r="B5995" t="str">
            <v>청린_1차</v>
          </cell>
        </row>
        <row r="5996">
          <cell r="A5996">
            <v>95940067</v>
          </cell>
          <cell r="B5996" t="str">
            <v>가은정_1차</v>
          </cell>
        </row>
        <row r="5997">
          <cell r="A5997">
            <v>95940068</v>
          </cell>
          <cell r="B5997" t="str">
            <v>타츠마루_1차</v>
          </cell>
        </row>
        <row r="5998">
          <cell r="A5998">
            <v>95940069</v>
          </cell>
          <cell r="B5998" t="str">
            <v>치트랄리_1차</v>
          </cell>
        </row>
        <row r="5999">
          <cell r="A5999">
            <v>95940070</v>
          </cell>
          <cell r="B5999" t="str">
            <v>리씨에_1차</v>
          </cell>
        </row>
        <row r="6000">
          <cell r="A6000">
            <v>95940071</v>
          </cell>
          <cell r="B6000" t="str">
            <v>스틴_1차</v>
          </cell>
        </row>
        <row r="6001">
          <cell r="A6001">
            <v>95940072</v>
          </cell>
          <cell r="B6001" t="str">
            <v>즈쓰후아_1차</v>
          </cell>
        </row>
        <row r="6002">
          <cell r="A6002">
            <v>95940073</v>
          </cell>
          <cell r="B6002" t="str">
            <v>클라우디아_1차</v>
          </cell>
        </row>
        <row r="6003">
          <cell r="A6003">
            <v>95940074</v>
          </cell>
          <cell r="B6003" t="str">
            <v>메레_1차</v>
          </cell>
        </row>
        <row r="6004">
          <cell r="A6004">
            <v>95940075</v>
          </cell>
          <cell r="B6004" t="str">
            <v>푸르나마_1차</v>
          </cell>
        </row>
        <row r="6005">
          <cell r="A6005">
            <v>95940076</v>
          </cell>
          <cell r="B6005" t="str">
            <v>수니타_1차</v>
          </cell>
        </row>
        <row r="6006">
          <cell r="A6006">
            <v>95940077</v>
          </cell>
          <cell r="B6006" t="str">
            <v>예바_1차</v>
          </cell>
        </row>
        <row r="6007">
          <cell r="A6007">
            <v>95940078</v>
          </cell>
          <cell r="B6007" t="str">
            <v>네일리_1차</v>
          </cell>
        </row>
        <row r="6008">
          <cell r="A6008">
            <v>95940079</v>
          </cell>
          <cell r="B6008" t="str">
            <v>타마야_1차</v>
          </cell>
        </row>
        <row r="6009">
          <cell r="A6009">
            <v>95940080</v>
          </cell>
          <cell r="B6009" t="str">
            <v>돌로리스_1차</v>
          </cell>
        </row>
        <row r="6010">
          <cell r="A6010">
            <v>95940081</v>
          </cell>
          <cell r="B6010" t="str">
            <v>니타_1차</v>
          </cell>
        </row>
        <row r="6011">
          <cell r="A6011">
            <v>95940082</v>
          </cell>
          <cell r="B6011" t="str">
            <v>루치아_1차</v>
          </cell>
        </row>
        <row r="6012">
          <cell r="A6012">
            <v>95940083</v>
          </cell>
          <cell r="B6012" t="str">
            <v>안나_1차</v>
          </cell>
        </row>
        <row r="6013">
          <cell r="A6013">
            <v>95940084</v>
          </cell>
          <cell r="B6013" t="str">
            <v>라디아_1차</v>
          </cell>
        </row>
        <row r="6014">
          <cell r="A6014">
            <v>95940085</v>
          </cell>
          <cell r="B6014" t="str">
            <v>마틸다_1차</v>
          </cell>
        </row>
        <row r="6015">
          <cell r="A6015">
            <v>95940086</v>
          </cell>
          <cell r="B6015" t="str">
            <v>남혜_1차</v>
          </cell>
        </row>
        <row r="6016">
          <cell r="A6016">
            <v>95940087</v>
          </cell>
          <cell r="B6016" t="str">
            <v>아니사_1차</v>
          </cell>
        </row>
        <row r="6017">
          <cell r="A6017">
            <v>95940088</v>
          </cell>
          <cell r="B6017" t="str">
            <v>릴_2차</v>
          </cell>
        </row>
        <row r="6018">
          <cell r="A6018">
            <v>95940089</v>
          </cell>
          <cell r="B6018" t="str">
            <v>릴_3차</v>
          </cell>
        </row>
        <row r="6019">
          <cell r="A6019">
            <v>95940090</v>
          </cell>
          <cell r="B6019" t="str">
            <v>리리안_2차</v>
          </cell>
        </row>
        <row r="6020">
          <cell r="A6020">
            <v>95940091</v>
          </cell>
          <cell r="B6020" t="str">
            <v>리리안_3차</v>
          </cell>
        </row>
        <row r="6021">
          <cell r="A6021">
            <v>95940092</v>
          </cell>
          <cell r="B6021" t="str">
            <v>아델리나_2차</v>
          </cell>
        </row>
        <row r="6022">
          <cell r="A6022">
            <v>95940093</v>
          </cell>
          <cell r="B6022" t="str">
            <v>아델리나_3차</v>
          </cell>
        </row>
        <row r="6023">
          <cell r="A6023">
            <v>95940094</v>
          </cell>
          <cell r="B6023" t="str">
            <v>코르넬리아_2차</v>
          </cell>
        </row>
        <row r="6024">
          <cell r="A6024">
            <v>95940095</v>
          </cell>
          <cell r="B6024" t="str">
            <v>코르넬리아_3차</v>
          </cell>
        </row>
        <row r="6025">
          <cell r="A6025">
            <v>95940096</v>
          </cell>
          <cell r="B6025" t="str">
            <v>플로라_2차</v>
          </cell>
        </row>
        <row r="6026">
          <cell r="A6026">
            <v>95940097</v>
          </cell>
          <cell r="B6026" t="str">
            <v>플로라_3차</v>
          </cell>
        </row>
        <row r="6027">
          <cell r="A6027">
            <v>95940098</v>
          </cell>
          <cell r="B6027" t="str">
            <v>넬리_2차</v>
          </cell>
        </row>
        <row r="6028">
          <cell r="A6028">
            <v>95940099</v>
          </cell>
          <cell r="B6028" t="str">
            <v>넬리_3차</v>
          </cell>
        </row>
        <row r="6029">
          <cell r="A6029">
            <v>95940100</v>
          </cell>
          <cell r="B6029" t="str">
            <v>켈레벡_2차</v>
          </cell>
        </row>
        <row r="6030">
          <cell r="A6030">
            <v>95940101</v>
          </cell>
          <cell r="B6030" t="str">
            <v>켈레벡_3차</v>
          </cell>
        </row>
        <row r="6031">
          <cell r="A6031">
            <v>95940102</v>
          </cell>
          <cell r="B6031" t="str">
            <v>아냐_2차</v>
          </cell>
        </row>
        <row r="6032">
          <cell r="A6032">
            <v>95940103</v>
          </cell>
          <cell r="B6032" t="str">
            <v>아냐_3차</v>
          </cell>
        </row>
        <row r="6033">
          <cell r="A6033">
            <v>95940104</v>
          </cell>
          <cell r="B6033" t="str">
            <v>지아나_2차</v>
          </cell>
        </row>
        <row r="6034">
          <cell r="A6034">
            <v>95940105</v>
          </cell>
          <cell r="B6034" t="str">
            <v>지아나_3차</v>
          </cell>
        </row>
        <row r="6035">
          <cell r="A6035">
            <v>95940106</v>
          </cell>
          <cell r="B6035" t="str">
            <v>테레사_2차</v>
          </cell>
        </row>
        <row r="6036">
          <cell r="A6036">
            <v>95940107</v>
          </cell>
          <cell r="B6036" t="str">
            <v>테레사_3차</v>
          </cell>
        </row>
        <row r="6037">
          <cell r="A6037">
            <v>95940108</v>
          </cell>
          <cell r="B6037" t="str">
            <v>뮤리네_2차</v>
          </cell>
        </row>
        <row r="6038">
          <cell r="A6038">
            <v>95940109</v>
          </cell>
          <cell r="B6038" t="str">
            <v>뮤리네_3차</v>
          </cell>
        </row>
        <row r="6039">
          <cell r="A6039">
            <v>95940110</v>
          </cell>
          <cell r="B6039" t="str">
            <v>실비아_2차</v>
          </cell>
        </row>
        <row r="6040">
          <cell r="A6040">
            <v>95940111</v>
          </cell>
          <cell r="B6040" t="str">
            <v>실비아_3차</v>
          </cell>
        </row>
        <row r="6041">
          <cell r="A6041">
            <v>95940112</v>
          </cell>
          <cell r="B6041" t="str">
            <v>아세네트_2차</v>
          </cell>
        </row>
        <row r="6042">
          <cell r="A6042">
            <v>95940113</v>
          </cell>
          <cell r="B6042" t="str">
            <v>아세네트_3차</v>
          </cell>
        </row>
        <row r="6043">
          <cell r="A6043">
            <v>95940114</v>
          </cell>
          <cell r="B6043" t="str">
            <v>제바히르_2차</v>
          </cell>
        </row>
        <row r="6044">
          <cell r="A6044">
            <v>95940115</v>
          </cell>
          <cell r="B6044" t="str">
            <v>제바히르_3차</v>
          </cell>
        </row>
        <row r="6045">
          <cell r="A6045">
            <v>95940116</v>
          </cell>
          <cell r="B6045" t="str">
            <v>엘리프_2차</v>
          </cell>
        </row>
        <row r="6046">
          <cell r="A6046">
            <v>95940117</v>
          </cell>
          <cell r="B6046" t="str">
            <v>엘리프_3차</v>
          </cell>
        </row>
        <row r="6047">
          <cell r="A6047">
            <v>95940118</v>
          </cell>
          <cell r="B6047" t="str">
            <v>가더_2차</v>
          </cell>
        </row>
        <row r="6048">
          <cell r="A6048">
            <v>95940119</v>
          </cell>
          <cell r="B6048" t="str">
            <v>가더_3차</v>
          </cell>
        </row>
        <row r="6049">
          <cell r="A6049">
            <v>95940120</v>
          </cell>
          <cell r="B6049" t="str">
            <v>인두마티_2차</v>
          </cell>
        </row>
        <row r="6050">
          <cell r="A6050">
            <v>95940121</v>
          </cell>
          <cell r="B6050" t="str">
            <v>인두마티_3차</v>
          </cell>
        </row>
        <row r="6051">
          <cell r="A6051">
            <v>95940122</v>
          </cell>
          <cell r="B6051" t="str">
            <v>상경_2차</v>
          </cell>
        </row>
        <row r="6052">
          <cell r="A6052">
            <v>95940123</v>
          </cell>
          <cell r="B6052" t="str">
            <v>상경_3차</v>
          </cell>
        </row>
        <row r="6053">
          <cell r="A6053">
            <v>95940124</v>
          </cell>
          <cell r="B6053" t="str">
            <v>말리날리_2차</v>
          </cell>
        </row>
        <row r="6054">
          <cell r="A6054">
            <v>95940125</v>
          </cell>
          <cell r="B6054" t="str">
            <v>말리날리_3차</v>
          </cell>
        </row>
        <row r="6055">
          <cell r="A6055">
            <v>95940126</v>
          </cell>
          <cell r="B6055" t="str">
            <v>청린_2차</v>
          </cell>
        </row>
        <row r="6056">
          <cell r="A6056">
            <v>95940127</v>
          </cell>
          <cell r="B6056" t="str">
            <v>청린_3차</v>
          </cell>
        </row>
        <row r="6057">
          <cell r="A6057">
            <v>95940128</v>
          </cell>
          <cell r="B6057" t="str">
            <v>가은정_2차</v>
          </cell>
        </row>
        <row r="6058">
          <cell r="A6058">
            <v>95940129</v>
          </cell>
          <cell r="B6058" t="str">
            <v>가은정_3차</v>
          </cell>
        </row>
        <row r="6059">
          <cell r="A6059">
            <v>95940130</v>
          </cell>
          <cell r="B6059" t="str">
            <v>타츠마루_2차</v>
          </cell>
        </row>
        <row r="6060">
          <cell r="A6060">
            <v>95940131</v>
          </cell>
          <cell r="B6060" t="str">
            <v>타츠마루_3차</v>
          </cell>
        </row>
        <row r="6061">
          <cell r="A6061">
            <v>95940132</v>
          </cell>
          <cell r="B6061" t="str">
            <v>치트랄리_2차</v>
          </cell>
        </row>
        <row r="6062">
          <cell r="A6062">
            <v>95940133</v>
          </cell>
          <cell r="B6062" t="str">
            <v>치트랄리_3차</v>
          </cell>
        </row>
        <row r="6063">
          <cell r="A6063">
            <v>95940134</v>
          </cell>
          <cell r="B6063" t="str">
            <v>리씨에_2차</v>
          </cell>
        </row>
        <row r="6064">
          <cell r="A6064">
            <v>95940135</v>
          </cell>
          <cell r="B6064" t="str">
            <v>리씨에_3차</v>
          </cell>
        </row>
        <row r="6065">
          <cell r="A6065">
            <v>95940136</v>
          </cell>
          <cell r="B6065" t="str">
            <v>스틴_2차</v>
          </cell>
        </row>
        <row r="6066">
          <cell r="A6066">
            <v>95940137</v>
          </cell>
          <cell r="B6066" t="str">
            <v>스틴_3차</v>
          </cell>
        </row>
        <row r="6067">
          <cell r="A6067">
            <v>95940138</v>
          </cell>
          <cell r="B6067" t="str">
            <v>즈쓰후아_2차</v>
          </cell>
        </row>
        <row r="6068">
          <cell r="A6068">
            <v>95940139</v>
          </cell>
          <cell r="B6068" t="str">
            <v>즈쓰후아_3차</v>
          </cell>
        </row>
        <row r="6069">
          <cell r="A6069">
            <v>95940140</v>
          </cell>
          <cell r="B6069" t="str">
            <v>클라우디아_2차</v>
          </cell>
        </row>
        <row r="6070">
          <cell r="A6070">
            <v>95940141</v>
          </cell>
          <cell r="B6070" t="str">
            <v>클라우디아_3차</v>
          </cell>
        </row>
        <row r="6071">
          <cell r="A6071">
            <v>95940142</v>
          </cell>
          <cell r="B6071" t="str">
            <v>메레_2차</v>
          </cell>
        </row>
        <row r="6072">
          <cell r="A6072">
            <v>95940143</v>
          </cell>
          <cell r="B6072" t="str">
            <v>메레_3차</v>
          </cell>
        </row>
        <row r="6073">
          <cell r="A6073">
            <v>95940144</v>
          </cell>
          <cell r="B6073" t="str">
            <v>푸르나마_2차</v>
          </cell>
        </row>
        <row r="6074">
          <cell r="A6074">
            <v>95940145</v>
          </cell>
          <cell r="B6074" t="str">
            <v>푸르나마_3차</v>
          </cell>
        </row>
        <row r="6075">
          <cell r="A6075">
            <v>95940146</v>
          </cell>
          <cell r="B6075" t="str">
            <v>모의전_보상_주간_없음</v>
          </cell>
        </row>
        <row r="6076">
          <cell r="A6076">
            <v>95940147</v>
          </cell>
          <cell r="B6076" t="str">
            <v>모의전_보상_주간_청동 3급</v>
          </cell>
        </row>
        <row r="6077">
          <cell r="A6077">
            <v>95940148</v>
          </cell>
          <cell r="B6077" t="str">
            <v>모의전_보상_주간_청동 2급</v>
          </cell>
        </row>
        <row r="6078">
          <cell r="A6078">
            <v>95940149</v>
          </cell>
          <cell r="B6078" t="str">
            <v>모의전_보상_주간_청동 1급</v>
          </cell>
        </row>
        <row r="6079">
          <cell r="A6079">
            <v>95940150</v>
          </cell>
          <cell r="B6079" t="str">
            <v>모의전_보상_주간_백은 3급</v>
          </cell>
        </row>
        <row r="6080">
          <cell r="A6080">
            <v>95940151</v>
          </cell>
          <cell r="B6080" t="str">
            <v>모의전_보상_주간_백은 2급</v>
          </cell>
        </row>
        <row r="6081">
          <cell r="A6081">
            <v>95940152</v>
          </cell>
          <cell r="B6081" t="str">
            <v>모의전_보상_주간_백은 1급</v>
          </cell>
        </row>
        <row r="6082">
          <cell r="A6082">
            <v>95940153</v>
          </cell>
          <cell r="B6082" t="str">
            <v>모의전_보상_주간_황금 3급</v>
          </cell>
        </row>
        <row r="6083">
          <cell r="A6083">
            <v>95940154</v>
          </cell>
          <cell r="B6083" t="str">
            <v>모의전_보상_주간_황금 2급</v>
          </cell>
        </row>
        <row r="6084">
          <cell r="A6084">
            <v>95940155</v>
          </cell>
          <cell r="B6084" t="str">
            <v>모의전_보상_주간_황금 1급</v>
          </cell>
        </row>
        <row r="6085">
          <cell r="A6085">
            <v>95940156</v>
          </cell>
          <cell r="B6085" t="str">
            <v>모의전_보상_주간_백금 3급</v>
          </cell>
        </row>
        <row r="6086">
          <cell r="A6086">
            <v>95940157</v>
          </cell>
          <cell r="B6086" t="str">
            <v>모의전_보상_주간_백금 2급</v>
          </cell>
        </row>
        <row r="6087">
          <cell r="A6087">
            <v>95940158</v>
          </cell>
          <cell r="B6087" t="str">
            <v>모의전_보상_주간_백금1금</v>
          </cell>
        </row>
        <row r="6088">
          <cell r="A6088">
            <v>95940159</v>
          </cell>
          <cell r="B6088" t="str">
            <v>모의전_보상_주간_사부 3급</v>
          </cell>
        </row>
        <row r="6089">
          <cell r="A6089">
            <v>95940160</v>
          </cell>
          <cell r="B6089" t="str">
            <v>모의전_보상_주간_사부 2급</v>
          </cell>
        </row>
        <row r="6090">
          <cell r="A6090">
            <v>95940161</v>
          </cell>
          <cell r="B6090" t="str">
            <v>모의전_보상_주간_사부 1급</v>
          </cell>
        </row>
        <row r="6091">
          <cell r="A6091">
            <v>95940162</v>
          </cell>
          <cell r="B6091" t="str">
            <v>모의전_보상_주간_대사부 3급</v>
          </cell>
        </row>
        <row r="6092">
          <cell r="A6092">
            <v>95940163</v>
          </cell>
          <cell r="B6092" t="str">
            <v>모의전_보상_주간_대사부 2급</v>
          </cell>
        </row>
        <row r="6093">
          <cell r="A6093">
            <v>95940164</v>
          </cell>
          <cell r="B6093" t="str">
            <v>모의전_보상_주간_대사부 1급</v>
          </cell>
        </row>
        <row r="6094">
          <cell r="A6094">
            <v>95940165</v>
          </cell>
          <cell r="B6094" t="str">
            <v>모의전_보상_주간_도전자 3급</v>
          </cell>
        </row>
        <row r="6095">
          <cell r="A6095">
            <v>95940166</v>
          </cell>
          <cell r="B6095" t="str">
            <v>모의전_보상_주간_도전자 2급</v>
          </cell>
        </row>
        <row r="6096">
          <cell r="A6096">
            <v>95940167</v>
          </cell>
          <cell r="B6096" t="str">
            <v>모의전_보상_주간_도전자 1급</v>
          </cell>
        </row>
        <row r="6097">
          <cell r="A6097">
            <v>95940168</v>
          </cell>
          <cell r="B6097" t="str">
            <v>모의전_보상_주간_전설</v>
          </cell>
        </row>
        <row r="6098">
          <cell r="A6098">
            <v>95940169</v>
          </cell>
          <cell r="B6098" t="str">
            <v>모의전_보상_달성_없음</v>
          </cell>
        </row>
        <row r="6099">
          <cell r="A6099">
            <v>95940170</v>
          </cell>
          <cell r="B6099" t="str">
            <v>모의전_보상_달성_청동 3급</v>
          </cell>
        </row>
        <row r="6100">
          <cell r="A6100">
            <v>95940171</v>
          </cell>
          <cell r="B6100" t="str">
            <v>모의전_보상_달성_청동 2급</v>
          </cell>
        </row>
        <row r="6101">
          <cell r="A6101">
            <v>95940172</v>
          </cell>
          <cell r="B6101" t="str">
            <v>모의전_보상_달성_청동 1급</v>
          </cell>
        </row>
        <row r="6102">
          <cell r="A6102">
            <v>95940173</v>
          </cell>
          <cell r="B6102" t="str">
            <v>모의전_보상_달성_백은 3급</v>
          </cell>
        </row>
        <row r="6103">
          <cell r="A6103">
            <v>95940174</v>
          </cell>
          <cell r="B6103" t="str">
            <v>모의전_보상_달성_백은 2급</v>
          </cell>
        </row>
        <row r="6104">
          <cell r="A6104">
            <v>95940175</v>
          </cell>
          <cell r="B6104" t="str">
            <v>모의전_보상_달성_백은 1급</v>
          </cell>
        </row>
        <row r="6105">
          <cell r="A6105">
            <v>95940176</v>
          </cell>
          <cell r="B6105" t="str">
            <v>모의전_보상_달성_황금 3급</v>
          </cell>
        </row>
        <row r="6106">
          <cell r="A6106">
            <v>95940177</v>
          </cell>
          <cell r="B6106" t="str">
            <v>모의전_보상_달성_황금 2급</v>
          </cell>
        </row>
        <row r="6107">
          <cell r="A6107">
            <v>95940178</v>
          </cell>
          <cell r="B6107" t="str">
            <v>모의전_보상_달성_황금 1급</v>
          </cell>
        </row>
        <row r="6108">
          <cell r="A6108">
            <v>95940179</v>
          </cell>
          <cell r="B6108" t="str">
            <v>모의전_보상_달성_백금 3급</v>
          </cell>
        </row>
        <row r="6109">
          <cell r="A6109">
            <v>95940180</v>
          </cell>
          <cell r="B6109" t="str">
            <v>모의전_보상_달성_백금 2급</v>
          </cell>
        </row>
        <row r="6110">
          <cell r="A6110">
            <v>95940181</v>
          </cell>
          <cell r="B6110" t="str">
            <v>모의전_보상_달성_백금1금</v>
          </cell>
        </row>
        <row r="6111">
          <cell r="A6111">
            <v>95940182</v>
          </cell>
          <cell r="B6111" t="str">
            <v>모의전_보상_달성_사부 3급</v>
          </cell>
        </row>
        <row r="6112">
          <cell r="A6112">
            <v>95940183</v>
          </cell>
          <cell r="B6112" t="str">
            <v>모의전_보상_달성_사부 2급</v>
          </cell>
        </row>
        <row r="6113">
          <cell r="A6113">
            <v>95940184</v>
          </cell>
          <cell r="B6113" t="str">
            <v>모의전_보상_달성_사부 1급</v>
          </cell>
        </row>
        <row r="6114">
          <cell r="A6114">
            <v>95940185</v>
          </cell>
          <cell r="B6114" t="str">
            <v>모의전_보상_달성_대사부 3급</v>
          </cell>
        </row>
        <row r="6115">
          <cell r="A6115">
            <v>95940186</v>
          </cell>
          <cell r="B6115" t="str">
            <v>모의전_보상_달성_대사부 2급</v>
          </cell>
        </row>
        <row r="6116">
          <cell r="A6116">
            <v>95940187</v>
          </cell>
          <cell r="B6116" t="str">
            <v>모의전_보상_달성_대사부 1급</v>
          </cell>
        </row>
        <row r="6117">
          <cell r="A6117">
            <v>95940188</v>
          </cell>
          <cell r="B6117" t="str">
            <v>모의전_보상_달성_도전자 3급</v>
          </cell>
        </row>
        <row r="6118">
          <cell r="A6118">
            <v>95940189</v>
          </cell>
          <cell r="B6118" t="str">
            <v>모의전_보상_달성_도전자 2급</v>
          </cell>
        </row>
        <row r="6119">
          <cell r="A6119">
            <v>95940190</v>
          </cell>
          <cell r="B6119" t="str">
            <v>모의전_보상_달성_도전자 1급</v>
          </cell>
        </row>
        <row r="6120">
          <cell r="A6120">
            <v>95940191</v>
          </cell>
          <cell r="B6120" t="str">
            <v>모의전_보상_달성_전설</v>
          </cell>
        </row>
        <row r="6121">
          <cell r="A6121">
            <v>95940192</v>
          </cell>
          <cell r="B6121" t="str">
            <v>수니타_2차</v>
          </cell>
        </row>
        <row r="6122">
          <cell r="A6122">
            <v>95940193</v>
          </cell>
          <cell r="B6122" t="str">
            <v>수니타_3차</v>
          </cell>
        </row>
        <row r="6123">
          <cell r="A6123">
            <v>95940194</v>
          </cell>
          <cell r="B6123" t="str">
            <v>예바_2차</v>
          </cell>
        </row>
        <row r="6124">
          <cell r="A6124">
            <v>95940195</v>
          </cell>
          <cell r="B6124" t="str">
            <v>예바_3차</v>
          </cell>
        </row>
        <row r="6125">
          <cell r="A6125">
            <v>95940196</v>
          </cell>
          <cell r="B6125" t="str">
            <v>네일리_2차</v>
          </cell>
        </row>
        <row r="6126">
          <cell r="A6126">
            <v>95940197</v>
          </cell>
          <cell r="B6126" t="str">
            <v>네일리_3차</v>
          </cell>
        </row>
        <row r="6127">
          <cell r="A6127">
            <v>95940198</v>
          </cell>
          <cell r="B6127" t="str">
            <v>타마야_2차</v>
          </cell>
        </row>
        <row r="6128">
          <cell r="A6128">
            <v>95940199</v>
          </cell>
          <cell r="B6128" t="str">
            <v>타마야_3차</v>
          </cell>
        </row>
        <row r="6129">
          <cell r="A6129">
            <v>95940200</v>
          </cell>
          <cell r="B6129" t="str">
            <v>완다_2차</v>
          </cell>
        </row>
        <row r="6130">
          <cell r="A6130">
            <v>95940201</v>
          </cell>
          <cell r="B6130" t="str">
            <v>완다_3차</v>
          </cell>
        </row>
        <row r="6131">
          <cell r="A6131">
            <v>95940202</v>
          </cell>
          <cell r="B6131" t="str">
            <v>돌로리스_2차</v>
          </cell>
        </row>
        <row r="6132">
          <cell r="A6132">
            <v>95940203</v>
          </cell>
          <cell r="B6132" t="str">
            <v>돌로리스_3차</v>
          </cell>
        </row>
        <row r="6133">
          <cell r="A6133">
            <v>95940204</v>
          </cell>
          <cell r="B6133" t="str">
            <v>니타_2차</v>
          </cell>
        </row>
        <row r="6134">
          <cell r="A6134">
            <v>95940205</v>
          </cell>
          <cell r="B6134" t="str">
            <v>니타_3차</v>
          </cell>
        </row>
        <row r="6135">
          <cell r="A6135">
            <v>95940206</v>
          </cell>
          <cell r="B6135" t="str">
            <v>나탈리_2차</v>
          </cell>
        </row>
        <row r="6136">
          <cell r="A6136">
            <v>95940207</v>
          </cell>
          <cell r="B6136" t="str">
            <v>나탈리_3차</v>
          </cell>
        </row>
        <row r="6137">
          <cell r="A6137">
            <v>95940208</v>
          </cell>
          <cell r="B6137" t="str">
            <v>아난드_2차</v>
          </cell>
        </row>
        <row r="6138">
          <cell r="A6138">
            <v>95940209</v>
          </cell>
          <cell r="B6138" t="str">
            <v>아난드_3차</v>
          </cell>
        </row>
        <row r="6139">
          <cell r="A6139">
            <v>95940210</v>
          </cell>
          <cell r="B6139" t="str">
            <v>남혜_2차</v>
          </cell>
        </row>
        <row r="6140">
          <cell r="A6140">
            <v>95940211</v>
          </cell>
          <cell r="B6140" t="str">
            <v>남혜_3차</v>
          </cell>
        </row>
        <row r="6141">
          <cell r="A6141">
            <v>95940212</v>
          </cell>
          <cell r="B6141" t="str">
            <v>사라이_2차</v>
          </cell>
        </row>
        <row r="6142">
          <cell r="A6142">
            <v>95940213</v>
          </cell>
          <cell r="B6142" t="str">
            <v>사라이_3차</v>
          </cell>
        </row>
        <row r="6143">
          <cell r="A6143">
            <v>95940214</v>
          </cell>
          <cell r="B6143" t="str">
            <v>아멜리아_2차</v>
          </cell>
        </row>
        <row r="6144">
          <cell r="A6144">
            <v>95940215</v>
          </cell>
          <cell r="B6144" t="str">
            <v>아멜리아_3차</v>
          </cell>
        </row>
        <row r="6145">
          <cell r="A6145">
            <v>95940216</v>
          </cell>
          <cell r="B6145" t="str">
            <v>베리사_2차</v>
          </cell>
        </row>
        <row r="6146">
          <cell r="A6146">
            <v>95940217</v>
          </cell>
          <cell r="B6146" t="str">
            <v>베리사_3차</v>
          </cell>
        </row>
        <row r="6147">
          <cell r="A6147">
            <v>95940218</v>
          </cell>
          <cell r="B6147" t="str">
            <v>타마_2차</v>
          </cell>
        </row>
        <row r="6148">
          <cell r="A6148">
            <v>95940219</v>
          </cell>
          <cell r="B6148" t="str">
            <v>타마_3차</v>
          </cell>
        </row>
        <row r="6149">
          <cell r="A6149">
            <v>95940220</v>
          </cell>
          <cell r="B6149" t="str">
            <v>이사벨_2차</v>
          </cell>
        </row>
        <row r="6150">
          <cell r="A6150">
            <v>95940221</v>
          </cell>
          <cell r="B6150" t="str">
            <v>이사벨_3차</v>
          </cell>
        </row>
        <row r="6151">
          <cell r="A6151">
            <v>95940222</v>
          </cell>
          <cell r="B6151" t="str">
            <v>잉게보르크_2차</v>
          </cell>
        </row>
        <row r="6152">
          <cell r="A6152">
            <v>95940223</v>
          </cell>
          <cell r="B6152" t="str">
            <v>잉게보르크_3차</v>
          </cell>
        </row>
        <row r="6153">
          <cell r="A6153">
            <v>95940224</v>
          </cell>
          <cell r="B6153" t="str">
            <v>나오미_2차</v>
          </cell>
        </row>
        <row r="6154">
          <cell r="A6154">
            <v>95940225</v>
          </cell>
          <cell r="B6154" t="str">
            <v>나오미_3차</v>
          </cell>
        </row>
        <row r="6155">
          <cell r="A6155">
            <v>95940226</v>
          </cell>
          <cell r="B6155" t="str">
            <v>엘레느_2차</v>
          </cell>
        </row>
        <row r="6156">
          <cell r="A6156">
            <v>95940227</v>
          </cell>
          <cell r="B6156" t="str">
            <v>엘레느_3차</v>
          </cell>
        </row>
        <row r="6157">
          <cell r="A6157">
            <v>95940228</v>
          </cell>
          <cell r="B6157" t="str">
            <v>예루마_2차</v>
          </cell>
        </row>
        <row r="6158">
          <cell r="A6158">
            <v>95940229</v>
          </cell>
          <cell r="B6158" t="str">
            <v>예루마_3차</v>
          </cell>
        </row>
        <row r="6159">
          <cell r="A6159">
            <v>95940230</v>
          </cell>
          <cell r="B6159" t="str">
            <v>아이셀_2차</v>
          </cell>
        </row>
        <row r="6160">
          <cell r="A6160">
            <v>95940231</v>
          </cell>
          <cell r="B6160" t="str">
            <v>아이셀_3차</v>
          </cell>
        </row>
        <row r="6161">
          <cell r="A6161">
            <v>95940232</v>
          </cell>
          <cell r="B6161" t="str">
            <v>울로리악_2차</v>
          </cell>
        </row>
        <row r="6162">
          <cell r="A6162">
            <v>95940233</v>
          </cell>
          <cell r="B6162" t="str">
            <v>울로리악_3차</v>
          </cell>
        </row>
        <row r="6163">
          <cell r="A6163">
            <v>95940234</v>
          </cell>
          <cell r="B6163" t="str">
            <v>오나쓰_2차</v>
          </cell>
        </row>
        <row r="6164">
          <cell r="A6164">
            <v>95940235</v>
          </cell>
          <cell r="B6164" t="str">
            <v>오나쓰_3차</v>
          </cell>
        </row>
        <row r="6165">
          <cell r="A6165">
            <v>95940236</v>
          </cell>
          <cell r="B6165" t="str">
            <v>잔수_2차</v>
          </cell>
        </row>
        <row r="6166">
          <cell r="A6166">
            <v>95940237</v>
          </cell>
          <cell r="B6166" t="str">
            <v>잔수_3차</v>
          </cell>
        </row>
        <row r="6167">
          <cell r="A6167">
            <v>95940238</v>
          </cell>
          <cell r="B6167" t="str">
            <v>쿤티_2차</v>
          </cell>
        </row>
        <row r="6168">
          <cell r="A6168">
            <v>95940239</v>
          </cell>
          <cell r="B6168" t="str">
            <v>쿤티_3차</v>
          </cell>
        </row>
        <row r="6169">
          <cell r="A6169">
            <v>95940240</v>
          </cell>
          <cell r="B6169" t="str">
            <v>마와르_2차</v>
          </cell>
        </row>
        <row r="6170">
          <cell r="A6170">
            <v>95940241</v>
          </cell>
          <cell r="B6170" t="str">
            <v>마와르_3차</v>
          </cell>
        </row>
        <row r="6171">
          <cell r="A6171">
            <v>95940242</v>
          </cell>
          <cell r="B6171" t="str">
            <v>티티스_2차</v>
          </cell>
        </row>
        <row r="6172">
          <cell r="A6172">
            <v>95940243</v>
          </cell>
          <cell r="B6172" t="str">
            <v>티티스_3차</v>
          </cell>
        </row>
        <row r="6173">
          <cell r="A6173">
            <v>95940244</v>
          </cell>
          <cell r="B6173" t="str">
            <v>미화_2차</v>
          </cell>
        </row>
        <row r="6174">
          <cell r="A6174">
            <v>95940245</v>
          </cell>
          <cell r="B6174" t="str">
            <v>미화_3차</v>
          </cell>
        </row>
        <row r="6175">
          <cell r="A6175">
            <v>95940246</v>
          </cell>
          <cell r="B6175" t="str">
            <v>하디_2차</v>
          </cell>
        </row>
        <row r="6176">
          <cell r="A6176">
            <v>95940247</v>
          </cell>
          <cell r="B6176" t="str">
            <v>하디_3차</v>
          </cell>
        </row>
        <row r="6177">
          <cell r="A6177">
            <v>95940248</v>
          </cell>
          <cell r="B6177" t="str">
            <v>아니사_2차</v>
          </cell>
        </row>
        <row r="6178">
          <cell r="A6178">
            <v>95940249</v>
          </cell>
          <cell r="B6178" t="str">
            <v>아니사_3차</v>
          </cell>
        </row>
        <row r="6179">
          <cell r="A6179">
            <v>95940250</v>
          </cell>
          <cell r="B6179" t="str">
            <v>라디아_2차</v>
          </cell>
        </row>
        <row r="6180">
          <cell r="A6180">
            <v>95940251</v>
          </cell>
          <cell r="B6180" t="str">
            <v>라디아_3차</v>
          </cell>
        </row>
        <row r="6181">
          <cell r="A6181">
            <v>95950001</v>
          </cell>
          <cell r="B6181" t="str">
            <v>알제 수금함대 토벌_전투</v>
          </cell>
        </row>
        <row r="6182">
          <cell r="A6182">
            <v>95950002</v>
          </cell>
          <cell r="B6182" t="str">
            <v>해적 추격_전투</v>
          </cell>
        </row>
        <row r="6183">
          <cell r="A6183">
            <v>95950003</v>
          </cell>
          <cell r="B6183" t="str">
            <v>거대 가오리의 행방_모험</v>
          </cell>
        </row>
        <row r="6184">
          <cell r="A6184">
            <v>95950004</v>
          </cell>
          <cell r="B6184" t="str">
            <v>간절한 약재_교역</v>
          </cell>
        </row>
        <row r="6185">
          <cell r="A6185">
            <v>95950005</v>
          </cell>
          <cell r="B6185" t="str">
            <v>알 베자스_서브LV10</v>
          </cell>
        </row>
        <row r="6186">
          <cell r="A6186">
            <v>95950006</v>
          </cell>
          <cell r="B6186" t="str">
            <v>알 베자스_서브LV15</v>
          </cell>
        </row>
        <row r="6187">
          <cell r="A6187">
            <v>95950007</v>
          </cell>
          <cell r="B6187" t="str">
            <v>빚쟁이 해적단_전투</v>
          </cell>
        </row>
        <row r="6188">
          <cell r="A6188">
            <v>95950008</v>
          </cell>
          <cell r="B6188" t="str">
            <v>빚쟁이 해적단2_전투</v>
          </cell>
        </row>
        <row r="6189">
          <cell r="A6189">
            <v>95950009</v>
          </cell>
          <cell r="B6189" t="str">
            <v>바다 괴물의 흔적_모험</v>
          </cell>
        </row>
        <row r="6190">
          <cell r="A6190">
            <v>95950010</v>
          </cell>
          <cell r="B6190" t="str">
            <v>세비야 사기꾼 추적_교역</v>
          </cell>
        </row>
        <row r="6191">
          <cell r="A6191">
            <v>95950011</v>
          </cell>
          <cell r="B6191" t="str">
            <v>보다 먼 곳으로_모험</v>
          </cell>
        </row>
        <row r="6192">
          <cell r="A6192">
            <v>95950012</v>
          </cell>
          <cell r="B6192" t="str">
            <v>세비야의 사기꾼_교역</v>
          </cell>
        </row>
        <row r="6193">
          <cell r="A6193">
            <v>95950013</v>
          </cell>
          <cell r="B6193" t="str">
            <v>빚쟁이 해적의 참회_전투</v>
          </cell>
        </row>
        <row r="6194">
          <cell r="A6194">
            <v>95950014</v>
          </cell>
          <cell r="B6194" t="str">
            <v>조안 페레로_서브LV10</v>
          </cell>
        </row>
        <row r="6195">
          <cell r="A6195">
            <v>95950015</v>
          </cell>
          <cell r="B6195" t="str">
            <v>조안 페레로_서브LV15</v>
          </cell>
        </row>
        <row r="6196">
          <cell r="A6196">
            <v>95950016</v>
          </cell>
          <cell r="B6196" t="str">
            <v>조안 페레로_서브LV20</v>
          </cell>
        </row>
        <row r="6197">
          <cell r="A6197">
            <v>95950017</v>
          </cell>
          <cell r="B6197" t="str">
            <v>카탈리나 에란초_서브LV10</v>
          </cell>
        </row>
        <row r="6198">
          <cell r="A6198">
            <v>95950018</v>
          </cell>
          <cell r="B6198" t="str">
            <v>카탈리나 에란초_서브LV15</v>
          </cell>
        </row>
        <row r="6199">
          <cell r="A6199">
            <v>95950019</v>
          </cell>
          <cell r="B6199" t="str">
            <v>옷토 스피노라_서브LV10</v>
          </cell>
        </row>
        <row r="6200">
          <cell r="A6200">
            <v>95950020</v>
          </cell>
          <cell r="B6200" t="str">
            <v>옷토 스피노라_서브LV15</v>
          </cell>
        </row>
        <row r="6201">
          <cell r="A6201">
            <v>95950021</v>
          </cell>
          <cell r="B6201" t="str">
            <v>버뮤다의 소용돌이_모험</v>
          </cell>
        </row>
        <row r="6202">
          <cell r="A6202">
            <v>95950022</v>
          </cell>
          <cell r="B6202" t="str">
            <v>부어라 마셔라_교역</v>
          </cell>
        </row>
        <row r="6203">
          <cell r="A6203">
            <v>95950023</v>
          </cell>
          <cell r="B6203" t="str">
            <v>한 남자의 항해_교역</v>
          </cell>
        </row>
        <row r="6204">
          <cell r="A6204">
            <v>95950024</v>
          </cell>
          <cell r="B6204" t="str">
            <v>진정한 강함</v>
          </cell>
        </row>
        <row r="6205">
          <cell r="A6205">
            <v>95950025</v>
          </cell>
          <cell r="B6205" t="str">
            <v>해적 사냥꾼</v>
          </cell>
        </row>
        <row r="6206">
          <cell r="A6206">
            <v>95950026</v>
          </cell>
          <cell r="B6206" t="str">
            <v>일주_모험</v>
          </cell>
        </row>
        <row r="6207">
          <cell r="A6207">
            <v>95950027</v>
          </cell>
          <cell r="B6207" t="str">
            <v>조안 페레로_서브LV35</v>
          </cell>
        </row>
        <row r="6208">
          <cell r="A6208">
            <v>95950028</v>
          </cell>
          <cell r="B6208" t="str">
            <v>알 베자스_서브LV35</v>
          </cell>
        </row>
        <row r="6209">
          <cell r="A6209">
            <v>95950029</v>
          </cell>
          <cell r="B6209" t="str">
            <v>에르네스트 로페스_서브LV35</v>
          </cell>
        </row>
        <row r="6210">
          <cell r="A6210">
            <v>95950030</v>
          </cell>
          <cell r="B6210" t="str">
            <v>새로운 곳으로_모험</v>
          </cell>
        </row>
        <row r="6211">
          <cell r="A6211">
            <v>95950031</v>
          </cell>
          <cell r="B6211" t="str">
            <v>빚쟁이 해적의 노동_전투</v>
          </cell>
        </row>
        <row r="6212">
          <cell r="A6212">
            <v>95950032</v>
          </cell>
          <cell r="B6212" t="str">
            <v>야쿠마마_모험</v>
          </cell>
        </row>
        <row r="6213">
          <cell r="A6213">
            <v>95950033</v>
          </cell>
          <cell r="B6213" t="str">
            <v>세상의 종업원들_모험</v>
          </cell>
        </row>
        <row r="6214">
          <cell r="A6214">
            <v>95950034</v>
          </cell>
          <cell r="B6214" t="str">
            <v>세상의 종업원들2_모험</v>
          </cell>
        </row>
        <row r="6215">
          <cell r="A6215">
            <v>95950035</v>
          </cell>
          <cell r="B6215" t="str">
            <v>세상의 종업원들3_모험</v>
          </cell>
        </row>
        <row r="6216">
          <cell r="A6216">
            <v>95950036</v>
          </cell>
          <cell r="B6216" t="str">
            <v>세상의 종업원들4_모험</v>
          </cell>
        </row>
        <row r="6217">
          <cell r="A6217">
            <v>95950037</v>
          </cell>
          <cell r="B6217" t="str">
            <v>신입 은행원의 고충_전투</v>
          </cell>
        </row>
        <row r="6218">
          <cell r="A6218">
            <v>95950038</v>
          </cell>
          <cell r="B6218" t="str">
            <v>한 아이의 마지막_모험</v>
          </cell>
        </row>
        <row r="6219">
          <cell r="A6219">
            <v>95950039</v>
          </cell>
          <cell r="B6219" t="str">
            <v>후퇴를 모르는 자_전투</v>
          </cell>
        </row>
        <row r="6220">
          <cell r="A6220">
            <v>95950040</v>
          </cell>
          <cell r="B6220" t="str">
            <v>납치된 종업원_전투</v>
          </cell>
        </row>
        <row r="6221">
          <cell r="A6221">
            <v>95950041</v>
          </cell>
          <cell r="B6221" t="str">
            <v>빚쟁이 해적의 구직</v>
          </cell>
        </row>
        <row r="6222">
          <cell r="A6222">
            <v>95950042</v>
          </cell>
          <cell r="B6222" t="str">
            <v>출시2차_핫타임_월1</v>
          </cell>
        </row>
        <row r="6223">
          <cell r="A6223">
            <v>95950043</v>
          </cell>
          <cell r="B6223" t="str">
            <v>출시2차_핫타임_월2</v>
          </cell>
        </row>
        <row r="6224">
          <cell r="A6224">
            <v>95950044</v>
          </cell>
          <cell r="B6224" t="str">
            <v>출시2차_핫타임_월3</v>
          </cell>
        </row>
        <row r="6225">
          <cell r="A6225">
            <v>95950045</v>
          </cell>
          <cell r="B6225" t="str">
            <v>출시2차_핫타임_월4</v>
          </cell>
        </row>
        <row r="6226">
          <cell r="A6226">
            <v>95950046</v>
          </cell>
          <cell r="B6226" t="str">
            <v>출시2차_핫타임_화1</v>
          </cell>
        </row>
        <row r="6227">
          <cell r="A6227">
            <v>95950047</v>
          </cell>
          <cell r="B6227" t="str">
            <v>출시2차_핫타임_화2</v>
          </cell>
        </row>
        <row r="6228">
          <cell r="A6228">
            <v>95950048</v>
          </cell>
          <cell r="B6228" t="str">
            <v>출시2차_핫타임_화3</v>
          </cell>
        </row>
        <row r="6229">
          <cell r="A6229">
            <v>95950049</v>
          </cell>
          <cell r="B6229" t="str">
            <v>출시2차_핫타임_화4</v>
          </cell>
        </row>
        <row r="6230">
          <cell r="A6230">
            <v>95950050</v>
          </cell>
          <cell r="B6230" t="str">
            <v>출시2차_핫타임_수1</v>
          </cell>
        </row>
        <row r="6231">
          <cell r="A6231">
            <v>95950051</v>
          </cell>
          <cell r="B6231" t="str">
            <v>출시2차_핫타임_수2</v>
          </cell>
        </row>
        <row r="6232">
          <cell r="A6232">
            <v>95950052</v>
          </cell>
          <cell r="B6232" t="str">
            <v>출시2차_핫타임_수3</v>
          </cell>
        </row>
        <row r="6233">
          <cell r="A6233">
            <v>95950053</v>
          </cell>
          <cell r="B6233" t="str">
            <v>출시2차_핫타임_수4</v>
          </cell>
        </row>
        <row r="6234">
          <cell r="A6234">
            <v>95950054</v>
          </cell>
          <cell r="B6234" t="str">
            <v>출시2차_핫타임_목1</v>
          </cell>
        </row>
        <row r="6235">
          <cell r="A6235">
            <v>95950055</v>
          </cell>
          <cell r="B6235" t="str">
            <v>출시2차_핫타임_목2</v>
          </cell>
        </row>
        <row r="6236">
          <cell r="A6236">
            <v>95950056</v>
          </cell>
          <cell r="B6236" t="str">
            <v>출시2차_핫타임_목3</v>
          </cell>
        </row>
        <row r="6237">
          <cell r="A6237">
            <v>95950057</v>
          </cell>
          <cell r="B6237" t="str">
            <v>출시2차_핫타임_목4</v>
          </cell>
        </row>
        <row r="6238">
          <cell r="A6238">
            <v>95950058</v>
          </cell>
          <cell r="B6238" t="str">
            <v>출시2차_핫타임_금1</v>
          </cell>
        </row>
        <row r="6239">
          <cell r="A6239">
            <v>95950059</v>
          </cell>
          <cell r="B6239" t="str">
            <v>출시2차_핫타임_금2</v>
          </cell>
        </row>
        <row r="6240">
          <cell r="A6240">
            <v>95950060</v>
          </cell>
          <cell r="B6240" t="str">
            <v>출시2차_핫타임_금3</v>
          </cell>
        </row>
        <row r="6241">
          <cell r="A6241">
            <v>95950061</v>
          </cell>
          <cell r="B6241" t="str">
            <v>출시2차_핫타임_금4</v>
          </cell>
        </row>
        <row r="6242">
          <cell r="A6242">
            <v>95950062</v>
          </cell>
          <cell r="B6242" t="str">
            <v>출시2차_핫타임_토1</v>
          </cell>
        </row>
        <row r="6243">
          <cell r="A6243">
            <v>95950063</v>
          </cell>
          <cell r="B6243" t="str">
            <v>출시2차_핫타임_토2</v>
          </cell>
        </row>
        <row r="6244">
          <cell r="A6244">
            <v>95950064</v>
          </cell>
          <cell r="B6244" t="str">
            <v>출시2차_핫타임_토3</v>
          </cell>
        </row>
        <row r="6245">
          <cell r="A6245">
            <v>95950065</v>
          </cell>
          <cell r="B6245" t="str">
            <v>출시2차_핫타임_토4</v>
          </cell>
        </row>
        <row r="6246">
          <cell r="A6246">
            <v>95950066</v>
          </cell>
          <cell r="B6246" t="str">
            <v>출시2차_핫타임_일1</v>
          </cell>
        </row>
        <row r="6247">
          <cell r="A6247">
            <v>95950067</v>
          </cell>
          <cell r="B6247" t="str">
            <v>출시2차_핫타임_일2</v>
          </cell>
        </row>
        <row r="6248">
          <cell r="A6248">
            <v>95950068</v>
          </cell>
          <cell r="B6248" t="str">
            <v>출시2차_핫타임_일3</v>
          </cell>
        </row>
        <row r="6249">
          <cell r="A6249">
            <v>95950069</v>
          </cell>
          <cell r="B6249" t="str">
            <v>출시2차_핫타임_일4</v>
          </cell>
        </row>
        <row r="6250">
          <cell r="A6250">
            <v>95950070</v>
          </cell>
          <cell r="B6250" t="str">
            <v>보석 수집가_교역</v>
          </cell>
        </row>
        <row r="6251">
          <cell r="A6251">
            <v>95950071</v>
          </cell>
          <cell r="B6251" t="str">
            <v>빚쟁이 해적의 취직_모험</v>
          </cell>
        </row>
        <row r="6252">
          <cell r="A6252">
            <v>95950072</v>
          </cell>
          <cell r="B6252" t="str">
            <v>은행원의 자랑_전투</v>
          </cell>
        </row>
        <row r="6253">
          <cell r="A6253">
            <v>95960000</v>
          </cell>
          <cell r="B6253" t="str">
            <v>[2022 추석][메인] 동방에서 찾아온 소식</v>
          </cell>
        </row>
        <row r="6254">
          <cell r="A6254">
            <v>95960001</v>
          </cell>
          <cell r="B6254" t="str">
            <v>[2022 추석][메인] 반달 모양의 음식</v>
          </cell>
        </row>
        <row r="6255">
          <cell r="A6255">
            <v>95960002</v>
          </cell>
          <cell r="B6255" t="str">
            <v>[2022 추석][메인] 보름달에 소원을</v>
          </cell>
        </row>
        <row r="6256">
          <cell r="A6256">
            <v>95960003</v>
          </cell>
          <cell r="B6256" t="str">
            <v>[2022 추석][양산] 복주머니 탐색</v>
          </cell>
        </row>
        <row r="6257">
          <cell r="A6257">
            <v>95960004</v>
          </cell>
          <cell r="B6257" t="str">
            <v>[2022 추석][양산] 소문을 찾아서</v>
          </cell>
        </row>
        <row r="6258">
          <cell r="A6258">
            <v>95960005</v>
          </cell>
          <cell r="B6258" t="str">
            <v>[2022 추석][양산] 송편 유행의 선두주자</v>
          </cell>
        </row>
        <row r="6259">
          <cell r="A6259">
            <v>95960006</v>
          </cell>
          <cell r="B6259" t="str">
            <v>[2022 추석][양산] 등가교환</v>
          </cell>
        </row>
        <row r="6260">
          <cell r="A6260">
            <v>95960007</v>
          </cell>
          <cell r="B6260" t="str">
            <v>[2022 추석][양산] 도둑 찾아라!</v>
          </cell>
        </row>
        <row r="6261">
          <cell r="A6261">
            <v>95960008</v>
          </cell>
          <cell r="B6261" t="str">
            <v>[2022 추석][양산] 복주머니 약탈?</v>
          </cell>
        </row>
        <row r="6262">
          <cell r="A6262">
            <v>95960009</v>
          </cell>
          <cell r="B6262" t="str">
            <v>[2022 추석][양산] 혹시 이 안에….</v>
          </cell>
        </row>
        <row r="6263">
          <cell r="A6263">
            <v>95960010</v>
          </cell>
          <cell r="B6263" t="str">
            <v>[2022 추석][양산] 노동의 대가</v>
          </cell>
        </row>
        <row r="6264">
          <cell r="A6264">
            <v>95960011</v>
          </cell>
          <cell r="B6264" t="str">
            <v>[2022 추석][양산] 정정당당 승부!</v>
          </cell>
        </row>
        <row r="6265">
          <cell r="A6265">
            <v>95970000</v>
          </cell>
          <cell r="B6265" t="str">
            <v>출시3차_출석1일</v>
          </cell>
        </row>
        <row r="6266">
          <cell r="A6266">
            <v>95970001</v>
          </cell>
          <cell r="B6266" t="str">
            <v>출시3차_출석2일</v>
          </cell>
        </row>
        <row r="6267">
          <cell r="A6267">
            <v>95970002</v>
          </cell>
          <cell r="B6267" t="str">
            <v>출시3차_출석3일</v>
          </cell>
        </row>
        <row r="6268">
          <cell r="A6268">
            <v>95970003</v>
          </cell>
          <cell r="B6268" t="str">
            <v>출시3차_출석4일</v>
          </cell>
        </row>
        <row r="6269">
          <cell r="A6269">
            <v>95970004</v>
          </cell>
          <cell r="B6269" t="str">
            <v>출시3차_출석5일</v>
          </cell>
        </row>
        <row r="6270">
          <cell r="A6270">
            <v>95970005</v>
          </cell>
          <cell r="B6270" t="str">
            <v>출시3차_출석6일</v>
          </cell>
        </row>
        <row r="6271">
          <cell r="A6271">
            <v>95970006</v>
          </cell>
          <cell r="B6271" t="str">
            <v>출시3차_출석7일</v>
          </cell>
        </row>
        <row r="6272">
          <cell r="A6272">
            <v>95970007</v>
          </cell>
          <cell r="B6272" t="str">
            <v>출시3차_출석8일</v>
          </cell>
        </row>
        <row r="6273">
          <cell r="A6273">
            <v>95970008</v>
          </cell>
          <cell r="B6273" t="str">
            <v>출시3차_출석9일</v>
          </cell>
        </row>
        <row r="6274">
          <cell r="A6274">
            <v>95970009</v>
          </cell>
          <cell r="B6274" t="str">
            <v>출시3차_출석10일</v>
          </cell>
        </row>
        <row r="6275">
          <cell r="A6275">
            <v>95970010</v>
          </cell>
          <cell r="B6275" t="str">
            <v>출시3차_출석11일</v>
          </cell>
        </row>
        <row r="6276">
          <cell r="A6276">
            <v>95970011</v>
          </cell>
          <cell r="B6276" t="str">
            <v>출시3차_출석12일</v>
          </cell>
        </row>
        <row r="6277">
          <cell r="A6277">
            <v>95970012</v>
          </cell>
          <cell r="B6277" t="str">
            <v>출시3차_출석13일</v>
          </cell>
        </row>
        <row r="6278">
          <cell r="A6278">
            <v>95970013</v>
          </cell>
          <cell r="B6278" t="str">
            <v>출시3차_출석14일</v>
          </cell>
        </row>
        <row r="6279">
          <cell r="A6279">
            <v>95970014</v>
          </cell>
          <cell r="B6279" t="str">
            <v>출시3차_출석15일</v>
          </cell>
        </row>
        <row r="6280">
          <cell r="A6280">
            <v>95970015</v>
          </cell>
          <cell r="B6280" t="str">
            <v>출시3차_출석16일</v>
          </cell>
        </row>
        <row r="6281">
          <cell r="A6281">
            <v>95970016</v>
          </cell>
          <cell r="B6281" t="str">
            <v>출시3차_출석17일</v>
          </cell>
        </row>
        <row r="6282">
          <cell r="A6282">
            <v>95970017</v>
          </cell>
          <cell r="B6282" t="str">
            <v>출시3차_출석18일</v>
          </cell>
        </row>
        <row r="6283">
          <cell r="A6283">
            <v>95970018</v>
          </cell>
          <cell r="B6283" t="str">
            <v>출시3차_출석19일</v>
          </cell>
        </row>
        <row r="6284">
          <cell r="A6284">
            <v>95970019</v>
          </cell>
          <cell r="B6284" t="str">
            <v>출시3차_출석20일</v>
          </cell>
        </row>
        <row r="6285">
          <cell r="A6285">
            <v>95970020</v>
          </cell>
          <cell r="B6285" t="str">
            <v>출시3차_출석21일</v>
          </cell>
        </row>
        <row r="6286">
          <cell r="A6286">
            <v>95970021</v>
          </cell>
          <cell r="B6286" t="str">
            <v>출시3차_출석22일</v>
          </cell>
        </row>
        <row r="6287">
          <cell r="A6287">
            <v>95970022</v>
          </cell>
          <cell r="B6287" t="str">
            <v>출시3차_출석23일</v>
          </cell>
        </row>
        <row r="6288">
          <cell r="A6288">
            <v>95970023</v>
          </cell>
          <cell r="B6288" t="str">
            <v>출시3차_출석24일</v>
          </cell>
        </row>
        <row r="6289">
          <cell r="A6289">
            <v>95970024</v>
          </cell>
          <cell r="B6289" t="str">
            <v>출시3차_출석25일</v>
          </cell>
        </row>
        <row r="6290">
          <cell r="A6290">
            <v>95970025</v>
          </cell>
          <cell r="B6290" t="str">
            <v>출시3차_출석26일</v>
          </cell>
        </row>
        <row r="6291">
          <cell r="A6291">
            <v>95970026</v>
          </cell>
          <cell r="B6291" t="str">
            <v>출시3차_출석27일</v>
          </cell>
        </row>
        <row r="6292">
          <cell r="A6292">
            <v>95970027</v>
          </cell>
          <cell r="B6292" t="str">
            <v>출시3차_출석28일</v>
          </cell>
        </row>
        <row r="6293">
          <cell r="A6293">
            <v>95970028</v>
          </cell>
          <cell r="B6293" t="str">
            <v>출시3차_출석29일</v>
          </cell>
        </row>
        <row r="6294">
          <cell r="A6294">
            <v>95970029</v>
          </cell>
          <cell r="B6294" t="str">
            <v>출시3차_출석30일</v>
          </cell>
        </row>
        <row r="6295">
          <cell r="A6295">
            <v>95970030</v>
          </cell>
          <cell r="B6295" t="str">
            <v>출시3차_출석31일</v>
          </cell>
        </row>
        <row r="6296">
          <cell r="A6296">
            <v>95980000</v>
          </cell>
          <cell r="B6296" t="str">
            <v>신규 출석1일_221123</v>
          </cell>
        </row>
        <row r="6297">
          <cell r="A6297">
            <v>95980001</v>
          </cell>
          <cell r="B6297" t="str">
            <v>신규 출석2일_221123</v>
          </cell>
        </row>
        <row r="6298">
          <cell r="A6298">
            <v>95980002</v>
          </cell>
          <cell r="B6298" t="str">
            <v>신규 출석3일_221123</v>
          </cell>
        </row>
        <row r="6299">
          <cell r="A6299">
            <v>95980003</v>
          </cell>
          <cell r="B6299" t="str">
            <v>신규 출석4일_221123</v>
          </cell>
        </row>
        <row r="6300">
          <cell r="A6300">
            <v>95980004</v>
          </cell>
          <cell r="B6300" t="str">
            <v>신규 출석5일_221123</v>
          </cell>
        </row>
        <row r="6301">
          <cell r="A6301">
            <v>95980005</v>
          </cell>
          <cell r="B6301" t="str">
            <v>신규 출석6일_221123</v>
          </cell>
        </row>
        <row r="6302">
          <cell r="A6302">
            <v>95980006</v>
          </cell>
          <cell r="B6302" t="str">
            <v>신규 출석7일_221123</v>
          </cell>
        </row>
        <row r="6303">
          <cell r="A6303">
            <v>95980007</v>
          </cell>
          <cell r="B6303" t="str">
            <v>신규 출석8일_221123</v>
          </cell>
        </row>
        <row r="6304">
          <cell r="A6304">
            <v>95980008</v>
          </cell>
          <cell r="B6304" t="str">
            <v>신규 출석9일_221123</v>
          </cell>
        </row>
        <row r="6305">
          <cell r="A6305">
            <v>95980009</v>
          </cell>
          <cell r="B6305" t="str">
            <v>신규 출석10일_221123</v>
          </cell>
        </row>
        <row r="6306">
          <cell r="A6306">
            <v>95980010</v>
          </cell>
          <cell r="B6306" t="str">
            <v>신규 출석11일_221123</v>
          </cell>
        </row>
        <row r="6307">
          <cell r="A6307">
            <v>95980011</v>
          </cell>
          <cell r="B6307" t="str">
            <v>신규 출석12일_221123</v>
          </cell>
        </row>
        <row r="6308">
          <cell r="A6308">
            <v>95980012</v>
          </cell>
          <cell r="B6308" t="str">
            <v>신규 출석13일_221123</v>
          </cell>
        </row>
        <row r="6309">
          <cell r="A6309">
            <v>95980013</v>
          </cell>
          <cell r="B6309" t="str">
            <v>신규 출석14일_221123</v>
          </cell>
        </row>
        <row r="6310">
          <cell r="A6310">
            <v>95990000</v>
          </cell>
          <cell r="B6310" t="str">
            <v>복귀 출석1일_221123</v>
          </cell>
        </row>
        <row r="6311">
          <cell r="A6311">
            <v>95990001</v>
          </cell>
          <cell r="B6311" t="str">
            <v>복귀 출석2일_221123</v>
          </cell>
        </row>
        <row r="6312">
          <cell r="A6312">
            <v>95990002</v>
          </cell>
          <cell r="B6312" t="str">
            <v>복귀 출석3일_221123</v>
          </cell>
        </row>
        <row r="6313">
          <cell r="A6313">
            <v>95990003</v>
          </cell>
          <cell r="B6313" t="str">
            <v>복귀 출석4일_221123</v>
          </cell>
        </row>
        <row r="6314">
          <cell r="A6314">
            <v>95990004</v>
          </cell>
          <cell r="B6314" t="str">
            <v>복귀 출석5일_221123</v>
          </cell>
        </row>
        <row r="6315">
          <cell r="A6315">
            <v>95990005</v>
          </cell>
          <cell r="B6315" t="str">
            <v>복귀 출석6일_221123</v>
          </cell>
        </row>
        <row r="6316">
          <cell r="A6316">
            <v>95990006</v>
          </cell>
          <cell r="B6316" t="str">
            <v>복귀 출석7일_221123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1">
          <cell r="A1" t="str">
            <v>id</v>
          </cell>
        </row>
        <row r="2">
          <cell r="A2" t="str">
            <v>key:23000000~23999999</v>
          </cell>
        </row>
        <row r="3">
          <cell r="A3" t="str">
            <v>:required</v>
          </cell>
        </row>
        <row r="4">
          <cell r="A4" t="str">
            <v>:min</v>
          </cell>
        </row>
        <row r="5">
          <cell r="A5" t="str">
            <v>:max</v>
          </cell>
        </row>
        <row r="6">
          <cell r="A6" t="str">
            <v>:enum</v>
          </cell>
        </row>
        <row r="7">
          <cell r="A7" t="str">
            <v>:links</v>
          </cell>
        </row>
        <row r="8">
          <cell r="A8">
            <v>23000001</v>
          </cell>
          <cell r="B8" t="str">
            <v>쥐약</v>
          </cell>
        </row>
        <row r="9">
          <cell r="A9">
            <v>23000002</v>
          </cell>
          <cell r="B9" t="str">
            <v>청소 도구</v>
          </cell>
        </row>
        <row r="10">
          <cell r="A10">
            <v>23000003</v>
          </cell>
          <cell r="B10" t="str">
            <v>소화 모래</v>
          </cell>
        </row>
        <row r="11">
          <cell r="A11">
            <v>23000004</v>
          </cell>
          <cell r="B11" t="str">
            <v>통</v>
          </cell>
        </row>
        <row r="12">
          <cell r="A12">
            <v>23000005</v>
          </cell>
          <cell r="B12" t="str">
            <v>라임 주스</v>
          </cell>
        </row>
        <row r="13">
          <cell r="A13">
            <v>23000006</v>
          </cell>
          <cell r="B13" t="str">
            <v>술통</v>
          </cell>
        </row>
        <row r="14">
          <cell r="A14">
            <v>23000007</v>
          </cell>
          <cell r="B14" t="str">
            <v>전염병 치료제</v>
          </cell>
        </row>
        <row r="15">
          <cell r="A15">
            <v>23000008</v>
          </cell>
          <cell r="B15" t="str">
            <v>귀마개</v>
          </cell>
        </row>
        <row r="16">
          <cell r="A16">
            <v>23000009</v>
          </cell>
          <cell r="B16" t="str">
            <v>예비 돛</v>
          </cell>
        </row>
        <row r="17">
          <cell r="A17">
            <v>23000010</v>
          </cell>
          <cell r="B17" t="str">
            <v>예비 키</v>
          </cell>
        </row>
        <row r="18">
          <cell r="A18">
            <v>23000011</v>
          </cell>
          <cell r="B18" t="str">
            <v>징벌의 밧줄</v>
          </cell>
        </row>
        <row r="19">
          <cell r="A19">
            <v>23000012</v>
          </cell>
          <cell r="B19" t="str">
            <v>해먹</v>
          </cell>
        </row>
        <row r="20">
          <cell r="A20">
            <v>23000013</v>
          </cell>
          <cell r="B20" t="str">
            <v>망향의 카리욘벨</v>
          </cell>
        </row>
        <row r="21">
          <cell r="A21">
            <v>23000014</v>
          </cell>
          <cell r="B21" t="str">
            <v>뱃노래 악보</v>
          </cell>
        </row>
        <row r="22">
          <cell r="A22">
            <v>23000025</v>
          </cell>
          <cell r="B22" t="str">
            <v>긴낫</v>
          </cell>
        </row>
        <row r="23">
          <cell r="A23">
            <v>23000028</v>
          </cell>
          <cell r="B23" t="str">
            <v>성스러운 향유</v>
          </cell>
        </row>
        <row r="24">
          <cell r="A24">
            <v>23000029</v>
          </cell>
          <cell r="B24" t="str">
            <v>해신의 부적</v>
          </cell>
        </row>
        <row r="25">
          <cell r="A25">
            <v>23000031</v>
          </cell>
          <cell r="B25" t="str">
            <v>풍신의 콩</v>
          </cell>
        </row>
        <row r="26">
          <cell r="A26">
            <v>23000032</v>
          </cell>
          <cell r="B26" t="str">
            <v>간이 나침반</v>
          </cell>
        </row>
        <row r="27">
          <cell r="A27">
            <v>23000033</v>
          </cell>
          <cell r="B27" t="str">
            <v>허수아비</v>
          </cell>
        </row>
        <row r="28">
          <cell r="A28">
            <v>23000038</v>
          </cell>
          <cell r="B28" t="str">
            <v>보온 도구</v>
          </cell>
        </row>
        <row r="29">
          <cell r="A29">
            <v>23100001</v>
          </cell>
          <cell r="B29" t="str">
            <v>세안약</v>
          </cell>
        </row>
        <row r="30">
          <cell r="A30">
            <v>23100004</v>
          </cell>
          <cell r="B30" t="str">
            <v>톱</v>
          </cell>
        </row>
        <row r="31">
          <cell r="A31">
            <v>23100009</v>
          </cell>
          <cell r="B31" t="str">
            <v>소화 세사</v>
          </cell>
        </row>
        <row r="32">
          <cell r="A32">
            <v>23100011</v>
          </cell>
          <cell r="B32" t="str">
            <v>협상 문서</v>
          </cell>
        </row>
        <row r="33">
          <cell r="A33">
            <v>23100012</v>
          </cell>
          <cell r="B33" t="str">
            <v>초선</v>
          </cell>
        </row>
        <row r="34">
          <cell r="A34">
            <v>23100016</v>
          </cell>
          <cell r="B34" t="str">
            <v>산삼</v>
          </cell>
        </row>
        <row r="35">
          <cell r="A35">
            <v>23100020</v>
          </cell>
          <cell r="B35" t="str">
            <v>간이 공구</v>
          </cell>
        </row>
        <row r="36">
          <cell r="A36">
            <v>23100021</v>
          </cell>
          <cell r="B36" t="str">
            <v>초급 공구</v>
          </cell>
        </row>
        <row r="37">
          <cell r="A37">
            <v>23100022</v>
          </cell>
          <cell r="B37" t="str">
            <v>중급 공구</v>
          </cell>
        </row>
        <row r="38">
          <cell r="A38">
            <v>23100023</v>
          </cell>
          <cell r="B38" t="str">
            <v>고급 공구</v>
          </cell>
        </row>
        <row r="39">
          <cell r="A39">
            <v>23100024</v>
          </cell>
          <cell r="B39" t="str">
            <v>명품 공구</v>
          </cell>
        </row>
        <row r="40">
          <cell r="A40">
            <v>23100025</v>
          </cell>
          <cell r="B40" t="str">
            <v>간이 구급함</v>
          </cell>
        </row>
        <row r="41">
          <cell r="A41">
            <v>23100026</v>
          </cell>
          <cell r="B41" t="str">
            <v>초급 구급함</v>
          </cell>
        </row>
        <row r="42">
          <cell r="A42">
            <v>23100027</v>
          </cell>
          <cell r="B42" t="str">
            <v>중급 구급함</v>
          </cell>
        </row>
        <row r="43">
          <cell r="A43">
            <v>23100028</v>
          </cell>
          <cell r="B43" t="str">
            <v>고급 구급함</v>
          </cell>
        </row>
        <row r="44">
          <cell r="A44">
            <v>23100029</v>
          </cell>
          <cell r="B44" t="str">
            <v>명품 구급함</v>
          </cell>
        </row>
        <row r="45">
          <cell r="A45">
            <v>23100030</v>
          </cell>
          <cell r="B45" t="str">
            <v>일기도</v>
          </cell>
        </row>
        <row r="46">
          <cell r="A46">
            <v>23100031</v>
          </cell>
          <cell r="B46" t="str">
            <v>천청 일기도</v>
          </cell>
        </row>
        <row r="47">
          <cell r="A47">
            <v>23100032</v>
          </cell>
          <cell r="B47" t="str">
            <v>강우 일기도</v>
          </cell>
        </row>
        <row r="48">
          <cell r="A48">
            <v>23100033</v>
          </cell>
          <cell r="B48" t="str">
            <v>폭우 일기도</v>
          </cell>
        </row>
        <row r="49">
          <cell r="A49">
            <v>23100034</v>
          </cell>
          <cell r="B49" t="str">
            <v>강설 일기도</v>
          </cell>
        </row>
        <row r="50">
          <cell r="A50">
            <v>23100035</v>
          </cell>
          <cell r="B50" t="str">
            <v>폭설 일기도</v>
          </cell>
        </row>
        <row r="51">
          <cell r="A51">
            <v>23100037</v>
          </cell>
          <cell r="B51" t="str">
            <v>정북 풍속도</v>
          </cell>
        </row>
        <row r="52">
          <cell r="A52">
            <v>23100038</v>
          </cell>
          <cell r="B52" t="str">
            <v>북동 풍속도</v>
          </cell>
        </row>
        <row r="53">
          <cell r="A53">
            <v>23100039</v>
          </cell>
          <cell r="B53" t="str">
            <v>남동 풍속도</v>
          </cell>
        </row>
        <row r="54">
          <cell r="A54">
            <v>23100040</v>
          </cell>
          <cell r="B54" t="str">
            <v>정남 풍속도</v>
          </cell>
        </row>
        <row r="55">
          <cell r="A55">
            <v>23100041</v>
          </cell>
          <cell r="B55" t="str">
            <v>남서 풍속도</v>
          </cell>
        </row>
        <row r="56">
          <cell r="A56">
            <v>23100042</v>
          </cell>
          <cell r="B56" t="str">
            <v>북서 풍속도</v>
          </cell>
        </row>
        <row r="57">
          <cell r="A57">
            <v>23100043</v>
          </cell>
          <cell r="B57" t="str">
            <v>파고도</v>
          </cell>
        </row>
        <row r="58">
          <cell r="A58">
            <v>23100044</v>
          </cell>
          <cell r="B58" t="str">
            <v>해류도</v>
          </cell>
        </row>
        <row r="59">
          <cell r="A59">
            <v>23100045</v>
          </cell>
          <cell r="B59" t="str">
            <v>마황액</v>
          </cell>
        </row>
        <row r="60">
          <cell r="A60">
            <v>23100046</v>
          </cell>
          <cell r="B60" t="str">
            <v>마황탕</v>
          </cell>
        </row>
        <row r="61">
          <cell r="A61">
            <v>23100047</v>
          </cell>
          <cell r="B61" t="str">
            <v>마행감석탕</v>
          </cell>
        </row>
        <row r="62">
          <cell r="A62">
            <v>23100048</v>
          </cell>
          <cell r="B62" t="str">
            <v>선원권리장서</v>
          </cell>
        </row>
        <row r="63">
          <cell r="A63">
            <v>23100049</v>
          </cell>
          <cell r="B63" t="str">
            <v>선상권리장서</v>
          </cell>
        </row>
        <row r="64">
          <cell r="A64">
            <v>23100050</v>
          </cell>
          <cell r="B64" t="str">
            <v>함대권리장서</v>
          </cell>
        </row>
        <row r="65">
          <cell r="A65">
            <v>23100051</v>
          </cell>
          <cell r="B65" t="str">
            <v>제연탄약</v>
          </cell>
        </row>
        <row r="66">
          <cell r="A66">
            <v>23100052</v>
          </cell>
          <cell r="B66" t="str">
            <v>제연탄</v>
          </cell>
        </row>
        <row r="67">
          <cell r="A67">
            <v>23100053</v>
          </cell>
          <cell r="B67" t="str">
            <v>대형 제연탄</v>
          </cell>
        </row>
        <row r="68">
          <cell r="A68">
            <v>23200020</v>
          </cell>
          <cell r="B68" t="str">
            <v>해독제</v>
          </cell>
        </row>
        <row r="69">
          <cell r="A69">
            <v>23200029</v>
          </cell>
          <cell r="B69" t="str">
            <v>뿔 나팔</v>
          </cell>
        </row>
        <row r="70">
          <cell r="A70">
            <v>23300000</v>
          </cell>
          <cell r="B70" t="str">
            <v>병 속에 담긴 편지</v>
          </cell>
        </row>
        <row r="71">
          <cell r="A71">
            <v>23320000</v>
          </cell>
          <cell r="B71" t="str">
            <v>낡은 편지</v>
          </cell>
        </row>
        <row r="72">
          <cell r="A72">
            <v>23320001</v>
          </cell>
          <cell r="B72" t="str">
            <v>초보자의 편지</v>
          </cell>
        </row>
        <row r="73">
          <cell r="A73">
            <v>23320002</v>
          </cell>
          <cell r="B73" t="str">
            <v>중급자의 편지</v>
          </cell>
        </row>
        <row r="74">
          <cell r="A74">
            <v>23320003</v>
          </cell>
          <cell r="B74" t="str">
            <v>상급자의 편지</v>
          </cell>
        </row>
        <row r="75">
          <cell r="A75">
            <v>23320004</v>
          </cell>
          <cell r="B75" t="str">
            <v>특수한 편지</v>
          </cell>
        </row>
        <row r="76">
          <cell r="A76">
            <v>23320005</v>
          </cell>
          <cell r="B76" t="str">
            <v>전설적인 편지</v>
          </cell>
        </row>
        <row r="77">
          <cell r="A77">
            <v>23320006</v>
          </cell>
          <cell r="B77" t="str">
            <v>알려지지 않은 편지</v>
          </cell>
        </row>
        <row r="78">
          <cell r="A78">
            <v>23320007</v>
          </cell>
          <cell r="B78" t="str">
            <v>애호가 협회 전단지</v>
          </cell>
        </row>
        <row r="79">
          <cell r="A79">
            <v>23320008</v>
          </cell>
          <cell r="B79" t="str">
            <v>이름 모를 편지</v>
          </cell>
        </row>
        <row r="80">
          <cell r="A80">
            <v>23320009</v>
          </cell>
          <cell r="B80" t="str">
            <v>현상 수배 지령</v>
          </cell>
        </row>
        <row r="81">
          <cell r="A81">
            <v>23320010</v>
          </cell>
          <cell r="B81" t="str">
            <v>벵겔라로부터 온 편지</v>
          </cell>
        </row>
        <row r="82">
          <cell r="A82">
            <v>23320011</v>
          </cell>
          <cell r="B82" t="str">
            <v>요리사의 편지</v>
          </cell>
        </row>
        <row r="83">
          <cell r="A83">
            <v>23320012</v>
          </cell>
          <cell r="B83" t="str">
            <v>리차드의 편지</v>
          </cell>
        </row>
        <row r="84">
          <cell r="A84">
            <v>23320013</v>
          </cell>
          <cell r="B84" t="str">
            <v>리차드의 두 번째 편지</v>
          </cell>
        </row>
        <row r="85">
          <cell r="A85">
            <v>23320014</v>
          </cell>
          <cell r="B85" t="str">
            <v>리차드의 세 번째 편지</v>
          </cell>
        </row>
        <row r="86">
          <cell r="A86">
            <v>23320015</v>
          </cell>
          <cell r="B86" t="str">
            <v>리차드의 네 번째 편지</v>
          </cell>
        </row>
        <row r="87">
          <cell r="A87">
            <v>23320016</v>
          </cell>
          <cell r="B87" t="str">
            <v>개봉된 편지</v>
          </cell>
        </row>
        <row r="88">
          <cell r="A88">
            <v>23320017</v>
          </cell>
          <cell r="B88" t="str">
            <v>경주 증명서 1번</v>
          </cell>
        </row>
        <row r="89">
          <cell r="A89">
            <v>23320018</v>
          </cell>
          <cell r="B89" t="str">
            <v>경주 증명서 2번</v>
          </cell>
        </row>
        <row r="90">
          <cell r="A90">
            <v>23320019</v>
          </cell>
          <cell r="B90" t="str">
            <v>경주 증명서 3번</v>
          </cell>
        </row>
        <row r="91">
          <cell r="A91">
            <v>23320020</v>
          </cell>
          <cell r="B91" t="str">
            <v>경주 증명서 4번</v>
          </cell>
        </row>
        <row r="92">
          <cell r="A92">
            <v>23320021</v>
          </cell>
          <cell r="B92" t="str">
            <v>반납할 책</v>
          </cell>
        </row>
        <row r="93">
          <cell r="A93">
            <v>23320022</v>
          </cell>
          <cell r="B93" t="str">
            <v>대여한 책</v>
          </cell>
        </row>
        <row r="94">
          <cell r="A94">
            <v>23320023</v>
          </cell>
          <cell r="B94" t="str">
            <v>푸르나마가 받은 보자기</v>
          </cell>
        </row>
        <row r="95">
          <cell r="A95">
            <v>23320024</v>
          </cell>
          <cell r="B95" t="str">
            <v>수라바야의 부적</v>
          </cell>
        </row>
        <row r="96">
          <cell r="A96">
            <v>23320025</v>
          </cell>
          <cell r="B96" t="str">
            <v>서안의 증표</v>
          </cell>
        </row>
        <row r="97">
          <cell r="A97">
            <v>23320026</v>
          </cell>
          <cell r="B97" t="str">
            <v>중경의 증표</v>
          </cell>
        </row>
        <row r="98">
          <cell r="A98">
            <v>23320027</v>
          </cell>
          <cell r="B98" t="str">
            <v>엘레느가 준 포도주</v>
          </cell>
        </row>
        <row r="99">
          <cell r="A99">
            <v>23320028</v>
          </cell>
          <cell r="B99" t="str">
            <v>행운의 고양이</v>
          </cell>
        </row>
        <row r="100">
          <cell r="A100">
            <v>23320029</v>
          </cell>
          <cell r="B100" t="str">
            <v>에밀리아노의 편지</v>
          </cell>
        </row>
        <row r="101">
          <cell r="A101">
            <v>23320030</v>
          </cell>
          <cell r="B101" t="str">
            <v>타마야가 준 편지</v>
          </cell>
        </row>
        <row r="102">
          <cell r="A102">
            <v>23320031</v>
          </cell>
          <cell r="B102" t="str">
            <v>라디아에게 받은 달걀</v>
          </cell>
        </row>
        <row r="103">
          <cell r="A103">
            <v>23320032</v>
          </cell>
          <cell r="B103" t="str">
            <v>폰타델가다의 타임</v>
          </cell>
        </row>
        <row r="104">
          <cell r="A104">
            <v>23320033</v>
          </cell>
          <cell r="B104" t="str">
            <v>아르김의 커피</v>
          </cell>
        </row>
        <row r="105">
          <cell r="A105">
            <v>23320034</v>
          </cell>
          <cell r="B105" t="str">
            <v>에든버러의 양</v>
          </cell>
        </row>
        <row r="106">
          <cell r="A106">
            <v>23320035</v>
          </cell>
          <cell r="B106" t="str">
            <v>매력의 반지</v>
          </cell>
        </row>
        <row r="107">
          <cell r="A107">
            <v>23320036</v>
          </cell>
          <cell r="B107" t="str">
            <v>은비녀</v>
          </cell>
        </row>
        <row r="108">
          <cell r="A108">
            <v>23320037</v>
          </cell>
          <cell r="B108" t="str">
            <v>거래 장부</v>
          </cell>
        </row>
        <row r="109">
          <cell r="A109">
            <v>23320038</v>
          </cell>
          <cell r="B109" t="str">
            <v>말린 대추야자</v>
          </cell>
        </row>
        <row r="110">
          <cell r="A110">
            <v>23320039</v>
          </cell>
          <cell r="B110" t="str">
            <v>여자 옷</v>
          </cell>
        </row>
        <row r="111">
          <cell r="A111">
            <v>23320040</v>
          </cell>
          <cell r="B111" t="str">
            <v>초심자용 에페</v>
          </cell>
        </row>
        <row r="112">
          <cell r="A112">
            <v>23320041</v>
          </cell>
          <cell r="B112" t="str">
            <v>기린 가면</v>
          </cell>
        </row>
        <row r="113">
          <cell r="A113">
            <v>23320042</v>
          </cell>
          <cell r="B113" t="str">
            <v>캘리코 잭 문장 그림</v>
          </cell>
        </row>
        <row r="114">
          <cell r="A114">
            <v>23320043</v>
          </cell>
          <cell r="B114" t="str">
            <v>제주 상단의 신용장</v>
          </cell>
        </row>
        <row r="115">
          <cell r="A115">
            <v>23320044</v>
          </cell>
          <cell r="B115" t="str">
            <v>백자 다완</v>
          </cell>
        </row>
        <row r="116">
          <cell r="A116">
            <v>23320045</v>
          </cell>
          <cell r="B116" t="str">
            <v>보물지도 조각 1</v>
          </cell>
        </row>
        <row r="117">
          <cell r="A117">
            <v>23320046</v>
          </cell>
          <cell r="B117" t="str">
            <v>보물지도 조각 2</v>
          </cell>
        </row>
        <row r="118">
          <cell r="A118">
            <v>23320047</v>
          </cell>
          <cell r="B118" t="str">
            <v>보물지도</v>
          </cell>
        </row>
        <row r="119">
          <cell r="A119">
            <v>23320048</v>
          </cell>
          <cell r="B119" t="str">
            <v>보물창고 열쇠</v>
          </cell>
        </row>
        <row r="120">
          <cell r="A120">
            <v>23320049</v>
          </cell>
          <cell r="B120" t="str">
            <v>깨진 유리세공</v>
          </cell>
        </row>
        <row r="121">
          <cell r="A121">
            <v>23320050</v>
          </cell>
          <cell r="B121" t="str">
            <v>미화의 장신구</v>
          </cell>
        </row>
        <row r="122">
          <cell r="A122">
            <v>23320051</v>
          </cell>
          <cell r="B122" t="str">
            <v>베네치아산 목재</v>
          </cell>
        </row>
        <row r="123">
          <cell r="A123">
            <v>23320052</v>
          </cell>
          <cell r="B123" t="str">
            <v>반쪽짜리 지도</v>
          </cell>
        </row>
        <row r="124">
          <cell r="A124">
            <v>23320053</v>
          </cell>
          <cell r="B124" t="str">
            <v>허브 향초</v>
          </cell>
        </row>
        <row r="125">
          <cell r="A125">
            <v>23320054</v>
          </cell>
          <cell r="B125" t="str">
            <v>미심쩍은 툼바가</v>
          </cell>
        </row>
        <row r="126">
          <cell r="A126">
            <v>23320055</v>
          </cell>
          <cell r="B126" t="str">
            <v>정체 모를 쇠구슬</v>
          </cell>
        </row>
        <row r="127">
          <cell r="A127">
            <v>23320056</v>
          </cell>
          <cell r="B127" t="str">
            <v>리리안의 귀걸이</v>
          </cell>
        </row>
        <row r="128">
          <cell r="A128">
            <v>23320057</v>
          </cell>
          <cell r="B128" t="str">
            <v>리리안의 반지</v>
          </cell>
        </row>
        <row r="129">
          <cell r="A129">
            <v>23320058</v>
          </cell>
          <cell r="B129" t="str">
            <v>리리안의 목걸이</v>
          </cell>
        </row>
        <row r="130">
          <cell r="A130">
            <v>23320059</v>
          </cell>
          <cell r="B130" t="str">
            <v>에스파냐의 기밀 칙명</v>
          </cell>
        </row>
        <row r="131">
          <cell r="A131">
            <v>23320060</v>
          </cell>
          <cell r="B131" t="str">
            <v>런던의 수상한 쪽지</v>
          </cell>
        </row>
        <row r="132">
          <cell r="A132">
            <v>23320061</v>
          </cell>
          <cell r="B132" t="str">
            <v>필럼의 기밀문서</v>
          </cell>
        </row>
        <row r="133">
          <cell r="A133">
            <v>23320062</v>
          </cell>
          <cell r="B133" t="str">
            <v>최상품 은방울꽃</v>
          </cell>
        </row>
        <row r="134">
          <cell r="A134">
            <v>23320063</v>
          </cell>
          <cell r="B134" t="str">
            <v>행운의 라벤더</v>
          </cell>
        </row>
        <row r="135">
          <cell r="A135">
            <v>23320064</v>
          </cell>
          <cell r="B135" t="str">
            <v>귀중한 호박</v>
          </cell>
        </row>
        <row r="136">
          <cell r="A136">
            <v>23320065</v>
          </cell>
          <cell r="B136" t="str">
            <v>켈레벡의 화석</v>
          </cell>
        </row>
        <row r="137">
          <cell r="A137">
            <v>23320066</v>
          </cell>
          <cell r="B137" t="str">
            <v>배달용 올리브</v>
          </cell>
        </row>
        <row r="138">
          <cell r="A138">
            <v>23320067</v>
          </cell>
          <cell r="B138" t="str">
            <v>배달용 피클</v>
          </cell>
        </row>
        <row r="139">
          <cell r="A139">
            <v>23320068</v>
          </cell>
          <cell r="B139" t="str">
            <v>배달용 인쇄물</v>
          </cell>
        </row>
        <row r="140">
          <cell r="A140">
            <v>23320069</v>
          </cell>
          <cell r="B140" t="str">
            <v>지아나에게 줄 조젯</v>
          </cell>
        </row>
        <row r="141">
          <cell r="A141">
            <v>23320070</v>
          </cell>
          <cell r="B141" t="str">
            <v>지아나에게 줄 니시진오리</v>
          </cell>
        </row>
        <row r="142">
          <cell r="A142">
            <v>23320071</v>
          </cell>
          <cell r="B142" t="str">
            <v>엘리프의 편지</v>
          </cell>
        </row>
        <row r="143">
          <cell r="A143">
            <v>23320072</v>
          </cell>
          <cell r="B143" t="str">
            <v>제바히르의 편지</v>
          </cell>
        </row>
        <row r="144">
          <cell r="A144">
            <v>23320073</v>
          </cell>
          <cell r="B144" t="str">
            <v>상자 속의 기록</v>
          </cell>
        </row>
        <row r="145">
          <cell r="A145">
            <v>23320074</v>
          </cell>
          <cell r="B145" t="str">
            <v>낡은 항해일지</v>
          </cell>
        </row>
        <row r="146">
          <cell r="A146">
            <v>23320075</v>
          </cell>
          <cell r="B146" t="str">
            <v>유적의 항해일지</v>
          </cell>
        </row>
        <row r="147">
          <cell r="A147">
            <v>23320076</v>
          </cell>
          <cell r="B147" t="str">
            <v>가은정의 편지</v>
          </cell>
        </row>
        <row r="148">
          <cell r="A148">
            <v>23320077</v>
          </cell>
          <cell r="B148" t="str">
            <v>자령의 술</v>
          </cell>
        </row>
        <row r="149">
          <cell r="A149">
            <v>23320078</v>
          </cell>
          <cell r="B149" t="str">
            <v>교역용 두루마리</v>
          </cell>
        </row>
        <row r="150">
          <cell r="A150">
            <v>23320079</v>
          </cell>
          <cell r="B150" t="str">
            <v>단서가 적힌 두루마리</v>
          </cell>
        </row>
        <row r="151">
          <cell r="A151">
            <v>23320080</v>
          </cell>
          <cell r="B151" t="str">
            <v>항해 증명서</v>
          </cell>
        </row>
        <row r="152">
          <cell r="A152">
            <v>23320081</v>
          </cell>
          <cell r="B152" t="str">
            <v>네이블 총독의 서신</v>
          </cell>
        </row>
        <row r="153">
          <cell r="A153">
            <v>23320082</v>
          </cell>
          <cell r="B153" t="str">
            <v>발라번 2세의 검</v>
          </cell>
        </row>
        <row r="154">
          <cell r="A154">
            <v>23320083</v>
          </cell>
          <cell r="B154" t="str">
            <v>돌로리스가 쓴 동화</v>
          </cell>
        </row>
        <row r="155">
          <cell r="A155">
            <v>23320084</v>
          </cell>
          <cell r="B155" t="str">
            <v>독서모임 초대장</v>
          </cell>
        </row>
        <row r="156">
          <cell r="A156">
            <v>23320085</v>
          </cell>
          <cell r="B156" t="str">
            <v>비밀 암호문</v>
          </cell>
        </row>
        <row r="157">
          <cell r="A157">
            <v>23320086</v>
          </cell>
          <cell r="B157" t="str">
            <v>아난드의 목걸이</v>
          </cell>
        </row>
        <row r="158">
          <cell r="A158">
            <v>23320087</v>
          </cell>
          <cell r="B158" t="str">
            <v>핀자라의 전설</v>
          </cell>
        </row>
        <row r="159">
          <cell r="A159">
            <v>23320088</v>
          </cell>
          <cell r="B159" t="str">
            <v>호바톤의 전설</v>
          </cell>
        </row>
        <row r="160">
          <cell r="A160">
            <v>23320089</v>
          </cell>
          <cell r="B160" t="str">
            <v>주문제작 오팔 반지</v>
          </cell>
        </row>
        <row r="161">
          <cell r="A161">
            <v>23320090</v>
          </cell>
          <cell r="B161" t="str">
            <v>총병관의 서신</v>
          </cell>
        </row>
        <row r="162">
          <cell r="A162">
            <v>23320091</v>
          </cell>
          <cell r="B162" t="str">
            <v>선물용 용정차</v>
          </cell>
        </row>
        <row r="163">
          <cell r="A163">
            <v>23320092</v>
          </cell>
          <cell r="B163" t="str">
            <v>나오미의 그림</v>
          </cell>
        </row>
        <row r="164">
          <cell r="A164">
            <v>23320093</v>
          </cell>
          <cell r="B164" t="str">
            <v>페구산 목재</v>
          </cell>
        </row>
        <row r="165">
          <cell r="A165">
            <v>23320094</v>
          </cell>
          <cell r="B165" t="str">
            <v>버려진 융단</v>
          </cell>
        </row>
        <row r="166">
          <cell r="A166">
            <v>23320095</v>
          </cell>
          <cell r="B166" t="str">
            <v>공연 전단지</v>
          </cell>
        </row>
        <row r="167">
          <cell r="A167">
            <v>23320096</v>
          </cell>
          <cell r="B167" t="str">
            <v>친구의 편지</v>
          </cell>
        </row>
        <row r="168">
          <cell r="A168">
            <v>23320097</v>
          </cell>
          <cell r="B168" t="str">
            <v>청혼 반지</v>
          </cell>
        </row>
        <row r="169">
          <cell r="A169">
            <v>23320098</v>
          </cell>
          <cell r="B169" t="str">
            <v>빚쟁이 해적의 돈</v>
          </cell>
        </row>
        <row r="170">
          <cell r="A170">
            <v>23320099</v>
          </cell>
          <cell r="B170" t="str">
            <v>빚쟁이 해적의 돈2</v>
          </cell>
        </row>
        <row r="171">
          <cell r="A171">
            <v>23320100</v>
          </cell>
          <cell r="B171" t="str">
            <v>빚쟁이 해적의 돈3</v>
          </cell>
        </row>
        <row r="172">
          <cell r="A172">
            <v>23320101</v>
          </cell>
          <cell r="B172" t="str">
            <v>런던 특제 위스키</v>
          </cell>
        </row>
        <row r="173">
          <cell r="A173">
            <v>23320102</v>
          </cell>
          <cell r="B173" t="str">
            <v>암스테르담 특제 진</v>
          </cell>
        </row>
        <row r="174">
          <cell r="A174">
            <v>23320103</v>
          </cell>
          <cell r="B174" t="str">
            <v>함부르크 특제 맥주</v>
          </cell>
        </row>
        <row r="175">
          <cell r="A175">
            <v>23320104</v>
          </cell>
          <cell r="B175" t="str">
            <v>베르겐 특제 아콰비트</v>
          </cell>
        </row>
        <row r="176">
          <cell r="A176">
            <v>23320105</v>
          </cell>
          <cell r="B176" t="str">
            <v>상트페테르부르크 특제 보드카</v>
          </cell>
        </row>
        <row r="177">
          <cell r="A177">
            <v>23320106</v>
          </cell>
          <cell r="B177" t="str">
            <v>칼레 특제 고블랭</v>
          </cell>
        </row>
        <row r="178">
          <cell r="A178">
            <v>23320107</v>
          </cell>
          <cell r="B178" t="str">
            <v>암스테르담 특제 트위드</v>
          </cell>
        </row>
        <row r="179">
          <cell r="A179">
            <v>23320108</v>
          </cell>
          <cell r="B179" t="str">
            <v>상트페테르부르크 특제 펠트</v>
          </cell>
        </row>
        <row r="180">
          <cell r="A180">
            <v>23320109</v>
          </cell>
          <cell r="B180" t="str">
            <v>런던 특제 플란넬</v>
          </cell>
        </row>
        <row r="181">
          <cell r="A181">
            <v>23320110</v>
          </cell>
          <cell r="B181" t="str">
            <v>총독의 서신</v>
          </cell>
        </row>
        <row r="182">
          <cell r="A182">
            <v>23320111</v>
          </cell>
          <cell r="B182" t="str">
            <v>용설란 모종</v>
          </cell>
        </row>
        <row r="183">
          <cell r="A183">
            <v>23320112</v>
          </cell>
          <cell r="B183" t="str">
            <v>특제 푸스틱</v>
          </cell>
        </row>
        <row r="184">
          <cell r="A184">
            <v>23320113</v>
          </cell>
          <cell r="B184" t="str">
            <v>채무자의 돈</v>
          </cell>
        </row>
        <row r="185">
          <cell r="A185">
            <v>23320114</v>
          </cell>
          <cell r="B185" t="str">
            <v>신용 불량자의 돈</v>
          </cell>
        </row>
        <row r="186">
          <cell r="A186">
            <v>23320115</v>
          </cell>
          <cell r="B186" t="str">
            <v>철학자의 돈</v>
          </cell>
        </row>
        <row r="187">
          <cell r="A187">
            <v>23320116</v>
          </cell>
          <cell r="B187" t="str">
            <v>아이의 유골</v>
          </cell>
        </row>
        <row r="188">
          <cell r="A188">
            <v>23320117</v>
          </cell>
          <cell r="B188" t="str">
            <v>아이가 좋아하던 꽃</v>
          </cell>
        </row>
        <row r="189">
          <cell r="A189">
            <v>23320118</v>
          </cell>
          <cell r="B189" t="str">
            <v>마르케스의 서신</v>
          </cell>
        </row>
        <row r="190">
          <cell r="A190">
            <v>23320119</v>
          </cell>
          <cell r="B190" t="str">
            <v>석탄 덩어리</v>
          </cell>
        </row>
        <row r="191">
          <cell r="A191">
            <v>23320120</v>
          </cell>
          <cell r="B191" t="str">
            <v>화승총 견본</v>
          </cell>
        </row>
        <row r="192">
          <cell r="A192">
            <v>23320121</v>
          </cell>
          <cell r="B192" t="str">
            <v>서양 대포 견본</v>
          </cell>
        </row>
        <row r="193">
          <cell r="A193">
            <v>23320122</v>
          </cell>
          <cell r="B193" t="str">
            <v>은 식기 견본</v>
          </cell>
        </row>
        <row r="194">
          <cell r="A194">
            <v>23320123</v>
          </cell>
          <cell r="B194" t="str">
            <v>조작된 서류</v>
          </cell>
        </row>
        <row r="195">
          <cell r="A195">
            <v>23340001</v>
          </cell>
          <cell r="B195" t="str">
            <v>복주머니</v>
          </cell>
        </row>
        <row r="196">
          <cell r="A196">
            <v>23347001</v>
          </cell>
          <cell r="B196" t="str">
            <v>최고급 원단</v>
          </cell>
        </row>
        <row r="197">
          <cell r="A197">
            <v>23347002</v>
          </cell>
          <cell r="B197" t="str">
            <v>고급 원단</v>
          </cell>
        </row>
        <row r="198">
          <cell r="A198">
            <v>23347003</v>
          </cell>
          <cell r="B198" t="str">
            <v>중급 원단</v>
          </cell>
        </row>
        <row r="199">
          <cell r="A199">
            <v>23347004</v>
          </cell>
          <cell r="B199" t="str">
            <v>하급 원단</v>
          </cell>
        </row>
        <row r="200">
          <cell r="A200">
            <v>23347005</v>
          </cell>
          <cell r="B200" t="str">
            <v>최상급 염색약</v>
          </cell>
        </row>
        <row r="201">
          <cell r="A201">
            <v>23347006</v>
          </cell>
          <cell r="B201" t="str">
            <v>상급 염색약</v>
          </cell>
        </row>
        <row r="202">
          <cell r="A202">
            <v>23347007</v>
          </cell>
          <cell r="B202" t="str">
            <v>중급 염색약</v>
          </cell>
        </row>
        <row r="203">
          <cell r="A203">
            <v>23347008</v>
          </cell>
          <cell r="B203" t="str">
            <v>하급 염색약</v>
          </cell>
        </row>
        <row r="204">
          <cell r="A204">
            <v>23347010</v>
          </cell>
          <cell r="B204" t="str">
            <v>해바라기색 염료</v>
          </cell>
        </row>
        <row r="205">
          <cell r="A205">
            <v>23347015</v>
          </cell>
          <cell r="B205" t="str">
            <v>공작석색 염료</v>
          </cell>
        </row>
        <row r="206">
          <cell r="A206">
            <v>23347019</v>
          </cell>
          <cell r="B206" t="str">
            <v>감색 염료</v>
          </cell>
        </row>
        <row r="207">
          <cell r="A207">
            <v>23347026</v>
          </cell>
          <cell r="B207" t="str">
            <v>짙은 보라색 염료</v>
          </cell>
        </row>
        <row r="208">
          <cell r="A208">
            <v>23347027</v>
          </cell>
          <cell r="B208" t="str">
            <v>등적색 염료</v>
          </cell>
        </row>
        <row r="209">
          <cell r="A209">
            <v>23347029</v>
          </cell>
          <cell r="B209" t="str">
            <v>짙은 하늘색 염료</v>
          </cell>
        </row>
        <row r="210">
          <cell r="A210">
            <v>23347030</v>
          </cell>
          <cell r="B210" t="str">
            <v>진한 분홍색 염료</v>
          </cell>
        </row>
        <row r="211">
          <cell r="A211">
            <v>23347034</v>
          </cell>
          <cell r="B211" t="str">
            <v>암적색 염료</v>
          </cell>
        </row>
        <row r="212">
          <cell r="A212">
            <v>23347044</v>
          </cell>
          <cell r="B212" t="str">
            <v>암회색 염료</v>
          </cell>
        </row>
        <row r="213">
          <cell r="A213">
            <v>23347045</v>
          </cell>
          <cell r="B213" t="str">
            <v>검은색 염료</v>
          </cell>
        </row>
        <row r="214">
          <cell r="A214">
            <v>23347048</v>
          </cell>
          <cell r="B214" t="str">
            <v>나무색 염료</v>
          </cell>
        </row>
        <row r="215">
          <cell r="A215">
            <v>23347051</v>
          </cell>
          <cell r="B215" t="str">
            <v>흰 연기색 염료</v>
          </cell>
        </row>
        <row r="216">
          <cell r="A216">
            <v>23347053</v>
          </cell>
          <cell r="B216" t="str">
            <v>박하잎 염료</v>
          </cell>
        </row>
        <row r="217">
          <cell r="A217">
            <v>23347054</v>
          </cell>
          <cell r="B217" t="str">
            <v>레몬색 염료</v>
          </cell>
        </row>
        <row r="218">
          <cell r="A218">
            <v>23347055</v>
          </cell>
          <cell r="B218" t="str">
            <v>호박색 염료</v>
          </cell>
        </row>
        <row r="219">
          <cell r="A219">
            <v>23347061</v>
          </cell>
          <cell r="B219" t="str">
            <v>사막 색 염료</v>
          </cell>
        </row>
        <row r="220">
          <cell r="A220">
            <v>23347072</v>
          </cell>
          <cell r="B220" t="str">
            <v>보라색 염료</v>
          </cell>
        </row>
        <row r="221">
          <cell r="A221">
            <v>23347080</v>
          </cell>
          <cell r="B221" t="str">
            <v>오렌지색 염료</v>
          </cell>
        </row>
        <row r="222">
          <cell r="A222">
            <v>23347089</v>
          </cell>
          <cell r="B222" t="str">
            <v>불색 염료</v>
          </cell>
        </row>
        <row r="223">
          <cell r="A223">
            <v>23347112</v>
          </cell>
          <cell r="B223" t="str">
            <v>회색 염료</v>
          </cell>
        </row>
        <row r="224">
          <cell r="A224">
            <v>23347118</v>
          </cell>
          <cell r="B224" t="str">
            <v>붉은 오렌지색 염료</v>
          </cell>
        </row>
        <row r="225">
          <cell r="A225">
            <v>23347167</v>
          </cell>
          <cell r="B225" t="str">
            <v>복숭아색 염료</v>
          </cell>
        </row>
        <row r="226">
          <cell r="A226">
            <v>23347168</v>
          </cell>
          <cell r="B226" t="str">
            <v>연보라색 염료</v>
          </cell>
        </row>
        <row r="227">
          <cell r="A227">
            <v>23347169</v>
          </cell>
          <cell r="B227" t="str">
            <v>담자색 염료</v>
          </cell>
        </row>
        <row r="228">
          <cell r="A228">
            <v>23347172</v>
          </cell>
          <cell r="B228" t="str">
            <v>초콜릿색 염료</v>
          </cell>
        </row>
        <row r="229">
          <cell r="A229">
            <v>23347174</v>
          </cell>
          <cell r="B229" t="str">
            <v>녹차색 염료</v>
          </cell>
        </row>
        <row r="230">
          <cell r="A230">
            <v>23347175</v>
          </cell>
          <cell r="B230" t="str">
            <v>청옥색 염료</v>
          </cell>
        </row>
        <row r="231">
          <cell r="A231">
            <v>23347204</v>
          </cell>
          <cell r="B231" t="str">
            <v>노른자색 염료</v>
          </cell>
        </row>
        <row r="232">
          <cell r="A232">
            <v>23347206</v>
          </cell>
          <cell r="B232" t="str">
            <v>짙은 회색 염료</v>
          </cell>
        </row>
        <row r="233">
          <cell r="A233">
            <v>23347216</v>
          </cell>
          <cell r="B233" t="str">
            <v>연어색 염료</v>
          </cell>
        </row>
        <row r="234">
          <cell r="A234">
            <v>23347221</v>
          </cell>
          <cell r="B234" t="str">
            <v>에메랄드색 염료</v>
          </cell>
        </row>
        <row r="235">
          <cell r="A235">
            <v>23347229</v>
          </cell>
          <cell r="B235" t="str">
            <v>카민 색 염료</v>
          </cell>
        </row>
        <row r="236">
          <cell r="A236">
            <v>23347236</v>
          </cell>
          <cell r="B236" t="str">
            <v>탁한 감색 염료</v>
          </cell>
        </row>
        <row r="237">
          <cell r="A237">
            <v>23347258</v>
          </cell>
          <cell r="B237" t="str">
            <v>밝은 회색 염료</v>
          </cell>
        </row>
        <row r="238">
          <cell r="A238">
            <v>23347261</v>
          </cell>
          <cell r="B238" t="str">
            <v>금색 염료</v>
          </cell>
        </row>
        <row r="239">
          <cell r="A239">
            <v>23347270</v>
          </cell>
          <cell r="B239" t="str">
            <v>황녹색 염료</v>
          </cell>
        </row>
        <row r="240">
          <cell r="A240">
            <v>23347271</v>
          </cell>
          <cell r="B240" t="str">
            <v>너도밤나무 잎색 염료</v>
          </cell>
        </row>
        <row r="241">
          <cell r="A241">
            <v>23347324</v>
          </cell>
          <cell r="B241" t="str">
            <v>어두운 장미색 염료</v>
          </cell>
        </row>
        <row r="242">
          <cell r="A242">
            <v>23347332</v>
          </cell>
          <cell r="B242" t="str">
            <v>탁한 청색 염료</v>
          </cell>
        </row>
        <row r="243">
          <cell r="A243">
            <v>23347622</v>
          </cell>
          <cell r="B243" t="str">
            <v>짙은 암청색 염료</v>
          </cell>
        </row>
        <row r="244">
          <cell r="A244">
            <v>23348000</v>
          </cell>
          <cell r="B244" t="str">
            <v>가을의 금문장 도안</v>
          </cell>
        </row>
        <row r="245">
          <cell r="A245">
            <v>23348001</v>
          </cell>
          <cell r="B245" t="str">
            <v>겨울의 금문장 도안</v>
          </cell>
        </row>
        <row r="246">
          <cell r="A246">
            <v>23348002</v>
          </cell>
          <cell r="B246" t="str">
            <v>봄의 금문장 도안</v>
          </cell>
        </row>
        <row r="247">
          <cell r="A247">
            <v>23348003</v>
          </cell>
          <cell r="B247" t="str">
            <v>여름의 금문장 도안</v>
          </cell>
        </row>
        <row r="248">
          <cell r="A248">
            <v>23348004</v>
          </cell>
          <cell r="B248" t="str">
            <v>대해적 문장 도안</v>
          </cell>
        </row>
        <row r="249">
          <cell r="A249">
            <v>23348005</v>
          </cell>
          <cell r="B249" t="str">
            <v>가을의 은문장 도안</v>
          </cell>
        </row>
        <row r="250">
          <cell r="A250">
            <v>23348006</v>
          </cell>
          <cell r="B250" t="str">
            <v>겨울의 은문장 도안</v>
          </cell>
        </row>
        <row r="251">
          <cell r="A251">
            <v>23348007</v>
          </cell>
          <cell r="B251" t="str">
            <v>봄의 은문장 도안</v>
          </cell>
        </row>
        <row r="252">
          <cell r="A252">
            <v>23348008</v>
          </cell>
          <cell r="B252" t="str">
            <v>여름의 은문장 도안</v>
          </cell>
        </row>
        <row r="253">
          <cell r="A253">
            <v>23348009</v>
          </cell>
          <cell r="B253" t="str">
            <v>가네샤 문장 도안</v>
          </cell>
        </row>
        <row r="254">
          <cell r="A254">
            <v>23348010</v>
          </cell>
          <cell r="B254" t="str">
            <v>가루다 문장 도안</v>
          </cell>
        </row>
        <row r="255">
          <cell r="A255">
            <v>23348011</v>
          </cell>
          <cell r="B255" t="str">
            <v>보야쥬 문장 도안</v>
          </cell>
        </row>
        <row r="256">
          <cell r="A256">
            <v>23348012</v>
          </cell>
          <cell r="B256" t="str">
            <v>해적 문장 도안</v>
          </cell>
        </row>
        <row r="257">
          <cell r="A257">
            <v>23348013</v>
          </cell>
          <cell r="B257" t="str">
            <v>고래 문장 도안</v>
          </cell>
        </row>
        <row r="258">
          <cell r="A258">
            <v>23348014</v>
          </cell>
          <cell r="B258" t="str">
            <v>바이킹 문장 도안</v>
          </cell>
        </row>
        <row r="259">
          <cell r="A259">
            <v>23348015</v>
          </cell>
          <cell r="B259" t="str">
            <v>그리폰 문장 도안</v>
          </cell>
        </row>
        <row r="260">
          <cell r="A260">
            <v>23348016</v>
          </cell>
          <cell r="B260" t="str">
            <v>나스카 문장 도안</v>
          </cell>
        </row>
        <row r="261">
          <cell r="A261">
            <v>23348017</v>
          </cell>
          <cell r="B261" t="str">
            <v>드래곤 문장 도안</v>
          </cell>
        </row>
        <row r="262">
          <cell r="A262">
            <v>23348018</v>
          </cell>
          <cell r="B262" t="str">
            <v>라의 눈 문장 도안</v>
          </cell>
        </row>
        <row r="263">
          <cell r="A263">
            <v>23348019</v>
          </cell>
          <cell r="B263" t="str">
            <v>쌍두독수리 문장 도안</v>
          </cell>
        </row>
        <row r="264">
          <cell r="A264">
            <v>23348020</v>
          </cell>
          <cell r="B264" t="str">
            <v>메두사 문장 도안</v>
          </cell>
        </row>
        <row r="265">
          <cell r="A265">
            <v>23348021</v>
          </cell>
          <cell r="B265" t="str">
            <v>모아이 문장 도안</v>
          </cell>
        </row>
        <row r="266">
          <cell r="A266">
            <v>23348022</v>
          </cell>
          <cell r="B266" t="str">
            <v>사자 문장 도안</v>
          </cell>
        </row>
        <row r="267">
          <cell r="A267">
            <v>23348023</v>
          </cell>
          <cell r="B267" t="str">
            <v>샐러맨더 문장 도안</v>
          </cell>
        </row>
        <row r="268">
          <cell r="A268">
            <v>23348024</v>
          </cell>
          <cell r="B268" t="str">
            <v>성마르코 사자 문장 도안</v>
          </cell>
        </row>
        <row r="269">
          <cell r="A269">
            <v>23348025</v>
          </cell>
          <cell r="B269" t="str">
            <v>소녀 문장 도안</v>
          </cell>
        </row>
        <row r="270">
          <cell r="A270">
            <v>23348026</v>
          </cell>
          <cell r="B270" t="str">
            <v>앤버잭 문장 도안</v>
          </cell>
        </row>
        <row r="271">
          <cell r="A271">
            <v>23348027</v>
          </cell>
          <cell r="B271" t="str">
            <v>야수 문장 도안</v>
          </cell>
        </row>
        <row r="272">
          <cell r="A272">
            <v>23348028</v>
          </cell>
          <cell r="B272" t="str">
            <v>용 문장 도안</v>
          </cell>
        </row>
        <row r="273">
          <cell r="A273">
            <v>23348029</v>
          </cell>
          <cell r="B273" t="str">
            <v>용사냥의 문장 도안</v>
          </cell>
        </row>
        <row r="274">
          <cell r="A274">
            <v>23348030</v>
          </cell>
          <cell r="B274" t="str">
            <v>유니콘 문장 도안</v>
          </cell>
        </row>
        <row r="275">
          <cell r="A275">
            <v>23348031</v>
          </cell>
          <cell r="B275" t="str">
            <v>유인원 문장 도안</v>
          </cell>
        </row>
        <row r="276">
          <cell r="A276">
            <v>23348032</v>
          </cell>
          <cell r="B276" t="str">
            <v>제독 문장 도안</v>
          </cell>
        </row>
        <row r="277">
          <cell r="A277">
            <v>23348033</v>
          </cell>
          <cell r="B277" t="str">
            <v>케살코아틀 문장 도안</v>
          </cell>
        </row>
        <row r="278">
          <cell r="A278">
            <v>23348034</v>
          </cell>
          <cell r="B278" t="str">
            <v>페어리 문장 도안</v>
          </cell>
        </row>
        <row r="279">
          <cell r="A279">
            <v>23348035</v>
          </cell>
          <cell r="B279" t="str">
            <v>펭귄 문장 도안</v>
          </cell>
        </row>
        <row r="280">
          <cell r="A280">
            <v>23348036</v>
          </cell>
          <cell r="B280" t="str">
            <v>폭스 문장 도안</v>
          </cell>
        </row>
        <row r="281">
          <cell r="A281">
            <v>23348037</v>
          </cell>
          <cell r="B281" t="str">
            <v>피닉스 문장 도안</v>
          </cell>
        </row>
        <row r="282">
          <cell r="A282">
            <v>23348038</v>
          </cell>
          <cell r="B282" t="str">
            <v>해룡 문장 도안</v>
          </cell>
        </row>
        <row r="283">
          <cell r="A283">
            <v>23348039</v>
          </cell>
          <cell r="B283" t="str">
            <v>호랑이 문장 도안</v>
          </cell>
        </row>
        <row r="284">
          <cell r="A284">
            <v>23348040</v>
          </cell>
          <cell r="B284" t="str">
            <v>화염방패 문장 도안</v>
          </cell>
        </row>
        <row r="285">
          <cell r="A285">
            <v>23348041</v>
          </cell>
          <cell r="B285" t="str">
            <v>거미 문장 도안</v>
          </cell>
        </row>
        <row r="286">
          <cell r="A286">
            <v>23348042</v>
          </cell>
          <cell r="B286" t="str">
            <v>나비 문장 도안</v>
          </cell>
        </row>
        <row r="287">
          <cell r="A287">
            <v>23348043</v>
          </cell>
          <cell r="B287" t="str">
            <v>스콜피온 문장 도안</v>
          </cell>
        </row>
        <row r="288">
          <cell r="A288">
            <v>23348044</v>
          </cell>
          <cell r="B288" t="str">
            <v>크로스소드 문장 도안</v>
          </cell>
        </row>
        <row r="289">
          <cell r="A289">
            <v>23348045</v>
          </cell>
          <cell r="B289" t="str">
            <v>다이아몬드 문장 도안</v>
          </cell>
        </row>
        <row r="290">
          <cell r="A290">
            <v>23348046</v>
          </cell>
          <cell r="B290" t="str">
            <v>델핀 문장 도안</v>
          </cell>
        </row>
        <row r="291">
          <cell r="A291">
            <v>23348047</v>
          </cell>
          <cell r="B291" t="str">
            <v>바다뱀 문장 도안</v>
          </cell>
        </row>
        <row r="292">
          <cell r="A292">
            <v>23348048</v>
          </cell>
          <cell r="B292" t="str">
            <v>백합 문장 도안</v>
          </cell>
        </row>
        <row r="293">
          <cell r="A293">
            <v>23348049</v>
          </cell>
          <cell r="B293" t="str">
            <v>성요한 기사단 문장 도안</v>
          </cell>
        </row>
        <row r="294">
          <cell r="A294">
            <v>23348050</v>
          </cell>
          <cell r="B294" t="str">
            <v>스페이드 문장 도안</v>
          </cell>
        </row>
        <row r="295">
          <cell r="A295">
            <v>23348051</v>
          </cell>
          <cell r="B295" t="str">
            <v>써클크로스 문장 도안</v>
          </cell>
        </row>
        <row r="296">
          <cell r="A296">
            <v>23348052</v>
          </cell>
          <cell r="B296" t="str">
            <v>앵커 문장 도안</v>
          </cell>
        </row>
        <row r="297">
          <cell r="A297">
            <v>23348053</v>
          </cell>
          <cell r="B297" t="str">
            <v>어부 문장 도안</v>
          </cell>
        </row>
        <row r="298">
          <cell r="A298">
            <v>23348054</v>
          </cell>
          <cell r="B298" t="str">
            <v>일광 문장 도안</v>
          </cell>
        </row>
        <row r="299">
          <cell r="A299">
            <v>23348055</v>
          </cell>
          <cell r="B299" t="str">
            <v>장미 문장 도안</v>
          </cell>
        </row>
        <row r="300">
          <cell r="A300">
            <v>23348056</v>
          </cell>
          <cell r="B300" t="str">
            <v>조개 문장 도안</v>
          </cell>
        </row>
        <row r="301">
          <cell r="A301">
            <v>23348057</v>
          </cell>
          <cell r="B301" t="str">
            <v>캥거루 문장 도안</v>
          </cell>
        </row>
        <row r="302">
          <cell r="A302">
            <v>23348058</v>
          </cell>
          <cell r="B302" t="str">
            <v>크로스 문장 도안</v>
          </cell>
        </row>
        <row r="303">
          <cell r="A303">
            <v>23348059</v>
          </cell>
          <cell r="B303" t="str">
            <v>클로버 문장 도안</v>
          </cell>
        </row>
        <row r="304">
          <cell r="A304">
            <v>23348060</v>
          </cell>
          <cell r="B304" t="str">
            <v>태양 문장 도안</v>
          </cell>
        </row>
        <row r="305">
          <cell r="A305">
            <v>23348061</v>
          </cell>
          <cell r="B305" t="str">
            <v>트라이덴트 문장 도안</v>
          </cell>
        </row>
        <row r="306">
          <cell r="A306">
            <v>23348062</v>
          </cell>
          <cell r="B306" t="str">
            <v>페가수스 문장 도안</v>
          </cell>
        </row>
        <row r="307">
          <cell r="A307">
            <v>23348063</v>
          </cell>
          <cell r="B307" t="str">
            <v>하트 문장 도안</v>
          </cell>
        </row>
        <row r="308">
          <cell r="A308">
            <v>23348064</v>
          </cell>
          <cell r="B308" t="str">
            <v>헬름 문장 도안</v>
          </cell>
        </row>
        <row r="309">
          <cell r="A309">
            <v>23348065</v>
          </cell>
          <cell r="B309" t="str">
            <v>호박벌 문장 도안</v>
          </cell>
        </row>
        <row r="310">
          <cell r="A310">
            <v>23348066</v>
          </cell>
          <cell r="B310" t="str">
            <v>기사 문장 도안</v>
          </cell>
        </row>
        <row r="311">
          <cell r="A311">
            <v>23348067</v>
          </cell>
          <cell r="B311" t="str">
            <v>네덜란드 문장 도안</v>
          </cell>
        </row>
        <row r="312">
          <cell r="A312">
            <v>23348068</v>
          </cell>
          <cell r="B312" t="str">
            <v>미들튼 가문의 문장 도안</v>
          </cell>
        </row>
        <row r="313">
          <cell r="A313">
            <v>23348069</v>
          </cell>
          <cell r="B313" t="str">
            <v>바다 여단 문장 도안</v>
          </cell>
        </row>
        <row r="314">
          <cell r="A314">
            <v>23348070</v>
          </cell>
          <cell r="B314" t="str">
            <v>발바리아 해적 문장 도안</v>
          </cell>
        </row>
        <row r="315">
          <cell r="A315">
            <v>23348071</v>
          </cell>
          <cell r="B315" t="str">
            <v>베네치아 문장 도안</v>
          </cell>
        </row>
        <row r="316">
          <cell r="A316">
            <v>23348072</v>
          </cell>
          <cell r="B316" t="str">
            <v>베르니에 자작가 문장 도안</v>
          </cell>
        </row>
        <row r="317">
          <cell r="A317">
            <v>23348073</v>
          </cell>
          <cell r="B317" t="str">
            <v>살미엔트 길드 문장 도안</v>
          </cell>
        </row>
        <row r="318">
          <cell r="A318">
            <v>23348074</v>
          </cell>
          <cell r="B318" t="str">
            <v>에스파냐 문장 도안</v>
          </cell>
        </row>
        <row r="319">
          <cell r="A319">
            <v>23348075</v>
          </cell>
          <cell r="B319" t="str">
            <v>여인 문장 도안</v>
          </cell>
        </row>
        <row r="320">
          <cell r="A320">
            <v>23348076</v>
          </cell>
          <cell r="B320" t="str">
            <v>오스만 투르크 문장 도안</v>
          </cell>
        </row>
        <row r="321">
          <cell r="A321">
            <v>23348077</v>
          </cell>
          <cell r="B321" t="str">
            <v>장식 문장 도안</v>
          </cell>
        </row>
        <row r="322">
          <cell r="A322">
            <v>23348078</v>
          </cell>
          <cell r="B322" t="str">
            <v>탈출 문장 도안</v>
          </cell>
        </row>
        <row r="323">
          <cell r="A323">
            <v>23348079</v>
          </cell>
          <cell r="B323" t="str">
            <v>포르투갈 문장 도안</v>
          </cell>
        </row>
        <row r="324">
          <cell r="A324">
            <v>23348080</v>
          </cell>
          <cell r="B324" t="str">
            <v>프랑스 문장 도안</v>
          </cell>
        </row>
        <row r="325">
          <cell r="A325">
            <v>23348081</v>
          </cell>
          <cell r="B325" t="str">
            <v>흑고래 용병함대 문장 도안</v>
          </cell>
        </row>
        <row r="326">
          <cell r="A326">
            <v>23348082</v>
          </cell>
          <cell r="B326" t="str">
            <v>학문양 문장 도안</v>
          </cell>
        </row>
        <row r="327">
          <cell r="A327">
            <v>23348083</v>
          </cell>
          <cell r="B327" t="str">
            <v>잉어 문장 도안</v>
          </cell>
        </row>
        <row r="328">
          <cell r="A328">
            <v>23348084</v>
          </cell>
          <cell r="B328" t="str">
            <v>청룡 문장 도안</v>
          </cell>
        </row>
        <row r="329">
          <cell r="A329">
            <v>23348085</v>
          </cell>
          <cell r="B329" t="str">
            <v>현무 문장 도안</v>
          </cell>
        </row>
        <row r="330">
          <cell r="A330">
            <v>23348086</v>
          </cell>
          <cell r="B330" t="str">
            <v>백호 문장 도안</v>
          </cell>
        </row>
        <row r="331">
          <cell r="A331">
            <v>23348087</v>
          </cell>
          <cell r="B331" t="str">
            <v>주작 문장 도안</v>
          </cell>
        </row>
        <row r="332">
          <cell r="A332">
            <v>23348088</v>
          </cell>
          <cell r="B332" t="str">
            <v>도깨비 문장 도안</v>
          </cell>
        </row>
        <row r="333">
          <cell r="A333">
            <v>23348089</v>
          </cell>
          <cell r="B333" t="str">
            <v>태극 문장 도안</v>
          </cell>
        </row>
        <row r="334">
          <cell r="A334">
            <v>23348090</v>
          </cell>
          <cell r="B334" t="str">
            <v>모란 문장 도안</v>
          </cell>
        </row>
        <row r="335">
          <cell r="A335">
            <v>23348091</v>
          </cell>
          <cell r="B335" t="str">
            <v>벚꽃 문장 도안</v>
          </cell>
        </row>
        <row r="336">
          <cell r="A336">
            <v>23348092</v>
          </cell>
          <cell r="B336" t="str">
            <v>연꽃 문장 도안</v>
          </cell>
        </row>
        <row r="337">
          <cell r="A337">
            <v>23348093</v>
          </cell>
          <cell r="B337" t="str">
            <v>국화 문장 도안</v>
          </cell>
        </row>
        <row r="338">
          <cell r="A338">
            <v>23348094</v>
          </cell>
          <cell r="B338" t="str">
            <v>매화 문장 도안</v>
          </cell>
        </row>
        <row r="339">
          <cell r="A339">
            <v>23348095</v>
          </cell>
          <cell r="B339" t="str">
            <v>복 문장 도안</v>
          </cell>
        </row>
        <row r="340">
          <cell r="A340">
            <v>23348096</v>
          </cell>
          <cell r="B340" t="str">
            <v>구름 문장 도안</v>
          </cell>
        </row>
        <row r="341">
          <cell r="A341">
            <v>23348097</v>
          </cell>
          <cell r="B341" t="str">
            <v>기린 문장 도안</v>
          </cell>
        </row>
        <row r="342">
          <cell r="A342">
            <v>23348098</v>
          </cell>
          <cell r="B342" t="str">
            <v>해태 문장 도안</v>
          </cell>
        </row>
        <row r="343">
          <cell r="A343">
            <v>23348099</v>
          </cell>
          <cell r="B343" t="str">
            <v>대나무 문장 도안</v>
          </cell>
        </row>
        <row r="344">
          <cell r="A344">
            <v>23348100</v>
          </cell>
          <cell r="B344" t="str">
            <v>창틀 문장 도안</v>
          </cell>
        </row>
        <row r="345">
          <cell r="A345">
            <v>23348101</v>
          </cell>
          <cell r="B345" t="str">
            <v>복숭아 문장 도안</v>
          </cell>
        </row>
        <row r="346">
          <cell r="A346">
            <v>23348102</v>
          </cell>
          <cell r="B346" t="str">
            <v>캘리코 잭 도안</v>
          </cell>
        </row>
        <row r="347">
          <cell r="A347">
            <v>23348103</v>
          </cell>
          <cell r="B347" t="str">
            <v>대항해시대 오리진 도안</v>
          </cell>
        </row>
        <row r="348">
          <cell r="A348">
            <v>23348104</v>
          </cell>
          <cell r="B348" t="str">
            <v>보석 왕관 도안</v>
          </cell>
        </row>
        <row r="349">
          <cell r="A349">
            <v>23348500</v>
          </cell>
          <cell r="B349" t="str">
            <v>한줄 가로무늬 도안</v>
          </cell>
        </row>
        <row r="350">
          <cell r="A350">
            <v>23348501</v>
          </cell>
          <cell r="B350" t="str">
            <v>한줄 세로무늬 도안</v>
          </cell>
        </row>
        <row r="351">
          <cell r="A351">
            <v>23348502</v>
          </cell>
          <cell r="B351" t="str">
            <v>한줄 사선무늬 도안</v>
          </cell>
        </row>
        <row r="352">
          <cell r="A352">
            <v>23348503</v>
          </cell>
          <cell r="B352" t="str">
            <v>가로 톱니 무늬 도안</v>
          </cell>
        </row>
        <row r="353">
          <cell r="A353">
            <v>23348504</v>
          </cell>
          <cell r="B353" t="str">
            <v>세로 톱니 무늬 도안</v>
          </cell>
        </row>
        <row r="354">
          <cell r="A354">
            <v>23348505</v>
          </cell>
          <cell r="B354" t="str">
            <v>두줄 세로 무늬 도안</v>
          </cell>
        </row>
        <row r="355">
          <cell r="A355">
            <v>23348506</v>
          </cell>
          <cell r="B355" t="str">
            <v>두줄 가로 무늬 도안</v>
          </cell>
        </row>
        <row r="356">
          <cell r="A356">
            <v>23348507</v>
          </cell>
          <cell r="B356" t="str">
            <v>한줄 물결 무늬 도안</v>
          </cell>
        </row>
        <row r="357">
          <cell r="A357">
            <v>23348508</v>
          </cell>
          <cell r="B357" t="str">
            <v>세로 스트라이프 도안</v>
          </cell>
        </row>
        <row r="358">
          <cell r="A358">
            <v>23348509</v>
          </cell>
          <cell r="B358" t="str">
            <v>가로 스트라이프 도안</v>
          </cell>
        </row>
        <row r="359">
          <cell r="A359">
            <v>23348510</v>
          </cell>
          <cell r="B359" t="str">
            <v>두줄 사선 무늬 도안</v>
          </cell>
        </row>
        <row r="360">
          <cell r="A360">
            <v>23348511</v>
          </cell>
          <cell r="B360" t="str">
            <v>큰 마름모 무늬 도안</v>
          </cell>
        </row>
        <row r="361">
          <cell r="A361">
            <v>23348512</v>
          </cell>
          <cell r="B361" t="str">
            <v>작은 마름모 무늬 도안</v>
          </cell>
        </row>
        <row r="362">
          <cell r="A362">
            <v>23348513</v>
          </cell>
          <cell r="B362" t="str">
            <v>V 자 무늬 도안</v>
          </cell>
        </row>
        <row r="363">
          <cell r="A363">
            <v>23348514</v>
          </cell>
          <cell r="B363" t="str">
            <v>격자 무늬 도안</v>
          </cell>
        </row>
        <row r="364">
          <cell r="A364">
            <v>23348515</v>
          </cell>
          <cell r="B364" t="str">
            <v>풍차 무늬 도안</v>
          </cell>
        </row>
        <row r="365">
          <cell r="A365">
            <v>23348516</v>
          </cell>
          <cell r="B365" t="str">
            <v>큰 사각 무늬 도안</v>
          </cell>
        </row>
        <row r="366">
          <cell r="A366">
            <v>23348517</v>
          </cell>
          <cell r="B366" t="str">
            <v>큰 방울 무늬 도안</v>
          </cell>
        </row>
        <row r="367">
          <cell r="A367">
            <v>23348518</v>
          </cell>
          <cell r="B367" t="str">
            <v>삼각 무늬 도안</v>
          </cell>
        </row>
        <row r="368">
          <cell r="A368">
            <v>23348519</v>
          </cell>
          <cell r="B368" t="str">
            <v>계단 무늬 도안</v>
          </cell>
        </row>
        <row r="369">
          <cell r="A369">
            <v>23348520</v>
          </cell>
          <cell r="B369" t="str">
            <v>세로 물결 무늬 도안</v>
          </cell>
        </row>
        <row r="370">
          <cell r="A370">
            <v>23348521</v>
          </cell>
          <cell r="B370" t="str">
            <v>가로 물결 무늬 도안</v>
          </cell>
        </row>
        <row r="371">
          <cell r="A371">
            <v>23348522</v>
          </cell>
          <cell r="B371" t="str">
            <v>작은 방울 무늬 도안</v>
          </cell>
        </row>
        <row r="372">
          <cell r="A372">
            <v>23348523</v>
          </cell>
          <cell r="B372" t="str">
            <v>빛 모양 무늬 도안</v>
          </cell>
        </row>
        <row r="373">
          <cell r="A373">
            <v>23348524</v>
          </cell>
          <cell r="B373" t="str">
            <v>체크 무늬 도안</v>
          </cell>
        </row>
        <row r="374">
          <cell r="A374">
            <v>23348525</v>
          </cell>
          <cell r="B374" t="str">
            <v>삼각형 무늬 도안</v>
          </cell>
        </row>
        <row r="375">
          <cell r="A375">
            <v>23348526</v>
          </cell>
          <cell r="B375" t="str">
            <v>마름모 무늬 도안</v>
          </cell>
        </row>
        <row r="376">
          <cell r="A376">
            <v>23348527</v>
          </cell>
          <cell r="B376" t="str">
            <v>벽돌 무늬 도안</v>
          </cell>
        </row>
        <row r="377">
          <cell r="A377">
            <v>23348528</v>
          </cell>
          <cell r="B377" t="str">
            <v>구불구불 무늬 도안</v>
          </cell>
        </row>
        <row r="378">
          <cell r="A378">
            <v>23348529</v>
          </cell>
          <cell r="B378" t="str">
            <v>물결 무늬 도안</v>
          </cell>
        </row>
        <row r="379">
          <cell r="A379">
            <v>23348530</v>
          </cell>
          <cell r="B379" t="str">
            <v>사각 무늬 도안</v>
          </cell>
        </row>
        <row r="380">
          <cell r="A380">
            <v>23348531</v>
          </cell>
          <cell r="B380" t="str">
            <v>체스판 무늬 도안</v>
          </cell>
        </row>
        <row r="381">
          <cell r="A381">
            <v>23348532</v>
          </cell>
          <cell r="B381" t="str">
            <v>십자 무늬 도안</v>
          </cell>
        </row>
        <row r="382">
          <cell r="A382">
            <v>23348533</v>
          </cell>
          <cell r="B382" t="str">
            <v>원 무늬 도안</v>
          </cell>
        </row>
        <row r="383">
          <cell r="A383">
            <v>23348534</v>
          </cell>
          <cell r="B383" t="str">
            <v>비늘 무늬 도안</v>
          </cell>
        </row>
        <row r="384">
          <cell r="A384">
            <v>23348535</v>
          </cell>
          <cell r="B384" t="str">
            <v>육각 무늬 도안</v>
          </cell>
        </row>
        <row r="385">
          <cell r="A385">
            <v>23348536</v>
          </cell>
          <cell r="B385" t="str">
            <v>사각 마름모 무늬 도안</v>
          </cell>
        </row>
        <row r="386">
          <cell r="A386">
            <v>23348537</v>
          </cell>
          <cell r="B386" t="str">
            <v>제비꽃 무늬 도안</v>
          </cell>
        </row>
        <row r="387">
          <cell r="A387">
            <v>23348538</v>
          </cell>
          <cell r="B387" t="str">
            <v>혼돈 무늬 도안</v>
          </cell>
        </row>
        <row r="388">
          <cell r="A388">
            <v>23348539</v>
          </cell>
          <cell r="B388" t="str">
            <v>백합 무늬 도안</v>
          </cell>
        </row>
        <row r="389">
          <cell r="A389">
            <v>23348540</v>
          </cell>
          <cell r="B389" t="str">
            <v>점 무늬 도안</v>
          </cell>
        </row>
        <row r="390">
          <cell r="A390">
            <v>23348541</v>
          </cell>
          <cell r="B390" t="str">
            <v>달 무늬 도안</v>
          </cell>
        </row>
        <row r="391">
          <cell r="A391">
            <v>23348542</v>
          </cell>
          <cell r="B391" t="str">
            <v>얼룩 무늬 도안</v>
          </cell>
        </row>
        <row r="392">
          <cell r="A392">
            <v>23348543</v>
          </cell>
          <cell r="B392" t="str">
            <v>모래알 무늬 도안</v>
          </cell>
        </row>
        <row r="393">
          <cell r="A393">
            <v>23348544</v>
          </cell>
          <cell r="B393" t="str">
            <v>별 무늬 도안</v>
          </cell>
        </row>
        <row r="394">
          <cell r="A394">
            <v>23348545</v>
          </cell>
          <cell r="B394" t="str">
            <v>블록 무늬 도안</v>
          </cell>
        </row>
        <row r="395">
          <cell r="A395">
            <v>23348546</v>
          </cell>
          <cell r="B395" t="str">
            <v>데칼코마니 무늬 도안</v>
          </cell>
        </row>
        <row r="396">
          <cell r="A396">
            <v>23348547</v>
          </cell>
          <cell r="B396" t="str">
            <v>나비 무늬 도안</v>
          </cell>
        </row>
        <row r="397">
          <cell r="A397">
            <v>23348548</v>
          </cell>
          <cell r="B397" t="str">
            <v>장미 무늬 도안</v>
          </cell>
        </row>
        <row r="398">
          <cell r="A398">
            <v>23348549</v>
          </cell>
          <cell r="B398" t="str">
            <v>특수 무늬 도안</v>
          </cell>
        </row>
        <row r="399">
          <cell r="A399">
            <v>23348550</v>
          </cell>
          <cell r="B399" t="str">
            <v>동양풍 무늬 도안</v>
          </cell>
        </row>
        <row r="400">
          <cell r="A400">
            <v>23400000</v>
          </cell>
          <cell r="B400" t="str">
            <v>소형 인양 공구</v>
          </cell>
        </row>
        <row r="401">
          <cell r="A401">
            <v>23400001</v>
          </cell>
          <cell r="B401" t="str">
            <v>중형 인양 공구</v>
          </cell>
        </row>
        <row r="402">
          <cell r="A402">
            <v>23400002</v>
          </cell>
          <cell r="B402" t="str">
            <v>대형 인양 공구</v>
          </cell>
        </row>
        <row r="403">
          <cell r="A403">
            <v>23400003</v>
          </cell>
          <cell r="B403" t="str">
            <v>장비함 확장서</v>
          </cell>
        </row>
        <row r="404">
          <cell r="A404">
            <v>23400004</v>
          </cell>
          <cell r="B404" t="str">
            <v>도구함 확장서</v>
          </cell>
        </row>
        <row r="405">
          <cell r="A405">
            <v>23400005</v>
          </cell>
          <cell r="B405" t="str">
            <v>부품함 확장서</v>
          </cell>
        </row>
        <row r="406">
          <cell r="A406">
            <v>23400006</v>
          </cell>
          <cell r="B406" t="str">
            <v>예인선 계약서</v>
          </cell>
        </row>
        <row r="407">
          <cell r="A407">
            <v>23400007</v>
          </cell>
          <cell r="B407" t="str">
            <v>선거 계약서</v>
          </cell>
        </row>
        <row r="408">
          <cell r="A408">
            <v>23400008</v>
          </cell>
          <cell r="B408" t="str">
            <v>C등급 공용 도면</v>
          </cell>
        </row>
        <row r="409">
          <cell r="A409">
            <v>23400009</v>
          </cell>
          <cell r="B409" t="str">
            <v>B등급 공용 도면</v>
          </cell>
        </row>
        <row r="410">
          <cell r="A410">
            <v>23400010</v>
          </cell>
          <cell r="B410" t="str">
            <v>A등급 공용 도면</v>
          </cell>
        </row>
        <row r="411">
          <cell r="A411">
            <v>23400011</v>
          </cell>
          <cell r="B411" t="str">
            <v>S등급 공용 도면</v>
          </cell>
        </row>
        <row r="412">
          <cell r="A412">
            <v>23400012</v>
          </cell>
          <cell r="B412" t="str">
            <v>건조 계약서</v>
          </cell>
        </row>
        <row r="413">
          <cell r="A413">
            <v>23400018</v>
          </cell>
          <cell r="B413" t="str">
            <v>C등급 특수 도면</v>
          </cell>
        </row>
        <row r="414">
          <cell r="A414">
            <v>23400019</v>
          </cell>
          <cell r="B414" t="str">
            <v>B등급 특수 도면</v>
          </cell>
        </row>
        <row r="415">
          <cell r="A415">
            <v>23400020</v>
          </cell>
          <cell r="B415" t="str">
            <v>A등급 특수 도면</v>
          </cell>
        </row>
        <row r="416">
          <cell r="A416">
            <v>23400021</v>
          </cell>
          <cell r="B416" t="str">
            <v>S등급 특수 도면</v>
          </cell>
        </row>
        <row r="417">
          <cell r="A417">
            <v>23400023</v>
          </cell>
          <cell r="B417" t="str">
            <v>소형 발주서</v>
          </cell>
        </row>
        <row r="418">
          <cell r="A418">
            <v>23400024</v>
          </cell>
          <cell r="B418" t="str">
            <v>중형 발주서</v>
          </cell>
        </row>
        <row r="419">
          <cell r="A419">
            <v>23400025</v>
          </cell>
          <cell r="B419" t="str">
            <v>대형 발주서</v>
          </cell>
        </row>
        <row r="420">
          <cell r="A420">
            <v>23400026</v>
          </cell>
          <cell r="B420" t="str">
            <v>초대형 발주서</v>
          </cell>
        </row>
        <row r="421">
          <cell r="A421">
            <v>23400027</v>
          </cell>
          <cell r="B421" t="str">
            <v>초대형 인양 공구</v>
          </cell>
        </row>
        <row r="422">
          <cell r="A422">
            <v>23400028</v>
          </cell>
          <cell r="B422" t="str">
            <v>예비 노</v>
          </cell>
        </row>
        <row r="423">
          <cell r="A423">
            <v>23401001</v>
          </cell>
          <cell r="B423" t="str">
            <v>특별 투자 증서</v>
          </cell>
        </row>
        <row r="424">
          <cell r="A424">
            <v>23405001</v>
          </cell>
          <cell r="B424" t="str">
            <v>타렛테 도면</v>
          </cell>
        </row>
        <row r="425">
          <cell r="A425">
            <v>23405002</v>
          </cell>
          <cell r="B425" t="str">
            <v>바르카 도면</v>
          </cell>
        </row>
        <row r="426">
          <cell r="A426">
            <v>23405003</v>
          </cell>
          <cell r="B426" t="str">
            <v>한자 코그 도면</v>
          </cell>
        </row>
        <row r="427">
          <cell r="A427">
            <v>23405004</v>
          </cell>
          <cell r="B427" t="str">
            <v>경량형 프로아 도면</v>
          </cell>
        </row>
        <row r="428">
          <cell r="A428">
            <v>23405005</v>
          </cell>
          <cell r="B428" t="str">
            <v>버저로 도면</v>
          </cell>
        </row>
        <row r="429">
          <cell r="A429">
            <v>23405006</v>
          </cell>
          <cell r="B429" t="str">
            <v>삼판 도면</v>
          </cell>
        </row>
        <row r="430">
          <cell r="A430">
            <v>23405007</v>
          </cell>
          <cell r="B430" t="str">
            <v>브리간틴 도면</v>
          </cell>
        </row>
        <row r="431">
          <cell r="A431">
            <v>23405008</v>
          </cell>
          <cell r="B431" t="str">
            <v>코그 레돈다 도면</v>
          </cell>
        </row>
        <row r="432">
          <cell r="A432">
            <v>23405009</v>
          </cell>
          <cell r="B432" t="str">
            <v>코그 라티나 도면</v>
          </cell>
        </row>
        <row r="433">
          <cell r="A433">
            <v>23405010</v>
          </cell>
          <cell r="B433" t="str">
            <v>프로아 도면</v>
          </cell>
        </row>
        <row r="434">
          <cell r="A434">
            <v>23405011</v>
          </cell>
          <cell r="B434" t="str">
            <v>캐러벨 라티나 도면</v>
          </cell>
        </row>
        <row r="435">
          <cell r="A435">
            <v>23405012</v>
          </cell>
          <cell r="B435" t="str">
            <v>캐러벨 레돈다 도면</v>
          </cell>
        </row>
        <row r="436">
          <cell r="A436">
            <v>23405013</v>
          </cell>
          <cell r="B436" t="str">
            <v>슬루프 도면</v>
          </cell>
        </row>
        <row r="437">
          <cell r="A437">
            <v>23405014</v>
          </cell>
          <cell r="B437" t="str">
            <v>커터 도면</v>
          </cell>
        </row>
        <row r="438">
          <cell r="A438">
            <v>23405015</v>
          </cell>
          <cell r="B438" t="str">
            <v>탄작 도면</v>
          </cell>
        </row>
        <row r="439">
          <cell r="A439">
            <v>23405016</v>
          </cell>
          <cell r="B439" t="str">
            <v>경량형 사선 도면</v>
          </cell>
        </row>
        <row r="440">
          <cell r="A440">
            <v>23405017</v>
          </cell>
          <cell r="B440" t="str">
            <v>경량형 갤리 도면</v>
          </cell>
        </row>
        <row r="441">
          <cell r="A441">
            <v>23405018</v>
          </cell>
          <cell r="B441" t="str">
            <v>나오 도면</v>
          </cell>
        </row>
        <row r="442">
          <cell r="A442">
            <v>23405019</v>
          </cell>
          <cell r="B442" t="str">
            <v>펠러커 도면</v>
          </cell>
        </row>
        <row r="443">
          <cell r="A443">
            <v>23405020</v>
          </cell>
          <cell r="B443" t="str">
            <v>다우 도면</v>
          </cell>
        </row>
        <row r="444">
          <cell r="A444">
            <v>23405021</v>
          </cell>
          <cell r="B444" t="str">
            <v>맹선 도면</v>
          </cell>
        </row>
        <row r="445">
          <cell r="A445">
            <v>23405022</v>
          </cell>
          <cell r="B445" t="str">
            <v>갤리 도면</v>
          </cell>
        </row>
        <row r="446">
          <cell r="A446">
            <v>23405023</v>
          </cell>
          <cell r="B446" t="str">
            <v>핀네스 도면</v>
          </cell>
        </row>
        <row r="447">
          <cell r="A447">
            <v>23405024</v>
          </cell>
          <cell r="B447" t="str">
            <v>카락 도면</v>
          </cell>
        </row>
        <row r="448">
          <cell r="A448">
            <v>23405025</v>
          </cell>
          <cell r="B448" t="str">
            <v>스쿠너 도면</v>
          </cell>
        </row>
        <row r="449">
          <cell r="A449">
            <v>23405026</v>
          </cell>
          <cell r="B449" t="str">
            <v>삼부크 도면</v>
          </cell>
        </row>
        <row r="450">
          <cell r="A450">
            <v>23405027</v>
          </cell>
          <cell r="B450" t="str">
            <v>소조선 도면</v>
          </cell>
        </row>
        <row r="451">
          <cell r="A451">
            <v>23405028</v>
          </cell>
          <cell r="B451" t="str">
            <v>중 갤리 도면</v>
          </cell>
        </row>
        <row r="452">
          <cell r="A452">
            <v>23405029</v>
          </cell>
          <cell r="B452" t="str">
            <v>프류트 도면</v>
          </cell>
        </row>
        <row r="453">
          <cell r="A453">
            <v>23405030</v>
          </cell>
          <cell r="B453" t="str">
            <v>바스 도면</v>
          </cell>
        </row>
        <row r="454">
          <cell r="A454">
            <v>23405031</v>
          </cell>
          <cell r="B454" t="str">
            <v>지벡 도면</v>
          </cell>
        </row>
        <row r="455">
          <cell r="A455">
            <v>23405032</v>
          </cell>
          <cell r="B455" t="str">
            <v>로르샤 도면</v>
          </cell>
        </row>
        <row r="456">
          <cell r="A456">
            <v>23405033</v>
          </cell>
          <cell r="B456" t="str">
            <v>사선 도면</v>
          </cell>
        </row>
        <row r="457">
          <cell r="A457">
            <v>23405034</v>
          </cell>
          <cell r="B457" t="str">
            <v>주인선 도면</v>
          </cell>
        </row>
        <row r="458">
          <cell r="A458">
            <v>23405035</v>
          </cell>
          <cell r="B458" t="str">
            <v>플란더스 갤리 도면</v>
          </cell>
        </row>
        <row r="459">
          <cell r="A459">
            <v>23405036</v>
          </cell>
          <cell r="B459" t="str">
            <v>오스만 갤리 도면</v>
          </cell>
        </row>
        <row r="460">
          <cell r="A460">
            <v>23405037</v>
          </cell>
          <cell r="B460" t="str">
            <v>프리깃 도면</v>
          </cell>
        </row>
        <row r="461">
          <cell r="A461">
            <v>23405038</v>
          </cell>
          <cell r="B461" t="str">
            <v>갤리온 도면</v>
          </cell>
        </row>
        <row r="462">
          <cell r="A462">
            <v>23405039</v>
          </cell>
          <cell r="B462" t="str">
            <v>코르벳 도면</v>
          </cell>
        </row>
        <row r="463">
          <cell r="A463">
            <v>23405040</v>
          </cell>
          <cell r="B463" t="str">
            <v>복선 도면</v>
          </cell>
        </row>
        <row r="464">
          <cell r="A464">
            <v>23405041</v>
          </cell>
          <cell r="B464" t="str">
            <v>조운선 도면</v>
          </cell>
        </row>
        <row r="465">
          <cell r="A465">
            <v>23405042</v>
          </cell>
          <cell r="B465" t="str">
            <v>관선 도면</v>
          </cell>
        </row>
        <row r="466">
          <cell r="A466">
            <v>23405043</v>
          </cell>
          <cell r="B466" t="str">
            <v>라레알 도면</v>
          </cell>
        </row>
        <row r="467">
          <cell r="A467">
            <v>23405044</v>
          </cell>
          <cell r="B467" t="str">
            <v>갤리스 도면</v>
          </cell>
        </row>
        <row r="468">
          <cell r="A468">
            <v>23405045</v>
          </cell>
          <cell r="B468" t="str">
            <v>대형 프리깃 도면</v>
          </cell>
        </row>
        <row r="469">
          <cell r="A469">
            <v>23405046</v>
          </cell>
          <cell r="B469" t="str">
            <v>중 카락 도면</v>
          </cell>
        </row>
        <row r="470">
          <cell r="A470">
            <v>23405047</v>
          </cell>
          <cell r="B470" t="str">
            <v>케벡 도면</v>
          </cell>
        </row>
        <row r="471">
          <cell r="A471">
            <v>23405048</v>
          </cell>
          <cell r="B471" t="str">
            <v>대형 사선 도면</v>
          </cell>
        </row>
        <row r="472">
          <cell r="A472">
            <v>23405049</v>
          </cell>
          <cell r="B472" t="str">
            <v>대형 조운선 도면</v>
          </cell>
        </row>
        <row r="473">
          <cell r="A473">
            <v>23405050</v>
          </cell>
          <cell r="B473" t="str">
            <v>대형 관선 도면</v>
          </cell>
        </row>
        <row r="474">
          <cell r="A474">
            <v>23405051</v>
          </cell>
          <cell r="B474" t="str">
            <v>라르와이얄 도면</v>
          </cell>
        </row>
        <row r="475">
          <cell r="A475">
            <v>23405052</v>
          </cell>
          <cell r="B475" t="str">
            <v>오스만 갤리온 도면</v>
          </cell>
        </row>
        <row r="476">
          <cell r="A476">
            <v>23405053</v>
          </cell>
          <cell r="B476" t="str">
            <v>테메레르 도면</v>
          </cell>
        </row>
        <row r="477">
          <cell r="A477">
            <v>23405054</v>
          </cell>
          <cell r="B477" t="str">
            <v>대형 갤리온 도면</v>
          </cell>
        </row>
        <row r="478">
          <cell r="A478">
            <v>23405055</v>
          </cell>
          <cell r="B478" t="str">
            <v>대형 스쿠너 도면</v>
          </cell>
        </row>
        <row r="479">
          <cell r="A479">
            <v>23405056</v>
          </cell>
          <cell r="B479" t="str">
            <v>광선 도면</v>
          </cell>
        </row>
        <row r="480">
          <cell r="A480">
            <v>23405057</v>
          </cell>
          <cell r="B480" t="str">
            <v>거북선 도면</v>
          </cell>
        </row>
        <row r="481">
          <cell r="A481">
            <v>23405058</v>
          </cell>
          <cell r="B481" t="str">
            <v>안택선 도면</v>
          </cell>
        </row>
        <row r="482">
          <cell r="A482">
            <v>23405059</v>
          </cell>
          <cell r="B482" t="str">
            <v>라모르 도면</v>
          </cell>
        </row>
        <row r="483">
          <cell r="A483">
            <v>23405060</v>
          </cell>
          <cell r="B483" t="str">
            <v>베네치안 갤리스 도면</v>
          </cell>
        </row>
        <row r="484">
          <cell r="A484">
            <v>23405061</v>
          </cell>
          <cell r="B484" t="str">
            <v>오세앙 도면</v>
          </cell>
        </row>
        <row r="485">
          <cell r="A485">
            <v>23405062</v>
          </cell>
          <cell r="B485" t="str">
            <v>전열함 도면</v>
          </cell>
        </row>
        <row r="486">
          <cell r="A486">
            <v>23405063</v>
          </cell>
          <cell r="B486" t="str">
            <v>롱 스쿠너 도면</v>
          </cell>
        </row>
        <row r="487">
          <cell r="A487">
            <v>23405064</v>
          </cell>
          <cell r="B487" t="str">
            <v>대복선 도면</v>
          </cell>
        </row>
        <row r="488">
          <cell r="A488">
            <v>23405065</v>
          </cell>
          <cell r="B488" t="str">
            <v>판옥선 도면</v>
          </cell>
        </row>
        <row r="489">
          <cell r="A489">
            <v>23405066</v>
          </cell>
          <cell r="B489" t="str">
            <v>철갑선 도면</v>
          </cell>
        </row>
        <row r="490">
          <cell r="A490">
            <v>23405067</v>
          </cell>
          <cell r="B490" t="str">
            <v>황금 바르카 도면</v>
          </cell>
        </row>
        <row r="491">
          <cell r="A491">
            <v>23405068</v>
          </cell>
          <cell r="B491" t="str">
            <v>황금 삼판 도면</v>
          </cell>
        </row>
        <row r="492">
          <cell r="A492">
            <v>23405069</v>
          </cell>
          <cell r="B492" t="str">
            <v>라 핀타 도면</v>
          </cell>
        </row>
        <row r="493">
          <cell r="A493">
            <v>23405070</v>
          </cell>
          <cell r="B493" t="str">
            <v>중 캐러벨 도면</v>
          </cell>
        </row>
        <row r="494">
          <cell r="A494">
            <v>23405071</v>
          </cell>
          <cell r="B494" t="str">
            <v>산타 마리아 도면</v>
          </cell>
        </row>
        <row r="495">
          <cell r="A495">
            <v>23405072</v>
          </cell>
          <cell r="B495" t="str">
            <v>스페르베르 도면</v>
          </cell>
        </row>
        <row r="496">
          <cell r="A496">
            <v>23405073</v>
          </cell>
          <cell r="B496" t="str">
            <v>빅토리아 도면</v>
          </cell>
        </row>
        <row r="497">
          <cell r="A497">
            <v>23405074</v>
          </cell>
          <cell r="B497" t="str">
            <v>에스메랄다 도면</v>
          </cell>
        </row>
        <row r="498">
          <cell r="A498">
            <v>23405075</v>
          </cell>
          <cell r="B498" t="str">
            <v>골든 하인드 도면</v>
          </cell>
        </row>
        <row r="499">
          <cell r="A499">
            <v>23405076</v>
          </cell>
          <cell r="B499" t="str">
            <v>나폴리탄 갤리스 도면</v>
          </cell>
        </row>
        <row r="500">
          <cell r="A500">
            <v>23405077</v>
          </cell>
          <cell r="B500" t="str">
            <v>성 가브리엘 도면</v>
          </cell>
        </row>
        <row r="501">
          <cell r="A501">
            <v>23405078</v>
          </cell>
          <cell r="B501" t="str">
            <v>산 후안 도면</v>
          </cell>
        </row>
        <row r="502">
          <cell r="A502">
            <v>23405079</v>
          </cell>
          <cell r="B502" t="str">
            <v>산 펠리페 도면</v>
          </cell>
        </row>
        <row r="503">
          <cell r="A503">
            <v>23405080</v>
          </cell>
          <cell r="B503" t="str">
            <v>로열 소버린 도면</v>
          </cell>
        </row>
        <row r="504">
          <cell r="A504">
            <v>23405081</v>
          </cell>
          <cell r="B504" t="str">
            <v>애들러 도면</v>
          </cell>
        </row>
        <row r="505">
          <cell r="A505">
            <v>23405082</v>
          </cell>
          <cell r="B505" t="str">
            <v>라 쿠론 도면</v>
          </cell>
        </row>
        <row r="506">
          <cell r="A506">
            <v>23405083</v>
          </cell>
          <cell r="B506" t="str">
            <v>정조의 거북선 도면</v>
          </cell>
        </row>
        <row r="507">
          <cell r="A507">
            <v>23405084</v>
          </cell>
          <cell r="B507" t="str">
            <v>노부나가의 철갑선 도면</v>
          </cell>
        </row>
        <row r="508">
          <cell r="A508">
            <v>23405085</v>
          </cell>
          <cell r="B508" t="str">
            <v>정화의 보선 도면</v>
          </cell>
        </row>
        <row r="509">
          <cell r="A509">
            <v>23405086</v>
          </cell>
          <cell r="B509" t="str">
            <v>로만 갤리 도면</v>
          </cell>
        </row>
        <row r="510">
          <cell r="A510">
            <v>23405087</v>
          </cell>
          <cell r="B510" t="str">
            <v>메이플라워 도면</v>
          </cell>
        </row>
        <row r="511">
          <cell r="A511">
            <v>23405088</v>
          </cell>
          <cell r="B511" t="str">
            <v>카라코아 도면</v>
          </cell>
        </row>
        <row r="512">
          <cell r="A512">
            <v>23405089</v>
          </cell>
          <cell r="B512" t="str">
            <v>능원회선 도면</v>
          </cell>
        </row>
        <row r="513">
          <cell r="A513">
            <v>23405090</v>
          </cell>
          <cell r="B513" t="str">
            <v>플레미시 갤리온 도면</v>
          </cell>
        </row>
        <row r="514">
          <cell r="A514">
            <v>23405091</v>
          </cell>
          <cell r="B514" t="str">
            <v>클리퍼 도면</v>
          </cell>
        </row>
        <row r="515">
          <cell r="A515">
            <v>23405092</v>
          </cell>
          <cell r="B515" t="str">
            <v>산타 카타리나 도면</v>
          </cell>
        </row>
        <row r="516">
          <cell r="A516">
            <v>23405093</v>
          </cell>
          <cell r="B516" t="str">
            <v>용수선 도면</v>
          </cell>
        </row>
        <row r="517">
          <cell r="A517">
            <v>23405094</v>
          </cell>
          <cell r="B517" t="str">
            <v>레이지드 프리깃 도면</v>
          </cell>
        </row>
        <row r="518">
          <cell r="A518">
            <v>23405095</v>
          </cell>
          <cell r="B518" t="str">
            <v>아이언 사이즈 도면</v>
          </cell>
        </row>
        <row r="519">
          <cell r="A519">
            <v>23405096</v>
          </cell>
          <cell r="B519" t="str">
            <v>바사 도면</v>
          </cell>
        </row>
        <row r="520">
          <cell r="A520">
            <v>23405097</v>
          </cell>
          <cell r="B520" t="str">
            <v>노르딕 갤리온 도면</v>
          </cell>
        </row>
        <row r="521">
          <cell r="A521">
            <v>23405098</v>
          </cell>
          <cell r="B521" t="str">
            <v>노르스케 뢰베 도면</v>
          </cell>
        </row>
        <row r="522">
          <cell r="A522">
            <v>23405099</v>
          </cell>
          <cell r="B522" t="str">
            <v>마닐라 갤리온 도면</v>
          </cell>
        </row>
        <row r="523">
          <cell r="A523">
            <v>23405100</v>
          </cell>
          <cell r="B523" t="str">
            <v>사견선 도면</v>
          </cell>
        </row>
        <row r="524">
          <cell r="A524">
            <v>23405101</v>
          </cell>
          <cell r="B524" t="str">
            <v>할버 만 도면</v>
          </cell>
        </row>
        <row r="525">
          <cell r="A525">
            <v>23405102</v>
          </cell>
          <cell r="B525" t="str">
            <v>버뮤다 슬루프 도면</v>
          </cell>
        </row>
        <row r="526">
          <cell r="A526">
            <v>23405103</v>
          </cell>
          <cell r="B526" t="str">
            <v>인데버 도면</v>
          </cell>
        </row>
        <row r="527">
          <cell r="A527">
            <v>23405104</v>
          </cell>
          <cell r="B527" t="str">
            <v>프린스 빌럼 도면</v>
          </cell>
        </row>
        <row r="528">
          <cell r="A528">
            <v>23405105</v>
          </cell>
          <cell r="B528" t="str">
            <v>플라잉 클라우드 도면</v>
          </cell>
        </row>
        <row r="529">
          <cell r="A529">
            <v>23405106</v>
          </cell>
          <cell r="B529" t="str">
            <v>간자 다우 도면</v>
          </cell>
        </row>
        <row r="530">
          <cell r="A530">
            <v>23405107</v>
          </cell>
          <cell r="B530" t="str">
            <v>테르모필레 도면</v>
          </cell>
        </row>
        <row r="531">
          <cell r="A531">
            <v>23405108</v>
          </cell>
          <cell r="B531" t="str">
            <v>서프라이즈 도면</v>
          </cell>
        </row>
        <row r="532">
          <cell r="A532">
            <v>23405109</v>
          </cell>
          <cell r="B532" t="str">
            <v>비글 도면</v>
          </cell>
        </row>
        <row r="533">
          <cell r="A533">
            <v>23405110</v>
          </cell>
          <cell r="B533" t="str">
            <v>산티시마 트리니다드 도면</v>
          </cell>
        </row>
        <row r="534">
          <cell r="A534">
            <v>23405111</v>
          </cell>
          <cell r="B534" t="str">
            <v>어드벤처 갤리 도면</v>
          </cell>
        </row>
        <row r="535">
          <cell r="A535">
            <v>23405112</v>
          </cell>
          <cell r="B535" t="str">
            <v>바운티 도면</v>
          </cell>
        </row>
        <row r="536">
          <cell r="A536">
            <v>23405113</v>
          </cell>
          <cell r="B536" t="str">
            <v>세인트 로런스 도면</v>
          </cell>
        </row>
        <row r="537">
          <cell r="A537">
            <v>23405114</v>
          </cell>
          <cell r="B537" t="str">
            <v>도팽 로열 도면</v>
          </cell>
        </row>
        <row r="538">
          <cell r="A538">
            <v>23405115</v>
          </cell>
          <cell r="B538" t="str">
            <v>부첸타우르 도면</v>
          </cell>
        </row>
        <row r="539">
          <cell r="A539">
            <v>23405116</v>
          </cell>
          <cell r="B539" t="str">
            <v>솔레이유 로열 도면</v>
          </cell>
        </row>
        <row r="540">
          <cell r="A540">
            <v>23405117</v>
          </cell>
          <cell r="B540" t="str">
            <v>크로난 도면</v>
          </cell>
        </row>
        <row r="541">
          <cell r="A541">
            <v>23405118</v>
          </cell>
          <cell r="B541" t="str">
            <v>더제번 도면</v>
          </cell>
        </row>
        <row r="542">
          <cell r="A542">
            <v>23405119</v>
          </cell>
          <cell r="B542" t="str">
            <v>빅토리 도면</v>
          </cell>
        </row>
        <row r="543">
          <cell r="A543">
            <v>23405120</v>
          </cell>
          <cell r="B543" t="str">
            <v>인게르마늘란트 도면</v>
          </cell>
        </row>
        <row r="544">
          <cell r="A544">
            <v>23405121</v>
          </cell>
          <cell r="B544" t="str">
            <v>그랑 안 프류트 도면</v>
          </cell>
        </row>
        <row r="545">
          <cell r="A545">
            <v>23405122</v>
          </cell>
          <cell r="B545" t="str">
            <v>몽충 도면</v>
          </cell>
        </row>
        <row r="546">
          <cell r="A546">
            <v>23405123</v>
          </cell>
          <cell r="B546" t="str">
            <v>주가 도면</v>
          </cell>
        </row>
        <row r="547">
          <cell r="A547">
            <v>23405124</v>
          </cell>
          <cell r="B547" t="str">
            <v>누선 도면</v>
          </cell>
        </row>
        <row r="548">
          <cell r="A548">
            <v>23405125</v>
          </cell>
          <cell r="B548" t="str">
            <v>해남선 도면</v>
          </cell>
        </row>
        <row r="549">
          <cell r="A549">
            <v>23405126</v>
          </cell>
          <cell r="B549" t="str">
            <v>정성공의 해남선 도면</v>
          </cell>
        </row>
        <row r="550">
          <cell r="A550">
            <v>23405127</v>
          </cell>
          <cell r="B550" t="str">
            <v>천지환 도면</v>
          </cell>
        </row>
        <row r="551">
          <cell r="A551">
            <v>23405128</v>
          </cell>
          <cell r="B551" t="str">
            <v>진공선 도면</v>
          </cell>
        </row>
        <row r="552">
          <cell r="A552">
            <v>23405129</v>
          </cell>
          <cell r="B552" t="str">
            <v>위더 도면</v>
          </cell>
        </row>
        <row r="553">
          <cell r="A553">
            <v>23405130</v>
          </cell>
          <cell r="B553" t="str">
            <v>벨로나 도면</v>
          </cell>
        </row>
        <row r="554">
          <cell r="A554">
            <v>23405131</v>
          </cell>
          <cell r="B554" t="str">
            <v>아라키선 도면</v>
          </cell>
        </row>
        <row r="555">
          <cell r="A555">
            <v>23405132</v>
          </cell>
          <cell r="B555" t="str">
            <v>보선 도면</v>
          </cell>
        </row>
        <row r="556">
          <cell r="A556">
            <v>23405133</v>
          </cell>
          <cell r="B556" t="str">
            <v>만선 도면</v>
          </cell>
        </row>
        <row r="557">
          <cell r="A557">
            <v>23405134</v>
          </cell>
          <cell r="B557" t="str">
            <v>대판옥선 도면</v>
          </cell>
        </row>
        <row r="558">
          <cell r="A558">
            <v>23405135</v>
          </cell>
          <cell r="B558" t="str">
            <v>몽동 도면</v>
          </cell>
        </row>
        <row r="559">
          <cell r="A559">
            <v>23405136</v>
          </cell>
          <cell r="B559" t="str">
            <v>양선 도면</v>
          </cell>
        </row>
        <row r="560">
          <cell r="A560">
            <v>23405137</v>
          </cell>
          <cell r="B560" t="str">
            <v>황금 한자 코그 도면</v>
          </cell>
        </row>
        <row r="561">
          <cell r="A561">
            <v>23405191</v>
          </cell>
          <cell r="B561" t="str">
            <v>종 도면</v>
          </cell>
        </row>
        <row r="562">
          <cell r="A562">
            <v>23405205</v>
          </cell>
          <cell r="B562" t="str">
            <v>대효선 도면</v>
          </cell>
        </row>
        <row r="563">
          <cell r="A563">
            <v>23405206</v>
          </cell>
          <cell r="B563" t="str">
            <v>용주 도면</v>
          </cell>
        </row>
        <row r="564">
          <cell r="A564">
            <v>23405207</v>
          </cell>
          <cell r="B564" t="str">
            <v>누전선 도면</v>
          </cell>
        </row>
        <row r="565">
          <cell r="A565">
            <v>23405208</v>
          </cell>
          <cell r="B565" t="str">
            <v>병선 도면</v>
          </cell>
        </row>
        <row r="566">
          <cell r="A566">
            <v>23405209</v>
          </cell>
          <cell r="B566" t="str">
            <v>투함 도면</v>
          </cell>
        </row>
        <row r="567">
          <cell r="A567">
            <v>23405210</v>
          </cell>
          <cell r="B567" t="str">
            <v>평전선 도면</v>
          </cell>
        </row>
        <row r="568">
          <cell r="A568">
            <v>23405211</v>
          </cell>
          <cell r="B568" t="str">
            <v>정크 스쿠너 도면</v>
          </cell>
        </row>
        <row r="569">
          <cell r="A569">
            <v>23405212</v>
          </cell>
          <cell r="B569" t="str">
            <v>황금 타렛테 도면</v>
          </cell>
        </row>
        <row r="570">
          <cell r="A570">
            <v>23409999</v>
          </cell>
          <cell r="B570" t="str">
            <v>목제 아스트롤라베</v>
          </cell>
        </row>
        <row r="571">
          <cell r="A571">
            <v>23410000</v>
          </cell>
          <cell r="B571" t="str">
            <v>청동 아스트롤라베</v>
          </cell>
        </row>
        <row r="572">
          <cell r="A572">
            <v>23410001</v>
          </cell>
          <cell r="B572" t="str">
            <v>백은 아스트롤라베</v>
          </cell>
        </row>
        <row r="573">
          <cell r="A573">
            <v>23410002</v>
          </cell>
          <cell r="B573" t="str">
            <v>황금 아스트롤라베</v>
          </cell>
        </row>
        <row r="574">
          <cell r="A574">
            <v>23410003</v>
          </cell>
          <cell r="B574" t="str">
            <v>다이아몬드 아스트롤라베</v>
          </cell>
        </row>
        <row r="575">
          <cell r="A575">
            <v>23411001</v>
          </cell>
          <cell r="B575" t="str">
            <v>C등급 공용 계약서</v>
          </cell>
        </row>
        <row r="576">
          <cell r="A576">
            <v>23411002</v>
          </cell>
          <cell r="B576" t="str">
            <v>B등급 공용 계약서</v>
          </cell>
        </row>
        <row r="577">
          <cell r="A577">
            <v>23411003</v>
          </cell>
          <cell r="B577" t="str">
            <v>A등급 공용 계약서</v>
          </cell>
        </row>
        <row r="578">
          <cell r="A578">
            <v>23411004</v>
          </cell>
          <cell r="B578" t="str">
            <v>S등급 공용 계약서</v>
          </cell>
        </row>
        <row r="579">
          <cell r="A579">
            <v>23413001</v>
          </cell>
          <cell r="B579" t="str">
            <v>조안 페레로 계약서</v>
          </cell>
        </row>
        <row r="580">
          <cell r="A580">
            <v>23413002</v>
          </cell>
          <cell r="B580" t="str">
            <v>카탈리나 에란초 계약서</v>
          </cell>
        </row>
        <row r="581">
          <cell r="A581">
            <v>23413003</v>
          </cell>
          <cell r="B581" t="str">
            <v>알 베자스 계약서</v>
          </cell>
        </row>
        <row r="582">
          <cell r="A582">
            <v>23413004</v>
          </cell>
          <cell r="B582" t="str">
            <v>옷토 스피노라 계약서</v>
          </cell>
        </row>
        <row r="583">
          <cell r="A583">
            <v>23413005</v>
          </cell>
          <cell r="B583" t="str">
            <v>에르네스트 로페스 계약서</v>
          </cell>
        </row>
        <row r="584">
          <cell r="A584">
            <v>23413006</v>
          </cell>
          <cell r="B584" t="str">
            <v>피에트로 콘티 계약서</v>
          </cell>
        </row>
        <row r="585">
          <cell r="A585">
            <v>23413007</v>
          </cell>
          <cell r="B585" t="str">
            <v>밀란다 베르테 계약서</v>
          </cell>
        </row>
        <row r="586">
          <cell r="A586">
            <v>23413008</v>
          </cell>
          <cell r="B586" t="str">
            <v>살바도르 레이스 계약서</v>
          </cell>
        </row>
        <row r="587">
          <cell r="A587">
            <v>23413009</v>
          </cell>
          <cell r="B587" t="str">
            <v>레온 페레로 계약서</v>
          </cell>
        </row>
        <row r="588">
          <cell r="A588">
            <v>23413010</v>
          </cell>
          <cell r="B588" t="str">
            <v>정화 계약서</v>
          </cell>
        </row>
        <row r="589">
          <cell r="A589">
            <v>23413011</v>
          </cell>
          <cell r="B589" t="str">
            <v>척계광 계약서</v>
          </cell>
        </row>
        <row r="590">
          <cell r="A590">
            <v>23413012</v>
          </cell>
          <cell r="B590" t="str">
            <v>그레이스 오말리 계약서</v>
          </cell>
        </row>
        <row r="591">
          <cell r="A591">
            <v>23413013</v>
          </cell>
          <cell r="B591" t="str">
            <v>정성공 계약서</v>
          </cell>
        </row>
        <row r="592">
          <cell r="A592">
            <v>23413014</v>
          </cell>
          <cell r="B592" t="str">
            <v>김만덕 계약서</v>
          </cell>
        </row>
        <row r="593">
          <cell r="A593">
            <v>23413015</v>
          </cell>
          <cell r="B593" t="str">
            <v>홍길동 계약서</v>
          </cell>
        </row>
        <row r="594">
          <cell r="A594">
            <v>23413016</v>
          </cell>
          <cell r="B594" t="str">
            <v>이순신 계약서</v>
          </cell>
        </row>
        <row r="595">
          <cell r="A595">
            <v>23413017</v>
          </cell>
          <cell r="B595" t="str">
            <v>다테 마사무네 계약서</v>
          </cell>
        </row>
        <row r="596">
          <cell r="A596">
            <v>23413018</v>
          </cell>
          <cell r="B596" t="str">
            <v>이마이 사키 계약서</v>
          </cell>
        </row>
        <row r="597">
          <cell r="A597">
            <v>23413019</v>
          </cell>
          <cell r="B597" t="str">
            <v>누이 호쿠 계약서</v>
          </cell>
        </row>
        <row r="598">
          <cell r="A598">
            <v>23413020</v>
          </cell>
          <cell r="B598" t="str">
            <v>찬드 비비 계약서</v>
          </cell>
        </row>
        <row r="599">
          <cell r="A599">
            <v>23413021</v>
          </cell>
          <cell r="B599" t="str">
            <v>표트르 1세 계약서</v>
          </cell>
        </row>
        <row r="600">
          <cell r="A600">
            <v>23413022</v>
          </cell>
          <cell r="B600" t="str">
            <v>사이이다 알 후라 계약서</v>
          </cell>
        </row>
        <row r="601">
          <cell r="A601">
            <v>23413023</v>
          </cell>
          <cell r="B601" t="str">
            <v>에르난 코르테스 계약서</v>
          </cell>
        </row>
        <row r="602">
          <cell r="A602">
            <v>23413024</v>
          </cell>
          <cell r="B602" t="str">
            <v>앤 보니 계약서</v>
          </cell>
        </row>
        <row r="603">
          <cell r="A603">
            <v>23413025</v>
          </cell>
          <cell r="B603" t="str">
            <v>필리 레이스 계약서</v>
          </cell>
        </row>
        <row r="604">
          <cell r="A604">
            <v>23413026</v>
          </cell>
          <cell r="B604" t="str">
            <v>파브리스 페레로 계약서</v>
          </cell>
        </row>
        <row r="605">
          <cell r="A605">
            <v>23414001</v>
          </cell>
          <cell r="B605" t="str">
            <v>잔 다르크 계약서</v>
          </cell>
        </row>
        <row r="606">
          <cell r="A606">
            <v>23414002</v>
          </cell>
          <cell r="B606" t="str">
            <v>사피예 술탄 계약서</v>
          </cell>
        </row>
        <row r="607">
          <cell r="A607">
            <v>23414003</v>
          </cell>
          <cell r="B607" t="str">
            <v>마리 앙투아네트 계약서</v>
          </cell>
        </row>
        <row r="608">
          <cell r="A608">
            <v>23414004</v>
          </cell>
          <cell r="B608" t="str">
            <v>알프레드 로우 계약서</v>
          </cell>
        </row>
        <row r="609">
          <cell r="A609">
            <v>23414005</v>
          </cell>
          <cell r="B609" t="str">
            <v>하이레딘 레이스 계약서</v>
          </cell>
        </row>
        <row r="610">
          <cell r="A610">
            <v>23414006</v>
          </cell>
          <cell r="B610" t="str">
            <v>메흐메트 슐루크 계약서</v>
          </cell>
        </row>
        <row r="611">
          <cell r="A611">
            <v>23414007</v>
          </cell>
          <cell r="B611" t="str">
            <v>카라 룸루 계약서</v>
          </cell>
        </row>
        <row r="612">
          <cell r="A612">
            <v>23414008</v>
          </cell>
          <cell r="B612" t="str">
            <v>로코 알렘켈 계약서</v>
          </cell>
        </row>
        <row r="613">
          <cell r="A613">
            <v>23414009</v>
          </cell>
          <cell r="B613" t="str">
            <v>오다 노부나가 계약서</v>
          </cell>
        </row>
        <row r="614">
          <cell r="A614">
            <v>23414010</v>
          </cell>
          <cell r="B614" t="str">
            <v>크리스토발 콜론 계약서</v>
          </cell>
        </row>
        <row r="615">
          <cell r="A615">
            <v>23414011</v>
          </cell>
          <cell r="B615" t="str">
            <v>줄리 도비니 계약서</v>
          </cell>
        </row>
        <row r="616">
          <cell r="A616">
            <v>23414012</v>
          </cell>
          <cell r="B616" t="str">
            <v>페르난도 데마가야네스 계약서</v>
          </cell>
        </row>
        <row r="617">
          <cell r="A617">
            <v>23414013</v>
          </cell>
          <cell r="B617" t="str">
            <v>쿠아우테목 계약서</v>
          </cell>
        </row>
        <row r="618">
          <cell r="A618">
            <v>23414014</v>
          </cell>
          <cell r="B618" t="str">
            <v>소피아 알렉세예브나 계약서</v>
          </cell>
        </row>
        <row r="619">
          <cell r="A619">
            <v>23414015</v>
          </cell>
          <cell r="B619" t="str">
            <v>호레스 디스탈디 계약서</v>
          </cell>
        </row>
        <row r="620">
          <cell r="A620">
            <v>23414016</v>
          </cell>
          <cell r="B620" t="str">
            <v>레오나르도 다빈치 계약서</v>
          </cell>
        </row>
        <row r="621">
          <cell r="A621">
            <v>23414017</v>
          </cell>
          <cell r="B621" t="str">
            <v>우르지 바르바로사 계약서</v>
          </cell>
        </row>
        <row r="622">
          <cell r="A622">
            <v>23414018</v>
          </cell>
          <cell r="B622" t="str">
            <v>체사레 보르자 계약서</v>
          </cell>
        </row>
        <row r="623">
          <cell r="A623">
            <v>23414019</v>
          </cell>
          <cell r="B623" t="str">
            <v>마리아 에스트라다 계약서</v>
          </cell>
        </row>
        <row r="624">
          <cell r="A624">
            <v>23414020</v>
          </cell>
          <cell r="B624" t="str">
            <v>프랜시스 드레이크 계약서</v>
          </cell>
        </row>
        <row r="625">
          <cell r="A625">
            <v>23414021</v>
          </cell>
          <cell r="B625" t="str">
            <v>갈릴레오 갈릴레이 계약서</v>
          </cell>
        </row>
        <row r="626">
          <cell r="A626">
            <v>23414022</v>
          </cell>
          <cell r="B626" t="str">
            <v>아이작 뉴턴 계약서</v>
          </cell>
        </row>
        <row r="627">
          <cell r="A627">
            <v>23414023</v>
          </cell>
          <cell r="B627" t="str">
            <v>에드워드 티치 계약서</v>
          </cell>
        </row>
        <row r="628">
          <cell r="A628">
            <v>23414024</v>
          </cell>
          <cell r="B628" t="str">
            <v>바솔로뮤 로버츠 계약서</v>
          </cell>
        </row>
        <row r="629">
          <cell r="A629">
            <v>23414025</v>
          </cell>
          <cell r="B629" t="str">
            <v>호레이쇼 넬슨 계약서</v>
          </cell>
        </row>
        <row r="630">
          <cell r="A630">
            <v>23414026</v>
          </cell>
          <cell r="B630" t="str">
            <v>에드워드 잉글랜드 계약서</v>
          </cell>
        </row>
        <row r="631">
          <cell r="A631">
            <v>23414027</v>
          </cell>
          <cell r="B631" t="str">
            <v>토마스 튜 계약서</v>
          </cell>
        </row>
        <row r="632">
          <cell r="A632">
            <v>23414028</v>
          </cell>
          <cell r="B632" t="str">
            <v>장 플뢰리 계약서</v>
          </cell>
        </row>
        <row r="633">
          <cell r="A633">
            <v>23414029</v>
          </cell>
          <cell r="B633" t="str">
            <v>도쿠가와 이에야스 계약서</v>
          </cell>
        </row>
        <row r="634">
          <cell r="A634">
            <v>23414030</v>
          </cell>
          <cell r="B634" t="str">
            <v>마히데브란 계약서</v>
          </cell>
        </row>
        <row r="635">
          <cell r="A635">
            <v>23414031</v>
          </cell>
          <cell r="B635" t="str">
            <v>황진 계약서</v>
          </cell>
        </row>
        <row r="636">
          <cell r="A636">
            <v>23414032</v>
          </cell>
          <cell r="B636" t="str">
            <v>마리아 마가레타 빙켈만 계약서</v>
          </cell>
        </row>
        <row r="637">
          <cell r="A637">
            <v>23414033</v>
          </cell>
          <cell r="B637" t="str">
            <v>타치바나 긴치요 계약서</v>
          </cell>
        </row>
        <row r="638">
          <cell r="A638">
            <v>23414034</v>
          </cell>
          <cell r="B638" t="str">
            <v>장금 계약서</v>
          </cell>
        </row>
        <row r="639">
          <cell r="A639">
            <v>23414035</v>
          </cell>
          <cell r="B639" t="str">
            <v>루크레치아 보르자 계약서</v>
          </cell>
        </row>
        <row r="640">
          <cell r="A640">
            <v>23414036</v>
          </cell>
          <cell r="B640" t="str">
            <v>카테리나 스포르차 계약서</v>
          </cell>
        </row>
        <row r="641">
          <cell r="A641">
            <v>23414037</v>
          </cell>
          <cell r="B641" t="str">
            <v>이사벨라 데스테 계약서</v>
          </cell>
        </row>
        <row r="642">
          <cell r="A642">
            <v>23414038</v>
          </cell>
          <cell r="B642" t="str">
            <v>마르거리트 드발루아 계약서</v>
          </cell>
        </row>
        <row r="643">
          <cell r="A643">
            <v>23414039</v>
          </cell>
          <cell r="B643" t="str">
            <v>카테리나 데메디치 계약서</v>
          </cell>
        </row>
        <row r="644">
          <cell r="A644">
            <v>23414040</v>
          </cell>
          <cell r="B644" t="str">
            <v>잔 바레 계약서</v>
          </cell>
        </row>
        <row r="645">
          <cell r="A645">
            <v>23414041</v>
          </cell>
          <cell r="B645" t="str">
            <v>메리 스튜어트 계약서</v>
          </cell>
        </row>
        <row r="646">
          <cell r="A646">
            <v>23414042</v>
          </cell>
          <cell r="B646" t="str">
            <v>예카테리나 1세 계약서</v>
          </cell>
        </row>
        <row r="647">
          <cell r="A647">
            <v>23414043</v>
          </cell>
          <cell r="B647" t="str">
            <v>쿠말라하야티 계약서</v>
          </cell>
        </row>
        <row r="648">
          <cell r="A648">
            <v>23414044</v>
          </cell>
          <cell r="B648" t="str">
            <v>메리 리드 계약서</v>
          </cell>
        </row>
        <row r="649">
          <cell r="A649">
            <v>23414045</v>
          </cell>
          <cell r="B649" t="str">
            <v>아미나 계약서</v>
          </cell>
        </row>
        <row r="650">
          <cell r="A650">
            <v>23414046</v>
          </cell>
          <cell r="B650" t="str">
            <v>진양옥 계약서</v>
          </cell>
        </row>
        <row r="651">
          <cell r="A651">
            <v>23414047</v>
          </cell>
          <cell r="B651" t="str">
            <v>샬롯 드베리 계약서</v>
          </cell>
        </row>
        <row r="652">
          <cell r="A652">
            <v>23414048</v>
          </cell>
          <cell r="B652" t="str">
            <v>안드레아 그리마니 계약서</v>
          </cell>
        </row>
        <row r="653">
          <cell r="A653">
            <v>23414049</v>
          </cell>
          <cell r="B653" t="str">
            <v>가르시아 알바레스 계약서</v>
          </cell>
        </row>
        <row r="654">
          <cell r="A654">
            <v>23414050</v>
          </cell>
          <cell r="B654" t="str">
            <v>에르난 베리오 계약서</v>
          </cell>
        </row>
        <row r="655">
          <cell r="A655">
            <v>23414051</v>
          </cell>
          <cell r="B655" t="str">
            <v>아이든 레이스 계약서</v>
          </cell>
        </row>
        <row r="656">
          <cell r="A656">
            <v>23414052</v>
          </cell>
          <cell r="B656" t="str">
            <v>루이 코스타 계약서</v>
          </cell>
        </row>
        <row r="657">
          <cell r="A657">
            <v>23414053</v>
          </cell>
          <cell r="B657" t="str">
            <v>아고스티노 바르바리고 계약서</v>
          </cell>
        </row>
        <row r="658">
          <cell r="A658">
            <v>23414054</v>
          </cell>
          <cell r="B658" t="str">
            <v>다라 쉰 계약서</v>
          </cell>
        </row>
        <row r="659">
          <cell r="A659">
            <v>23414055</v>
          </cell>
          <cell r="B659" t="str">
            <v>하코보 포르툰데 계약서</v>
          </cell>
        </row>
        <row r="660">
          <cell r="A660">
            <v>23414056</v>
          </cell>
          <cell r="B660" t="str">
            <v>필럼 헤인 계약서</v>
          </cell>
        </row>
        <row r="661">
          <cell r="A661">
            <v>23414057</v>
          </cell>
          <cell r="B661" t="str">
            <v>안드레아 도리아 계약서</v>
          </cell>
        </row>
        <row r="662">
          <cell r="A662">
            <v>23414058</v>
          </cell>
          <cell r="B662" t="str">
            <v>뮈에진자데 알리 파샤 계약서</v>
          </cell>
        </row>
        <row r="663">
          <cell r="A663">
            <v>23414059</v>
          </cell>
          <cell r="B663" t="str">
            <v>후안 폰세 데레온 계약서</v>
          </cell>
        </row>
        <row r="664">
          <cell r="A664">
            <v>23414060</v>
          </cell>
          <cell r="B664" t="str">
            <v>시모네타 베스푸치 계약서</v>
          </cell>
        </row>
        <row r="665">
          <cell r="A665">
            <v>23414061</v>
          </cell>
          <cell r="B665" t="str">
            <v>아폰수 드알부케르크 계약서</v>
          </cell>
        </row>
        <row r="666">
          <cell r="A666">
            <v>23414062</v>
          </cell>
          <cell r="B666" t="str">
            <v>가스팔 신트라 계약서</v>
          </cell>
        </row>
        <row r="667">
          <cell r="A667">
            <v>23414063</v>
          </cell>
          <cell r="B667" t="str">
            <v>임상옥 계약서</v>
          </cell>
        </row>
        <row r="668">
          <cell r="A668">
            <v>23414064</v>
          </cell>
          <cell r="B668" t="str">
            <v>바바라 팔머 계약서</v>
          </cell>
        </row>
        <row r="669">
          <cell r="A669">
            <v>23414065</v>
          </cell>
          <cell r="B669" t="str">
            <v>바스쿠 다가마 계약서</v>
          </cell>
        </row>
        <row r="670">
          <cell r="A670">
            <v>23414066</v>
          </cell>
          <cell r="B670" t="str">
            <v>존 호킨스 계약서</v>
          </cell>
        </row>
        <row r="671">
          <cell r="A671">
            <v>23414067</v>
          </cell>
          <cell r="B671" t="str">
            <v>구키 요시타카 계약서</v>
          </cell>
        </row>
        <row r="672">
          <cell r="A672">
            <v>23414068</v>
          </cell>
          <cell r="B672" t="str">
            <v>돈 후안 데아우스트리아 계약서</v>
          </cell>
        </row>
        <row r="673">
          <cell r="A673">
            <v>23414069</v>
          </cell>
          <cell r="B673" t="str">
            <v>리슐리외 계약서</v>
          </cell>
        </row>
        <row r="674">
          <cell r="A674">
            <v>23414070</v>
          </cell>
          <cell r="B674" t="str">
            <v>제임스 쿡 계약서</v>
          </cell>
        </row>
        <row r="675">
          <cell r="A675">
            <v>23414071</v>
          </cell>
          <cell r="B675" t="str">
            <v>엔히크 드아비스 계약서</v>
          </cell>
        </row>
        <row r="676">
          <cell r="A676">
            <v>23414072</v>
          </cell>
          <cell r="B676" t="str">
            <v>주앙 다노바 계약서</v>
          </cell>
        </row>
        <row r="677">
          <cell r="A677">
            <v>23414073</v>
          </cell>
          <cell r="B677" t="str">
            <v>바스코 누녜스 데발보아 계약서</v>
          </cell>
        </row>
        <row r="678">
          <cell r="A678">
            <v>23414074</v>
          </cell>
          <cell r="B678" t="str">
            <v>스티드 보닛 계약서</v>
          </cell>
        </row>
        <row r="679">
          <cell r="A679">
            <v>23414075</v>
          </cell>
          <cell r="B679" t="str">
            <v>마리아 지빌라 메리안 계약서</v>
          </cell>
        </row>
        <row r="680">
          <cell r="A680">
            <v>23414076</v>
          </cell>
          <cell r="B680" t="str">
            <v>헨드릭 하멜 계약서</v>
          </cell>
        </row>
        <row r="681">
          <cell r="A681">
            <v>23414077</v>
          </cell>
          <cell r="B681" t="str">
            <v>조지 앤슨 계약서</v>
          </cell>
        </row>
        <row r="682">
          <cell r="A682">
            <v>23414078</v>
          </cell>
          <cell r="B682" t="str">
            <v>존 바이런 계약서</v>
          </cell>
        </row>
        <row r="683">
          <cell r="A683">
            <v>23414079</v>
          </cell>
          <cell r="B683" t="str">
            <v>가토 기요마사 계약서</v>
          </cell>
        </row>
        <row r="684">
          <cell r="A684">
            <v>23414080</v>
          </cell>
          <cell r="B684" t="str">
            <v>루프마티 계약서</v>
          </cell>
        </row>
        <row r="685">
          <cell r="A685">
            <v>23414081</v>
          </cell>
          <cell r="B685" t="str">
            <v>필리푸스 파라켈수스 계약서</v>
          </cell>
        </row>
        <row r="686">
          <cell r="A686">
            <v>23414082</v>
          </cell>
          <cell r="B686" t="str">
            <v>안드레스 데우르다네타 계약서</v>
          </cell>
        </row>
        <row r="687">
          <cell r="A687">
            <v>23414083</v>
          </cell>
          <cell r="B687" t="str">
            <v>아흐메트 케말레딘 계약서</v>
          </cell>
        </row>
        <row r="688">
          <cell r="A688">
            <v>23414084</v>
          </cell>
          <cell r="B688" t="str">
            <v>휴 윌로비 계약서</v>
          </cell>
        </row>
        <row r="689">
          <cell r="A689">
            <v>23414085</v>
          </cell>
          <cell r="B689" t="str">
            <v>알브레히트 발렌슈타인 계약서</v>
          </cell>
        </row>
        <row r="690">
          <cell r="A690">
            <v>23414086</v>
          </cell>
          <cell r="B690" t="str">
            <v>구스타브 2세 아돌프 계약서</v>
          </cell>
        </row>
        <row r="691">
          <cell r="A691">
            <v>23414087</v>
          </cell>
          <cell r="B691" t="str">
            <v>샤를 달타냥 계약서</v>
          </cell>
        </row>
        <row r="692">
          <cell r="A692">
            <v>23414088</v>
          </cell>
          <cell r="B692" t="str">
            <v>윌리엄 키드 계약서</v>
          </cell>
        </row>
        <row r="693">
          <cell r="A693">
            <v>23414089</v>
          </cell>
          <cell r="B693" t="str">
            <v>디에고 데아라나 계약서</v>
          </cell>
        </row>
        <row r="694">
          <cell r="A694">
            <v>23414090</v>
          </cell>
          <cell r="B694" t="str">
            <v>디안 드푸아티에 계약서</v>
          </cell>
        </row>
        <row r="695">
          <cell r="A695">
            <v>23414091</v>
          </cell>
          <cell r="B695" t="str">
            <v>루이 앙투안 드부갱빌 계약서</v>
          </cell>
        </row>
        <row r="696">
          <cell r="A696">
            <v>23414092</v>
          </cell>
          <cell r="B696" t="str">
            <v>후아나 이녜스 계약서</v>
          </cell>
        </row>
        <row r="697">
          <cell r="A697">
            <v>23414093</v>
          </cell>
          <cell r="B697" t="str">
            <v>요하네스 케플러 계약서</v>
          </cell>
        </row>
        <row r="698">
          <cell r="A698">
            <v>23414094</v>
          </cell>
          <cell r="B698" t="str">
            <v>최무선 계약서</v>
          </cell>
        </row>
        <row r="699">
          <cell r="A699">
            <v>23414095</v>
          </cell>
          <cell r="B699" t="str">
            <v>하웰 데이비스 계약서</v>
          </cell>
        </row>
        <row r="700">
          <cell r="A700">
            <v>23414096</v>
          </cell>
          <cell r="B700" t="str">
            <v>이븐 바투타 계약서</v>
          </cell>
        </row>
        <row r="701">
          <cell r="A701">
            <v>23414097</v>
          </cell>
          <cell r="B701" t="str">
            <v>권준 계약서</v>
          </cell>
        </row>
        <row r="702">
          <cell r="A702">
            <v>23414098</v>
          </cell>
          <cell r="B702" t="str">
            <v>트레볼 에스티브라 계약서</v>
          </cell>
        </row>
        <row r="703">
          <cell r="A703">
            <v>23414099</v>
          </cell>
          <cell r="B703" t="str">
            <v>오즈월드 레밍톤 계약서</v>
          </cell>
        </row>
        <row r="704">
          <cell r="A704">
            <v>23414100</v>
          </cell>
          <cell r="B704" t="str">
            <v>투르구트 레이스 계약서</v>
          </cell>
        </row>
        <row r="705">
          <cell r="A705">
            <v>23414101</v>
          </cell>
          <cell r="B705" t="str">
            <v>입부 계약서</v>
          </cell>
        </row>
        <row r="706">
          <cell r="A706">
            <v>23414102</v>
          </cell>
          <cell r="B706" t="str">
            <v>휘렘 술탄 계약서</v>
          </cell>
        </row>
        <row r="707">
          <cell r="A707">
            <v>23414103</v>
          </cell>
          <cell r="B707" t="str">
            <v>김홍도 계약서</v>
          </cell>
        </row>
        <row r="708">
          <cell r="A708">
            <v>23414104</v>
          </cell>
          <cell r="B708" t="str">
            <v>주여화 계약서</v>
          </cell>
        </row>
        <row r="709">
          <cell r="A709">
            <v>23414105</v>
          </cell>
          <cell r="B709" t="str">
            <v>알론소 데카르데나스 계약서</v>
          </cell>
        </row>
        <row r="710">
          <cell r="A710">
            <v>23414106</v>
          </cell>
          <cell r="B710" t="str">
            <v>전우치 계약서</v>
          </cell>
        </row>
        <row r="711">
          <cell r="A711">
            <v>23414107</v>
          </cell>
          <cell r="B711" t="str">
            <v>임꺽정 계약서</v>
          </cell>
        </row>
        <row r="712">
          <cell r="A712">
            <v>23414108</v>
          </cell>
          <cell r="B712" t="str">
            <v>이즈모 오쿠니 계약서</v>
          </cell>
        </row>
        <row r="713">
          <cell r="A713">
            <v>23414109</v>
          </cell>
          <cell r="B713" t="str">
            <v>테쿠이치포츠 이시카쇼치친 계약서</v>
          </cell>
        </row>
        <row r="714">
          <cell r="A714">
            <v>23414110</v>
          </cell>
          <cell r="B714" t="str">
            <v>루이스 부르주아 계약서</v>
          </cell>
        </row>
        <row r="715">
          <cell r="A715">
            <v>23414111</v>
          </cell>
          <cell r="B715" t="str">
            <v>이사벨라 코르테세 계약서</v>
          </cell>
        </row>
        <row r="716">
          <cell r="A716">
            <v>23414112</v>
          </cell>
          <cell r="B716" t="str">
            <v>로레다나 마르첼로 계약서</v>
          </cell>
        </row>
        <row r="717">
          <cell r="A717">
            <v>23414113</v>
          </cell>
          <cell r="B717" t="str">
            <v>잉엘라 가텐히엘름 계약서</v>
          </cell>
        </row>
        <row r="718">
          <cell r="A718">
            <v>23414114</v>
          </cell>
          <cell r="B718" t="str">
            <v>담윤현 계약서</v>
          </cell>
        </row>
        <row r="719">
          <cell r="A719">
            <v>23414115</v>
          </cell>
          <cell r="B719" t="str">
            <v>레베카 롤프 계약서</v>
          </cell>
        </row>
        <row r="720">
          <cell r="A720">
            <v>23414116</v>
          </cell>
          <cell r="B720" t="str">
            <v>타즐루 하눔 계약서</v>
          </cell>
        </row>
        <row r="721">
          <cell r="A721">
            <v>23414117</v>
          </cell>
          <cell r="B721" t="str">
            <v>아바카 초우타 계약서</v>
          </cell>
        </row>
        <row r="722">
          <cell r="A722">
            <v>23414118</v>
          </cell>
          <cell r="B722" t="str">
            <v>가이타나 계약서</v>
          </cell>
        </row>
        <row r="723">
          <cell r="A723">
            <v>23414119</v>
          </cell>
          <cell r="B723" t="str">
            <v>이네스 데수아레스 계약서</v>
          </cell>
        </row>
        <row r="724">
          <cell r="A724">
            <v>23414120</v>
          </cell>
          <cell r="B724" t="str">
            <v>뭄타즈 마할 계약서</v>
          </cell>
        </row>
        <row r="725">
          <cell r="A725">
            <v>23414121</v>
          </cell>
          <cell r="B725" t="str">
            <v>말린체 계약서</v>
          </cell>
        </row>
        <row r="726">
          <cell r="A726">
            <v>23414122</v>
          </cell>
          <cell r="B726" t="str">
            <v>크리스티나 알렉산드라 계약서</v>
          </cell>
        </row>
        <row r="727">
          <cell r="A727">
            <v>23414123</v>
          </cell>
          <cell r="B727" t="str">
            <v>샤를로트 코르데 계약서</v>
          </cell>
        </row>
        <row r="728">
          <cell r="A728">
            <v>23414124</v>
          </cell>
          <cell r="B728" t="str">
            <v>노라 에켈멘디트 계약서</v>
          </cell>
        </row>
        <row r="729">
          <cell r="A729">
            <v>23414125</v>
          </cell>
          <cell r="B729" t="str">
            <v>심운영 계약서</v>
          </cell>
        </row>
        <row r="730">
          <cell r="A730">
            <v>23414126</v>
          </cell>
          <cell r="B730" t="str">
            <v>마리 앤 계약서</v>
          </cell>
        </row>
        <row r="731">
          <cell r="A731">
            <v>23414127</v>
          </cell>
          <cell r="B731" t="str">
            <v>레이첼 월 계약서</v>
          </cell>
        </row>
        <row r="732">
          <cell r="A732">
            <v>23414128</v>
          </cell>
          <cell r="B732" t="str">
            <v>이자벨 드로렌 계약서</v>
          </cell>
        </row>
        <row r="733">
          <cell r="A733">
            <v>23414129</v>
          </cell>
          <cell r="B733" t="str">
            <v>앤 불린 계약서</v>
          </cell>
        </row>
        <row r="734">
          <cell r="A734">
            <v>23414130</v>
          </cell>
          <cell r="B734" t="str">
            <v>아나 데멘도사 계약서</v>
          </cell>
        </row>
        <row r="735">
          <cell r="A735">
            <v>23414131</v>
          </cell>
          <cell r="B735" t="str">
            <v>카탈리나 데에라우소 계약서</v>
          </cell>
        </row>
        <row r="736">
          <cell r="A736">
            <v>23414132</v>
          </cell>
          <cell r="B736" t="str">
            <v>안 도트리슈 계약서</v>
          </cell>
        </row>
        <row r="737">
          <cell r="A737">
            <v>23414133</v>
          </cell>
          <cell r="B737" t="str">
            <v>아흐메트 무히딘 계약서</v>
          </cell>
        </row>
        <row r="738">
          <cell r="A738">
            <v>23414134</v>
          </cell>
          <cell r="B738" t="str">
            <v>하프메트 그라니에 계약서</v>
          </cell>
        </row>
        <row r="739">
          <cell r="A739">
            <v>23414135</v>
          </cell>
          <cell r="B739" t="str">
            <v>레오 아프리카누스 계약서</v>
          </cell>
        </row>
        <row r="740">
          <cell r="A740">
            <v>23414136</v>
          </cell>
          <cell r="B740" t="str">
            <v>아폰수 안드라드 계약서</v>
          </cell>
        </row>
        <row r="741">
          <cell r="A741">
            <v>23414137</v>
          </cell>
          <cell r="B741" t="str">
            <v>알로이지 조반니 계약서</v>
          </cell>
        </row>
        <row r="742">
          <cell r="A742">
            <v>23414138</v>
          </cell>
          <cell r="B742" t="str">
            <v>알렉산드로 바조 계약서</v>
          </cell>
        </row>
        <row r="743">
          <cell r="A743">
            <v>23414139</v>
          </cell>
          <cell r="B743" t="str">
            <v>안드레아 기지 계약서</v>
          </cell>
        </row>
        <row r="744">
          <cell r="A744">
            <v>23414140</v>
          </cell>
          <cell r="B744" t="str">
            <v>안토니오 칸 계약서</v>
          </cell>
        </row>
        <row r="745">
          <cell r="A745">
            <v>23414141</v>
          </cell>
          <cell r="B745" t="str">
            <v>디에고 데쿠에야르 계약서</v>
          </cell>
        </row>
        <row r="746">
          <cell r="A746">
            <v>23414142</v>
          </cell>
          <cell r="B746" t="str">
            <v>카미로 스테파노 계약서</v>
          </cell>
        </row>
        <row r="747">
          <cell r="A747">
            <v>23414143</v>
          </cell>
          <cell r="B747" t="str">
            <v>디오구 파군드스 계약서</v>
          </cell>
        </row>
        <row r="748">
          <cell r="A748">
            <v>23414144</v>
          </cell>
          <cell r="B748" t="str">
            <v>도밍고 마냐나 계약서</v>
          </cell>
        </row>
        <row r="749">
          <cell r="A749">
            <v>23414145</v>
          </cell>
          <cell r="B749" t="str">
            <v>에드먼드 길버트 계약서</v>
          </cell>
        </row>
        <row r="750">
          <cell r="A750">
            <v>23414146</v>
          </cell>
          <cell r="B750" t="str">
            <v>프랑코 사누드 계약서</v>
          </cell>
        </row>
        <row r="751">
          <cell r="A751">
            <v>23414147</v>
          </cell>
          <cell r="B751" t="str">
            <v>엔리코 마리오네 계약서</v>
          </cell>
        </row>
        <row r="752">
          <cell r="A752">
            <v>23414148</v>
          </cell>
          <cell r="B752" t="str">
            <v>에스테반 오르테가 계약서</v>
          </cell>
        </row>
        <row r="753">
          <cell r="A753">
            <v>23414149</v>
          </cell>
          <cell r="B753" t="str">
            <v>페르낭 멘드스 핀투 계약서</v>
          </cell>
        </row>
        <row r="754">
          <cell r="A754">
            <v>23414150</v>
          </cell>
          <cell r="B754" t="str">
            <v>케빈 피셔 계약서</v>
          </cell>
        </row>
        <row r="755">
          <cell r="A755">
            <v>23414152</v>
          </cell>
          <cell r="B755" t="str">
            <v>로이드 스탓텐 계약서</v>
          </cell>
        </row>
        <row r="756">
          <cell r="A756">
            <v>23414153</v>
          </cell>
          <cell r="B756" t="str">
            <v>존 래컴 계약서</v>
          </cell>
        </row>
        <row r="757">
          <cell r="A757">
            <v>23414154</v>
          </cell>
          <cell r="B757" t="str">
            <v>존 데이비스 계약서</v>
          </cell>
        </row>
        <row r="758">
          <cell r="A758">
            <v>23414155</v>
          </cell>
          <cell r="B758" t="str">
            <v>로렌주 핀투 계약서</v>
          </cell>
        </row>
        <row r="759">
          <cell r="A759">
            <v>23414156</v>
          </cell>
          <cell r="B759" t="str">
            <v>루이스 스콧 계약서</v>
          </cell>
        </row>
        <row r="760">
          <cell r="A760">
            <v>23414157</v>
          </cell>
          <cell r="B760" t="str">
            <v>후안 데라 코사 계약서</v>
          </cell>
        </row>
        <row r="761">
          <cell r="A761">
            <v>23414158</v>
          </cell>
          <cell r="B761" t="str">
            <v>이스칼 야사르 계약서</v>
          </cell>
        </row>
        <row r="762">
          <cell r="A762">
            <v>23414159</v>
          </cell>
          <cell r="B762" t="str">
            <v>크리스티안 글로리아 계약서</v>
          </cell>
        </row>
        <row r="763">
          <cell r="A763">
            <v>23414160</v>
          </cell>
          <cell r="B763" t="str">
            <v>마슈 로이 계약서</v>
          </cell>
        </row>
        <row r="764">
          <cell r="A764">
            <v>23414161</v>
          </cell>
          <cell r="B764" t="str">
            <v>미겔 코르트 헤알 계약서</v>
          </cell>
        </row>
        <row r="765">
          <cell r="A765">
            <v>23414162</v>
          </cell>
          <cell r="B765" t="str">
            <v>니콜로 스테파노 계약서</v>
          </cell>
        </row>
        <row r="766">
          <cell r="A766">
            <v>23414163</v>
          </cell>
          <cell r="B766" t="str">
            <v>하파엘 세하누 계약서</v>
          </cell>
        </row>
        <row r="767">
          <cell r="A767">
            <v>23414164</v>
          </cell>
          <cell r="B767" t="str">
            <v>시난 파샤 계약서</v>
          </cell>
        </row>
        <row r="768">
          <cell r="A768">
            <v>23414165</v>
          </cell>
          <cell r="B768" t="str">
            <v>페론소 아기레 계약서</v>
          </cell>
        </row>
        <row r="769">
          <cell r="A769">
            <v>23414166</v>
          </cell>
          <cell r="B769" t="str">
            <v>로버트 로우 계약서</v>
          </cell>
        </row>
        <row r="770">
          <cell r="A770">
            <v>23414167</v>
          </cell>
          <cell r="B770" t="str">
            <v>마르틴 발보아 계약서</v>
          </cell>
        </row>
        <row r="771">
          <cell r="A771">
            <v>23414168</v>
          </cell>
          <cell r="B771" t="str">
            <v>자한 사림 계약서</v>
          </cell>
        </row>
        <row r="772">
          <cell r="A772">
            <v>23414169</v>
          </cell>
          <cell r="B772" t="str">
            <v>다니엘 미르자 계약서</v>
          </cell>
        </row>
        <row r="773">
          <cell r="A773">
            <v>23414170</v>
          </cell>
          <cell r="B773" t="str">
            <v>시몬 세게이라 계약서</v>
          </cell>
        </row>
        <row r="774">
          <cell r="A774">
            <v>23414171</v>
          </cell>
          <cell r="B774" t="str">
            <v>울루치 알리 계약서</v>
          </cell>
        </row>
        <row r="775">
          <cell r="A775">
            <v>23414173</v>
          </cell>
          <cell r="B775" t="str">
            <v>서굉조 계약서</v>
          </cell>
        </row>
        <row r="776">
          <cell r="A776">
            <v>23414174</v>
          </cell>
          <cell r="B776" t="str">
            <v>비센테 야녜스 핀손 계약서</v>
          </cell>
        </row>
        <row r="777">
          <cell r="A777">
            <v>23414175</v>
          </cell>
          <cell r="B777" t="str">
            <v>니콜라우 코엘류 계약서</v>
          </cell>
        </row>
        <row r="778">
          <cell r="A778">
            <v>23414176</v>
          </cell>
          <cell r="B778" t="str">
            <v>프란시스쿠 드알메이다 계약서</v>
          </cell>
        </row>
        <row r="779">
          <cell r="A779">
            <v>23414177</v>
          </cell>
          <cell r="B779" t="str">
            <v>후안 디아스 데솔리스 계약서</v>
          </cell>
        </row>
        <row r="780">
          <cell r="A780">
            <v>23414178</v>
          </cell>
          <cell r="B780" t="str">
            <v>알론소 데오헤다 계약서</v>
          </cell>
        </row>
        <row r="781">
          <cell r="A781">
            <v>23414179</v>
          </cell>
          <cell r="B781" t="str">
            <v>로드리고 데바스티다스 계약서</v>
          </cell>
        </row>
        <row r="782">
          <cell r="A782">
            <v>23414180</v>
          </cell>
          <cell r="B782" t="str">
            <v>안토니오 데베리오 계약서</v>
          </cell>
        </row>
        <row r="783">
          <cell r="A783">
            <v>23414181</v>
          </cell>
          <cell r="B783" t="str">
            <v>정지룡 계약서</v>
          </cell>
        </row>
        <row r="784">
          <cell r="A784">
            <v>23414182</v>
          </cell>
          <cell r="B784" t="str">
            <v>리차드 월리 계약서</v>
          </cell>
        </row>
        <row r="785">
          <cell r="A785">
            <v>23414183</v>
          </cell>
          <cell r="B785" t="str">
            <v>찰스 베인 계약서</v>
          </cell>
        </row>
        <row r="786">
          <cell r="A786">
            <v>23414184</v>
          </cell>
          <cell r="B786" t="str">
            <v>왕경홍 계약서</v>
          </cell>
        </row>
        <row r="787">
          <cell r="A787">
            <v>23414185</v>
          </cell>
          <cell r="B787" t="str">
            <v>알바로 데멘다냐 계약서</v>
          </cell>
        </row>
        <row r="788">
          <cell r="A788">
            <v>23414186</v>
          </cell>
          <cell r="B788" t="str">
            <v>루이스 바에스 데토레스 계약서</v>
          </cell>
        </row>
        <row r="789">
          <cell r="A789">
            <v>23414187</v>
          </cell>
          <cell r="B789" t="str">
            <v>빌럼 얀손 계약서</v>
          </cell>
        </row>
        <row r="790">
          <cell r="A790">
            <v>23414188</v>
          </cell>
          <cell r="B790" t="str">
            <v>아벌 얀손 타스만 계약서</v>
          </cell>
        </row>
        <row r="791">
          <cell r="A791">
            <v>23414189</v>
          </cell>
          <cell r="B791" t="str">
            <v>와키자카 야스하루 계약서</v>
          </cell>
        </row>
        <row r="792">
          <cell r="A792">
            <v>23414190</v>
          </cell>
          <cell r="B792" t="str">
            <v>도도 다카토라 계약서</v>
          </cell>
        </row>
        <row r="793">
          <cell r="A793">
            <v>23414191</v>
          </cell>
          <cell r="B793" t="str">
            <v>도고 구르마니 계약서</v>
          </cell>
        </row>
        <row r="794">
          <cell r="A794">
            <v>23414192</v>
          </cell>
          <cell r="B794" t="str">
            <v>고스 다카드 계약서</v>
          </cell>
        </row>
        <row r="795">
          <cell r="A795">
            <v>23414193</v>
          </cell>
          <cell r="B795" t="str">
            <v>월터 롤리 계약서</v>
          </cell>
        </row>
        <row r="796">
          <cell r="A796">
            <v>23414194</v>
          </cell>
          <cell r="B796" t="str">
            <v>베르날 델카스티요 계약서</v>
          </cell>
        </row>
        <row r="797">
          <cell r="A797">
            <v>23414195</v>
          </cell>
          <cell r="B797" t="str">
            <v>디오구 드세케이라 계약서</v>
          </cell>
        </row>
        <row r="798">
          <cell r="A798">
            <v>23414196</v>
          </cell>
          <cell r="B798" t="str">
            <v>토메 피르스 계약서</v>
          </cell>
        </row>
        <row r="799">
          <cell r="A799">
            <v>23414197</v>
          </cell>
          <cell r="B799" t="str">
            <v>미켈란젤로 부오나로티 계약서</v>
          </cell>
        </row>
        <row r="800">
          <cell r="A800">
            <v>23414198</v>
          </cell>
          <cell r="B800" t="str">
            <v>다나카 쇼스케 계약서</v>
          </cell>
        </row>
        <row r="801">
          <cell r="A801">
            <v>23414199</v>
          </cell>
          <cell r="B801" t="str">
            <v>하세쿠라 쓰네나가 계약서</v>
          </cell>
        </row>
        <row r="802">
          <cell r="A802">
            <v>23414200</v>
          </cell>
          <cell r="B802" t="str">
            <v>페르낭 드안드라드 계약서</v>
          </cell>
        </row>
        <row r="803">
          <cell r="A803">
            <v>23414201</v>
          </cell>
          <cell r="B803" t="str">
            <v>시마즈 요시히로 계약서</v>
          </cell>
        </row>
        <row r="804">
          <cell r="A804">
            <v>23414202</v>
          </cell>
          <cell r="B804" t="str">
            <v>니콜라스 데오반도 계약서</v>
          </cell>
        </row>
        <row r="805">
          <cell r="A805">
            <v>23414203</v>
          </cell>
          <cell r="B805" t="str">
            <v>안토니오 피가페타 계약서</v>
          </cell>
        </row>
        <row r="806">
          <cell r="A806">
            <v>23414204</v>
          </cell>
          <cell r="B806" t="str">
            <v>곤살로 피사로 계약서</v>
          </cell>
        </row>
        <row r="807">
          <cell r="A807">
            <v>23414205</v>
          </cell>
          <cell r="B807" t="str">
            <v>얀 피터손 쿤 계약서</v>
          </cell>
        </row>
        <row r="808">
          <cell r="A808">
            <v>23414206</v>
          </cell>
          <cell r="B808" t="str">
            <v>가스파르 코르트 헤알 계약서</v>
          </cell>
        </row>
        <row r="809">
          <cell r="A809">
            <v>23414207</v>
          </cell>
          <cell r="B809" t="str">
            <v>페르난데스 데엔시소 계약서</v>
          </cell>
        </row>
        <row r="810">
          <cell r="A810">
            <v>23414208</v>
          </cell>
          <cell r="B810" t="str">
            <v>새뮤얼 버지스 계약서</v>
          </cell>
        </row>
        <row r="811">
          <cell r="A811">
            <v>23414209</v>
          </cell>
          <cell r="B811" t="str">
            <v>로푸 드알베르가리아 계약서</v>
          </cell>
        </row>
        <row r="812">
          <cell r="A812">
            <v>23414210</v>
          </cell>
          <cell r="B812" t="str">
            <v>문순득 계약서</v>
          </cell>
        </row>
        <row r="813">
          <cell r="A813">
            <v>23414211</v>
          </cell>
          <cell r="B813" t="str">
            <v>우즈 로저스 계약서</v>
          </cell>
        </row>
        <row r="814">
          <cell r="A814">
            <v>23414212</v>
          </cell>
          <cell r="B814" t="str">
            <v>페루 다코빌량 계약서</v>
          </cell>
        </row>
        <row r="815">
          <cell r="A815">
            <v>23414213</v>
          </cell>
          <cell r="B815" t="str">
            <v>조르조 바사리 계약서</v>
          </cell>
        </row>
        <row r="816">
          <cell r="A816">
            <v>23414214</v>
          </cell>
          <cell r="B816" t="str">
            <v>두아르테 바르보사 계약서</v>
          </cell>
        </row>
        <row r="817">
          <cell r="A817">
            <v>23414215</v>
          </cell>
          <cell r="B817" t="str">
            <v>주앙 세항 계약서</v>
          </cell>
        </row>
        <row r="818">
          <cell r="A818">
            <v>23414216</v>
          </cell>
          <cell r="B818" t="str">
            <v>윌리엄 윈터 계약서</v>
          </cell>
        </row>
        <row r="819">
          <cell r="A819">
            <v>23414217</v>
          </cell>
          <cell r="B819" t="str">
            <v>얀 얀스 벨테브레이 계약서</v>
          </cell>
        </row>
        <row r="820">
          <cell r="A820">
            <v>23414218</v>
          </cell>
          <cell r="B820" t="str">
            <v>조르즈 드메네즈스 계약서</v>
          </cell>
        </row>
        <row r="821">
          <cell r="A821">
            <v>23414219</v>
          </cell>
          <cell r="B821" t="str">
            <v>프란시스코 알보 계약서</v>
          </cell>
        </row>
        <row r="822">
          <cell r="A822">
            <v>23414220</v>
          </cell>
          <cell r="B822" t="str">
            <v>프랑수아 르클레르 계약서</v>
          </cell>
        </row>
        <row r="823">
          <cell r="A823">
            <v>23414221</v>
          </cell>
          <cell r="B823" t="str">
            <v>니콜라우스 페데르만 계약서</v>
          </cell>
        </row>
        <row r="824">
          <cell r="A824">
            <v>23414222</v>
          </cell>
          <cell r="B824" t="str">
            <v>가스파르 데케사다 계약서</v>
          </cell>
        </row>
        <row r="825">
          <cell r="A825">
            <v>23414223</v>
          </cell>
          <cell r="B825" t="str">
            <v>요하네스 구텐베르크 계약서</v>
          </cell>
        </row>
        <row r="826">
          <cell r="A826">
            <v>23414224</v>
          </cell>
          <cell r="B826" t="str">
            <v>페드로 데멘도사 계약서</v>
          </cell>
        </row>
        <row r="827">
          <cell r="A827">
            <v>23414225</v>
          </cell>
          <cell r="B827" t="str">
            <v>문익점 계약서</v>
          </cell>
        </row>
        <row r="828">
          <cell r="A828">
            <v>23414226</v>
          </cell>
          <cell r="B828" t="str">
            <v>알리 알 만드리 계약서</v>
          </cell>
        </row>
        <row r="829">
          <cell r="A829">
            <v>23414228</v>
          </cell>
          <cell r="B829" t="str">
            <v>아흐메드 알 와타시 계약서</v>
          </cell>
        </row>
        <row r="830">
          <cell r="A830">
            <v>23414229</v>
          </cell>
          <cell r="B830" t="str">
            <v>윌리엄 셰익스피어 계약서</v>
          </cell>
        </row>
        <row r="831">
          <cell r="A831">
            <v>23414230</v>
          </cell>
          <cell r="B831" t="str">
            <v>카베사 데바카 계약서</v>
          </cell>
        </row>
        <row r="832">
          <cell r="A832">
            <v>23414231</v>
          </cell>
          <cell r="B832" t="str">
            <v>미겔 로페스 데레가스피 계약서</v>
          </cell>
        </row>
        <row r="833">
          <cell r="A833">
            <v>23414232</v>
          </cell>
          <cell r="B833" t="str">
            <v>바스케스 데코로나도 계약서</v>
          </cell>
        </row>
        <row r="834">
          <cell r="A834">
            <v>23414233</v>
          </cell>
          <cell r="B834" t="str">
            <v>권근 계약서</v>
          </cell>
        </row>
        <row r="835">
          <cell r="A835">
            <v>23414234</v>
          </cell>
          <cell r="B835" t="str">
            <v>엔히크 드말라카 계약서</v>
          </cell>
        </row>
        <row r="836">
          <cell r="A836">
            <v>23414235</v>
          </cell>
          <cell r="B836" t="str">
            <v>프란시스코 데오레야나 계약서</v>
          </cell>
        </row>
        <row r="837">
          <cell r="A837">
            <v>23414236</v>
          </cell>
          <cell r="B837" t="str">
            <v>파올로 토스카넬리 계약서</v>
          </cell>
        </row>
        <row r="838">
          <cell r="A838">
            <v>23414237</v>
          </cell>
          <cell r="B838" t="str">
            <v>셰르 샤 계약서</v>
          </cell>
        </row>
        <row r="839">
          <cell r="A839">
            <v>23414238</v>
          </cell>
          <cell r="B839" t="str">
            <v>악셀 욱센헤나 계약서</v>
          </cell>
        </row>
        <row r="840">
          <cell r="A840">
            <v>23414239</v>
          </cell>
          <cell r="B840" t="str">
            <v>알렉산더 해밀턴 계약서</v>
          </cell>
        </row>
        <row r="841">
          <cell r="A841">
            <v>23414240</v>
          </cell>
          <cell r="B841" t="str">
            <v>마르틴 베하임 계약서</v>
          </cell>
        </row>
        <row r="842">
          <cell r="A842">
            <v>23414241</v>
          </cell>
          <cell r="B842" t="str">
            <v>장 프랑수아 드갈로 계약서</v>
          </cell>
        </row>
        <row r="843">
          <cell r="A843">
            <v>23414242</v>
          </cell>
          <cell r="B843" t="str">
            <v>필리베르 코메르송 계약서</v>
          </cell>
        </row>
        <row r="844">
          <cell r="A844">
            <v>23414243</v>
          </cell>
          <cell r="B844" t="str">
            <v>자크 카르티에 계약서</v>
          </cell>
        </row>
        <row r="845">
          <cell r="A845">
            <v>23414244</v>
          </cell>
          <cell r="B845" t="str">
            <v>허초희 계약서</v>
          </cell>
        </row>
        <row r="846">
          <cell r="A846">
            <v>23414245</v>
          </cell>
          <cell r="B846" t="str">
            <v>정운 계약서</v>
          </cell>
        </row>
        <row r="847">
          <cell r="A847">
            <v>23414246</v>
          </cell>
          <cell r="B847" t="str">
            <v>나대용 계약서</v>
          </cell>
        </row>
        <row r="848">
          <cell r="A848">
            <v>23414247</v>
          </cell>
          <cell r="B848" t="str">
            <v>마르틴 루터 계약서</v>
          </cell>
        </row>
        <row r="849">
          <cell r="A849">
            <v>23414248</v>
          </cell>
          <cell r="B849" t="str">
            <v>야콥 푸거 계약서</v>
          </cell>
        </row>
        <row r="850">
          <cell r="A850">
            <v>23414250</v>
          </cell>
          <cell r="B850" t="str">
            <v>마테오 리치 계약서</v>
          </cell>
        </row>
        <row r="851">
          <cell r="A851">
            <v>23414251</v>
          </cell>
          <cell r="B851" t="str">
            <v>토니오 롯시 계약서</v>
          </cell>
        </row>
        <row r="852">
          <cell r="A852">
            <v>23414252</v>
          </cell>
          <cell r="B852" t="str">
            <v>리오노 아반츄라 계약서</v>
          </cell>
        </row>
        <row r="853">
          <cell r="A853">
            <v>23414253</v>
          </cell>
          <cell r="B853" t="str">
            <v>하산 파샤 계약서</v>
          </cell>
        </row>
        <row r="854">
          <cell r="A854">
            <v>23414254</v>
          </cell>
          <cell r="B854" t="str">
            <v>이운룡 계약서</v>
          </cell>
        </row>
        <row r="855">
          <cell r="A855">
            <v>23414255</v>
          </cell>
          <cell r="B855" t="str">
            <v>이억기 계약서</v>
          </cell>
        </row>
        <row r="856">
          <cell r="A856">
            <v>23414256</v>
          </cell>
          <cell r="B856" t="str">
            <v>살리흐 레이스 계약서</v>
          </cell>
        </row>
        <row r="857">
          <cell r="A857">
            <v>23414257</v>
          </cell>
          <cell r="B857" t="str">
            <v>페트뤼스 플란시우스 계약서</v>
          </cell>
        </row>
        <row r="858">
          <cell r="A858">
            <v>23414258</v>
          </cell>
          <cell r="B858" t="str">
            <v>프란시스쿠 세항 계약서</v>
          </cell>
        </row>
        <row r="859">
          <cell r="A859">
            <v>23414259</v>
          </cell>
          <cell r="B859" t="str">
            <v>아메리고 베스푸치 계약서</v>
          </cell>
        </row>
        <row r="860">
          <cell r="A860">
            <v>23414260</v>
          </cell>
          <cell r="B860" t="str">
            <v>루이스 프로이스 계약서</v>
          </cell>
        </row>
        <row r="861">
          <cell r="A861">
            <v>23414261</v>
          </cell>
          <cell r="B861" t="str">
            <v>조반니 안드레아 도리아 계약서</v>
          </cell>
        </row>
        <row r="862">
          <cell r="A862">
            <v>23414262</v>
          </cell>
          <cell r="B862" t="str">
            <v>두아르트 드메네즈스 계약서</v>
          </cell>
        </row>
        <row r="863">
          <cell r="A863">
            <v>23414263</v>
          </cell>
          <cell r="B863" t="str">
            <v>니콜라스 쿠크베커 계약서</v>
          </cell>
        </row>
        <row r="864">
          <cell r="A864">
            <v>23414264</v>
          </cell>
          <cell r="B864" t="str">
            <v>석양 계약서</v>
          </cell>
        </row>
        <row r="865">
          <cell r="A865">
            <v>23414265</v>
          </cell>
          <cell r="B865" t="str">
            <v>에드워드 로우 계약서</v>
          </cell>
        </row>
        <row r="866">
          <cell r="A866">
            <v>23414266</v>
          </cell>
          <cell r="B866" t="str">
            <v>주앙 곤살베스 자르쿠 계약서</v>
          </cell>
        </row>
        <row r="867">
          <cell r="A867">
            <v>23414267</v>
          </cell>
          <cell r="B867" t="str">
            <v>존 롤프 계약서</v>
          </cell>
        </row>
        <row r="868">
          <cell r="A868">
            <v>23414268</v>
          </cell>
          <cell r="B868" t="str">
            <v>알렉산더 셀커크 계약서</v>
          </cell>
        </row>
        <row r="869">
          <cell r="A869">
            <v>23414269</v>
          </cell>
          <cell r="B869" t="str">
            <v>알비세 카다모스토 계약서</v>
          </cell>
        </row>
        <row r="870">
          <cell r="A870">
            <v>23414270</v>
          </cell>
          <cell r="B870" t="str">
            <v>쿠르톨루 무슬리딘 계약서</v>
          </cell>
        </row>
        <row r="871">
          <cell r="A871">
            <v>23414271</v>
          </cell>
          <cell r="B871" t="str">
            <v>미겔 데세르반테스 계약서</v>
          </cell>
        </row>
        <row r="872">
          <cell r="A872">
            <v>23414272</v>
          </cell>
          <cell r="B872" t="str">
            <v>야스케 계약서</v>
          </cell>
        </row>
        <row r="873">
          <cell r="A873">
            <v>23414273</v>
          </cell>
          <cell r="B873" t="str">
            <v>기린아 계약서</v>
          </cell>
        </row>
        <row r="874">
          <cell r="A874">
            <v>23414274</v>
          </cell>
          <cell r="B874" t="str">
            <v>이몽룡 계약서</v>
          </cell>
        </row>
        <row r="875">
          <cell r="A875">
            <v>23414277</v>
          </cell>
          <cell r="B875" t="str">
            <v>진조의 계약서</v>
          </cell>
        </row>
        <row r="876">
          <cell r="A876">
            <v>23414278</v>
          </cell>
          <cell r="B876" t="str">
            <v>노국공주 계약서</v>
          </cell>
        </row>
        <row r="877">
          <cell r="A877">
            <v>23414279</v>
          </cell>
          <cell r="B877" t="str">
            <v>카시드 계약서</v>
          </cell>
        </row>
        <row r="878">
          <cell r="A878">
            <v>23414280</v>
          </cell>
          <cell r="B878" t="str">
            <v>비라 알라케스바라 계약서</v>
          </cell>
        </row>
        <row r="879">
          <cell r="A879">
            <v>23414281</v>
          </cell>
          <cell r="B879" t="str">
            <v>리차드 빙엄 계약서</v>
          </cell>
        </row>
        <row r="880">
          <cell r="A880">
            <v>23414282</v>
          </cell>
          <cell r="B880" t="str">
            <v>피터르 제라뒤스 계약서</v>
          </cell>
        </row>
        <row r="881">
          <cell r="A881">
            <v>23414283</v>
          </cell>
          <cell r="B881" t="str">
            <v>호종헌 계약서</v>
          </cell>
        </row>
        <row r="882">
          <cell r="A882">
            <v>23414284</v>
          </cell>
          <cell r="B882" t="str">
            <v>알탄 칸 계약서</v>
          </cell>
        </row>
        <row r="883">
          <cell r="A883">
            <v>23414285</v>
          </cell>
          <cell r="B883" t="str">
            <v>알렉산드르 멘시코프 계약서</v>
          </cell>
        </row>
        <row r="884">
          <cell r="A884">
            <v>23414286</v>
          </cell>
          <cell r="B884" t="str">
            <v>트실라카트신 계약서</v>
          </cell>
        </row>
        <row r="885">
          <cell r="A885">
            <v>23414287</v>
          </cell>
          <cell r="B885" t="str">
            <v>김광택 계약서</v>
          </cell>
        </row>
        <row r="886">
          <cell r="A886">
            <v>23414288</v>
          </cell>
          <cell r="B886" t="str">
            <v>유대유 계약서</v>
          </cell>
        </row>
        <row r="887">
          <cell r="A887">
            <v>23414289</v>
          </cell>
          <cell r="B887" t="str">
            <v>이초 계약서</v>
          </cell>
        </row>
        <row r="888">
          <cell r="A888">
            <v>23414290</v>
          </cell>
          <cell r="B888" t="str">
            <v>호수인 계약서</v>
          </cell>
        </row>
        <row r="889">
          <cell r="A889">
            <v>23414291</v>
          </cell>
          <cell r="B889" t="str">
            <v>왕직 계약서</v>
          </cell>
        </row>
        <row r="890">
          <cell r="A890">
            <v>23414292</v>
          </cell>
          <cell r="B890" t="str">
            <v>바실리 골리친 계약서</v>
          </cell>
        </row>
        <row r="891">
          <cell r="A891">
            <v>23414295</v>
          </cell>
          <cell r="B891" t="str">
            <v>시랑 계약서</v>
          </cell>
        </row>
        <row r="892">
          <cell r="A892">
            <v>23414296</v>
          </cell>
          <cell r="B892" t="str">
            <v>라 이카이카 계약서</v>
          </cell>
        </row>
        <row r="893">
          <cell r="A893">
            <v>23414298</v>
          </cell>
          <cell r="B893" t="str">
            <v>나니 마히나 계약서</v>
          </cell>
        </row>
        <row r="894">
          <cell r="A894">
            <v>23414299</v>
          </cell>
          <cell r="B894" t="str">
            <v>아나 얀선스 계약서</v>
          </cell>
        </row>
        <row r="895">
          <cell r="A895">
            <v>23414300</v>
          </cell>
          <cell r="B895" t="str">
            <v>발푸리 인나마 계약서</v>
          </cell>
        </row>
        <row r="896">
          <cell r="A896">
            <v>23414301</v>
          </cell>
          <cell r="B896" t="str">
            <v>카리나 물티알라 계약서</v>
          </cell>
        </row>
        <row r="897">
          <cell r="A897">
            <v>23414302</v>
          </cell>
          <cell r="B897" t="str">
            <v>도리테 니버스 계약서</v>
          </cell>
        </row>
        <row r="898">
          <cell r="A898">
            <v>23414303</v>
          </cell>
          <cell r="B898" t="str">
            <v>타네커 스코닝스 계약서</v>
          </cell>
        </row>
        <row r="899">
          <cell r="A899">
            <v>23414304</v>
          </cell>
          <cell r="B899" t="str">
            <v>엘리자베스 바튼 계약서</v>
          </cell>
        </row>
        <row r="900">
          <cell r="A900">
            <v>23414305</v>
          </cell>
          <cell r="B900" t="str">
            <v>잔 드샹탈 계약서</v>
          </cell>
        </row>
        <row r="901">
          <cell r="A901">
            <v>23414306</v>
          </cell>
          <cell r="B901" t="str">
            <v>아사르파이 계약서</v>
          </cell>
        </row>
        <row r="902">
          <cell r="A902">
            <v>23414307</v>
          </cell>
          <cell r="B902" t="str">
            <v>마리아 바르톨라 계약서</v>
          </cell>
        </row>
        <row r="903">
          <cell r="A903">
            <v>23414308</v>
          </cell>
          <cell r="B903" t="str">
            <v>시도니아 폰보르크 계약서</v>
          </cell>
        </row>
        <row r="904">
          <cell r="A904">
            <v>23414309</v>
          </cell>
          <cell r="B904" t="str">
            <v>비올란테 도리아 계약서</v>
          </cell>
        </row>
        <row r="905">
          <cell r="A905">
            <v>23414310</v>
          </cell>
          <cell r="B905" t="str">
            <v>앤 다우리치 계약서</v>
          </cell>
        </row>
        <row r="906">
          <cell r="A906">
            <v>23414311</v>
          </cell>
          <cell r="B906" t="str">
            <v>카타리나 헤노트 계약서</v>
          </cell>
        </row>
        <row r="907">
          <cell r="A907">
            <v>23414312</v>
          </cell>
          <cell r="B907" t="str">
            <v>이사벨 데게바라 계약서</v>
          </cell>
        </row>
        <row r="908">
          <cell r="A908">
            <v>23414313</v>
          </cell>
          <cell r="B908" t="str">
            <v>엘리자베스 루카 계약서</v>
          </cell>
        </row>
        <row r="909">
          <cell r="A909">
            <v>23414314</v>
          </cell>
          <cell r="B909" t="str">
            <v>아나 루머르스 피스허르 계약서</v>
          </cell>
        </row>
        <row r="910">
          <cell r="A910">
            <v>23414315</v>
          </cell>
          <cell r="B910" t="str">
            <v>이사벨라 휘트니 계약서</v>
          </cell>
        </row>
        <row r="911">
          <cell r="A911">
            <v>23414316</v>
          </cell>
          <cell r="B911" t="str">
            <v>케나우 하셀라르 계약서</v>
          </cell>
        </row>
        <row r="912">
          <cell r="A912">
            <v>23414317</v>
          </cell>
          <cell r="B912" t="str">
            <v>크리스티나 닐스도테르 계약서</v>
          </cell>
        </row>
        <row r="913">
          <cell r="A913">
            <v>23414318</v>
          </cell>
          <cell r="B913" t="str">
            <v>와씨 계약서</v>
          </cell>
        </row>
        <row r="914">
          <cell r="A914">
            <v>23414319</v>
          </cell>
          <cell r="B914" t="str">
            <v>고계영 계약서</v>
          </cell>
        </row>
        <row r="915">
          <cell r="A915">
            <v>23414320</v>
          </cell>
          <cell r="B915" t="str">
            <v>클라라 카마랑 계약서</v>
          </cell>
        </row>
        <row r="916">
          <cell r="A916">
            <v>23414321</v>
          </cell>
          <cell r="B916" t="str">
            <v>알론소 데멘도사 계약서</v>
          </cell>
        </row>
        <row r="917">
          <cell r="A917">
            <v>23414322</v>
          </cell>
          <cell r="B917" t="str">
            <v>암브로지우스 에힝어 계약서</v>
          </cell>
        </row>
        <row r="918">
          <cell r="A918">
            <v>23414323</v>
          </cell>
          <cell r="B918" t="str">
            <v>앤서니 셜리 계약서</v>
          </cell>
        </row>
        <row r="919">
          <cell r="A919">
            <v>23414324</v>
          </cell>
          <cell r="B919" t="str">
            <v>라울 핏치 계약서</v>
          </cell>
        </row>
        <row r="920">
          <cell r="A920">
            <v>23414325</v>
          </cell>
          <cell r="B920" t="str">
            <v>안토니오 핀데아도 계약서</v>
          </cell>
        </row>
        <row r="921">
          <cell r="A921">
            <v>23414326</v>
          </cell>
          <cell r="B921" t="str">
            <v>베니토 고메스 계약서</v>
          </cell>
        </row>
        <row r="922">
          <cell r="A922">
            <v>23414327</v>
          </cell>
          <cell r="B922" t="str">
            <v>베르날 로욜라 계약서</v>
          </cell>
        </row>
        <row r="923">
          <cell r="A923">
            <v>23414328</v>
          </cell>
          <cell r="B923" t="str">
            <v>에스테반 페론 계약서</v>
          </cell>
        </row>
        <row r="924">
          <cell r="A924">
            <v>23414330</v>
          </cell>
          <cell r="B924" t="str">
            <v>프란시스쿠 알바레스 계약서</v>
          </cell>
        </row>
        <row r="925">
          <cell r="A925">
            <v>23414331</v>
          </cell>
          <cell r="B925" t="str">
            <v>두아르트 페레이라 계약서</v>
          </cell>
        </row>
        <row r="926">
          <cell r="A926">
            <v>23414332</v>
          </cell>
          <cell r="B926" t="str">
            <v>디에구 소사 계약서</v>
          </cell>
        </row>
        <row r="927">
          <cell r="A927">
            <v>23414333</v>
          </cell>
          <cell r="B927" t="str">
            <v>곤잘루 실베이라 계약서</v>
          </cell>
        </row>
        <row r="928">
          <cell r="A928">
            <v>23414334</v>
          </cell>
          <cell r="B928" t="str">
            <v>에드먼드 하비 계약서</v>
          </cell>
        </row>
        <row r="929">
          <cell r="A929">
            <v>23414335</v>
          </cell>
          <cell r="B929" t="str">
            <v>조반니 라무시오 계약서</v>
          </cell>
        </row>
        <row r="930">
          <cell r="A930">
            <v>23414337</v>
          </cell>
          <cell r="B930" t="str">
            <v>게오르크 폰슈파이어 계약서</v>
          </cell>
        </row>
        <row r="931">
          <cell r="A931">
            <v>23414338</v>
          </cell>
          <cell r="B931" t="str">
            <v>조반니 베세리스 계약서</v>
          </cell>
        </row>
        <row r="932">
          <cell r="A932">
            <v>23414340</v>
          </cell>
          <cell r="B932" t="str">
            <v>귀도 벤조 계약서</v>
          </cell>
        </row>
        <row r="933">
          <cell r="A933">
            <v>23414341</v>
          </cell>
          <cell r="B933" t="str">
            <v>앤서니 존슨 계약서</v>
          </cell>
        </row>
        <row r="934">
          <cell r="A934">
            <v>23414342</v>
          </cell>
          <cell r="B934" t="str">
            <v>헨리 만스펠 계약서</v>
          </cell>
        </row>
        <row r="935">
          <cell r="A935">
            <v>23414343</v>
          </cell>
          <cell r="B935" t="str">
            <v>우고 데몽카다 계약서</v>
          </cell>
        </row>
        <row r="936">
          <cell r="A936">
            <v>23414344</v>
          </cell>
          <cell r="B936" t="str">
            <v>휘호 올잭 계약서</v>
          </cell>
        </row>
        <row r="937">
          <cell r="A937">
            <v>23414345</v>
          </cell>
          <cell r="B937" t="str">
            <v>에드워드 댐피어 계약서</v>
          </cell>
        </row>
        <row r="938">
          <cell r="A938">
            <v>23414346</v>
          </cell>
          <cell r="B938" t="str">
            <v>야코프 발바커 계약서</v>
          </cell>
        </row>
        <row r="939">
          <cell r="A939">
            <v>23414347</v>
          </cell>
          <cell r="B939" t="str">
            <v>자크 브룸 계약서</v>
          </cell>
        </row>
        <row r="940">
          <cell r="A940">
            <v>23414348</v>
          </cell>
          <cell r="B940" t="str">
            <v>조셉 이스트먼 계약서</v>
          </cell>
        </row>
        <row r="941">
          <cell r="A941">
            <v>23414349</v>
          </cell>
          <cell r="B941" t="str">
            <v>쥬세페 루도비코 계약서</v>
          </cell>
        </row>
        <row r="942">
          <cell r="A942">
            <v>23414350</v>
          </cell>
          <cell r="B942" t="str">
            <v>발보아 오리드 계약서</v>
          </cell>
        </row>
        <row r="943">
          <cell r="A943">
            <v>23414351</v>
          </cell>
          <cell r="B943" t="str">
            <v>율리스 하위헌스 계약서</v>
          </cell>
        </row>
        <row r="944">
          <cell r="A944">
            <v>23414352</v>
          </cell>
          <cell r="B944" t="str">
            <v>율리안 페르메이르 계약서</v>
          </cell>
        </row>
        <row r="945">
          <cell r="A945">
            <v>23414354</v>
          </cell>
          <cell r="B945" t="str">
            <v>로런스 에드워드 계약서</v>
          </cell>
        </row>
        <row r="946">
          <cell r="A946">
            <v>23414355</v>
          </cell>
          <cell r="B946" t="str">
            <v>피터르 벤후크 계약서</v>
          </cell>
        </row>
        <row r="947">
          <cell r="A947">
            <v>23414357</v>
          </cell>
          <cell r="B947" t="str">
            <v>마누엘 페레스트렐루 계약서</v>
          </cell>
        </row>
        <row r="948">
          <cell r="A948">
            <v>23414358</v>
          </cell>
          <cell r="B948" t="str">
            <v>모리스 레이든 계약서</v>
          </cell>
        </row>
        <row r="949">
          <cell r="A949">
            <v>23414359</v>
          </cell>
          <cell r="B949" t="str">
            <v>판필로 오리드 계약서</v>
          </cell>
        </row>
        <row r="950">
          <cell r="A950">
            <v>23414360</v>
          </cell>
          <cell r="B950" t="str">
            <v>한스 슈타덴 계약서</v>
          </cell>
        </row>
        <row r="951">
          <cell r="A951">
            <v>23414361</v>
          </cell>
          <cell r="B951" t="str">
            <v>리처드 헉슬리 계약서</v>
          </cell>
        </row>
        <row r="952">
          <cell r="A952">
            <v>23414362</v>
          </cell>
          <cell r="B952" t="str">
            <v>로버트 와일드 계약서</v>
          </cell>
        </row>
        <row r="953">
          <cell r="A953">
            <v>23414363</v>
          </cell>
          <cell r="B953" t="str">
            <v>주앙 드카스트루 계약서</v>
          </cell>
        </row>
        <row r="954">
          <cell r="A954">
            <v>23414364</v>
          </cell>
          <cell r="B954" t="str">
            <v>로푸 페레이라 계약서</v>
          </cell>
        </row>
        <row r="955">
          <cell r="A955">
            <v>23414365</v>
          </cell>
          <cell r="B955" t="str">
            <v>살림 괴브데 계약서</v>
          </cell>
        </row>
        <row r="956">
          <cell r="A956">
            <v>23414366</v>
          </cell>
          <cell r="B956" t="str">
            <v>카밀로 사보나롤라 계약서</v>
          </cell>
        </row>
        <row r="957">
          <cell r="A957">
            <v>23414368</v>
          </cell>
          <cell r="B957" t="str">
            <v>빅터 러셀 계약서</v>
          </cell>
        </row>
        <row r="958">
          <cell r="A958">
            <v>23414369</v>
          </cell>
          <cell r="B958" t="str">
            <v>귀친 케말 계약서</v>
          </cell>
        </row>
        <row r="959">
          <cell r="A959">
            <v>23414370</v>
          </cell>
          <cell r="B959" t="str">
            <v>월터 로런스 계약서</v>
          </cell>
        </row>
        <row r="960">
          <cell r="A960">
            <v>23414371</v>
          </cell>
          <cell r="B960" t="str">
            <v>윌리엄 클라이브 계약서</v>
          </cell>
        </row>
        <row r="961">
          <cell r="A961">
            <v>23414372</v>
          </cell>
          <cell r="B961" t="str">
            <v>페드로 나바로 계약서</v>
          </cell>
        </row>
        <row r="962">
          <cell r="A962">
            <v>23414373</v>
          </cell>
          <cell r="B962" t="str">
            <v>우준 카이프 계약서</v>
          </cell>
        </row>
        <row r="963">
          <cell r="A963">
            <v>23414374</v>
          </cell>
          <cell r="B963" t="str">
            <v>자가노스 베이 계약서</v>
          </cell>
        </row>
        <row r="964">
          <cell r="A964">
            <v>23414375</v>
          </cell>
          <cell r="B964" t="str">
            <v>주앙 아폰수 계약서</v>
          </cell>
        </row>
        <row r="965">
          <cell r="A965">
            <v>23414380</v>
          </cell>
          <cell r="B965" t="str">
            <v>비신 계약서</v>
          </cell>
        </row>
        <row r="966">
          <cell r="A966">
            <v>23414381</v>
          </cell>
          <cell r="B966" t="str">
            <v>장안순 계약서</v>
          </cell>
        </row>
        <row r="967">
          <cell r="A967">
            <v>23414382</v>
          </cell>
          <cell r="B967" t="str">
            <v>미켈레토 코렐라 계약서</v>
          </cell>
        </row>
        <row r="968">
          <cell r="A968">
            <v>23414383</v>
          </cell>
          <cell r="B968" t="str">
            <v>후안 세바스티안 엘카노 계약서</v>
          </cell>
        </row>
        <row r="969">
          <cell r="A969">
            <v>23414384</v>
          </cell>
          <cell r="B969" t="str">
            <v>프란시스코 하비에르 계약서</v>
          </cell>
        </row>
        <row r="970">
          <cell r="A970">
            <v>23414385</v>
          </cell>
          <cell r="B970" t="str">
            <v>곤살로 데케사다 계약서</v>
          </cell>
        </row>
        <row r="971">
          <cell r="A971">
            <v>23414386</v>
          </cell>
          <cell r="B971" t="str">
            <v>세바스티안 비스카이노 계약서</v>
          </cell>
        </row>
        <row r="972">
          <cell r="A972">
            <v>23414387</v>
          </cell>
          <cell r="B972" t="str">
            <v>페드로 데키로스 계약서</v>
          </cell>
        </row>
        <row r="973">
          <cell r="A973">
            <v>23414388</v>
          </cell>
          <cell r="B973" t="str">
            <v>야코프 로헤베인 계약서</v>
          </cell>
        </row>
        <row r="974">
          <cell r="A974">
            <v>23414389</v>
          </cell>
          <cell r="B974" t="str">
            <v>존 해리슨 계약서</v>
          </cell>
        </row>
        <row r="975">
          <cell r="A975">
            <v>23414390</v>
          </cell>
          <cell r="B975" t="str">
            <v>얀 요스턴 판로덴스테인 계약서</v>
          </cell>
        </row>
        <row r="976">
          <cell r="A976">
            <v>23414391</v>
          </cell>
          <cell r="B976" t="str">
            <v>페르낭 고메스 다미나 계약서</v>
          </cell>
        </row>
        <row r="977">
          <cell r="A977">
            <v>23414392</v>
          </cell>
          <cell r="B977" t="str">
            <v>디오구 캉 계약서</v>
          </cell>
        </row>
        <row r="978">
          <cell r="A978">
            <v>23414393</v>
          </cell>
          <cell r="B978" t="str">
            <v>아불 파즐 계약서</v>
          </cell>
        </row>
        <row r="979">
          <cell r="A979">
            <v>23414395</v>
          </cell>
          <cell r="B979" t="str">
            <v>페르낭 둘무 계약서</v>
          </cell>
        </row>
        <row r="980">
          <cell r="A980">
            <v>23414396</v>
          </cell>
          <cell r="B980" t="str">
            <v>마환 계약서</v>
          </cell>
        </row>
        <row r="981">
          <cell r="A981">
            <v>23414397</v>
          </cell>
          <cell r="B981" t="str">
            <v>안토니우 드아브레우 계약서</v>
          </cell>
        </row>
        <row r="982">
          <cell r="A982">
            <v>23414398</v>
          </cell>
          <cell r="B982" t="str">
            <v>조르즈 알바르스 계약서</v>
          </cell>
        </row>
        <row r="983">
          <cell r="A983">
            <v>23414399</v>
          </cell>
          <cell r="B983" t="str">
            <v>디에고 데니쿠에사 계약서</v>
          </cell>
        </row>
        <row r="984">
          <cell r="A984">
            <v>23414400</v>
          </cell>
          <cell r="B984" t="str">
            <v>미르자 아지즈 코카 계약서</v>
          </cell>
        </row>
        <row r="985">
          <cell r="A985">
            <v>23414401</v>
          </cell>
          <cell r="B985" t="str">
            <v>프란시스코 데보바디야 계약서</v>
          </cell>
        </row>
        <row r="986">
          <cell r="A986">
            <v>23414402</v>
          </cell>
          <cell r="B986" t="str">
            <v>판필로 데나르바에스 계약서</v>
          </cell>
        </row>
        <row r="987">
          <cell r="A987">
            <v>23414403</v>
          </cell>
          <cell r="B987" t="str">
            <v>알론소 알바레스 데피네다 계약서</v>
          </cell>
        </row>
        <row r="988">
          <cell r="A988">
            <v>23414404</v>
          </cell>
          <cell r="B988" t="str">
            <v>쿠스라우 미르자 계약서</v>
          </cell>
        </row>
        <row r="989">
          <cell r="A989">
            <v>23414405</v>
          </cell>
          <cell r="B989" t="str">
            <v>후안 데그리할바 계약서</v>
          </cell>
        </row>
        <row r="990">
          <cell r="A990">
            <v>23414407</v>
          </cell>
          <cell r="B990" t="str">
            <v>디에고 데오르다스 계약서</v>
          </cell>
        </row>
        <row r="991">
          <cell r="A991">
            <v>23414408</v>
          </cell>
          <cell r="B991" t="str">
            <v>에르난도 데소토 계약서</v>
          </cell>
        </row>
        <row r="992">
          <cell r="A992">
            <v>23414409</v>
          </cell>
          <cell r="B992" t="str">
            <v>프란시스코 데몬테호 계약서</v>
          </cell>
        </row>
        <row r="993">
          <cell r="A993">
            <v>23414410</v>
          </cell>
          <cell r="B993" t="str">
            <v>마르코스 데니사 계약서</v>
          </cell>
        </row>
        <row r="994">
          <cell r="A994">
            <v>23414412</v>
          </cell>
          <cell r="B994" t="str">
            <v>세바스찬 캐벗 계약서</v>
          </cell>
        </row>
        <row r="995">
          <cell r="A995">
            <v>23414413</v>
          </cell>
          <cell r="B995" t="str">
            <v>고스와미 툴시다스 계약서</v>
          </cell>
        </row>
        <row r="996">
          <cell r="A996">
            <v>23414414</v>
          </cell>
          <cell r="B996" t="str">
            <v>토다르 말 계약서</v>
          </cell>
        </row>
        <row r="997">
          <cell r="A997">
            <v>23414416</v>
          </cell>
          <cell r="B997" t="str">
            <v>기도 데라베사리스 계약서</v>
          </cell>
        </row>
        <row r="998">
          <cell r="A998">
            <v>23414417</v>
          </cell>
          <cell r="B998" t="str">
            <v>이마이 소쿤 계약서</v>
          </cell>
        </row>
        <row r="999">
          <cell r="A999">
            <v>23414418</v>
          </cell>
          <cell r="B999" t="str">
            <v>이마이 소큐 계약서</v>
          </cell>
        </row>
        <row r="1000">
          <cell r="A1000">
            <v>23414419</v>
          </cell>
          <cell r="B1000" t="str">
            <v>이스테방 고메스 계약서</v>
          </cell>
        </row>
        <row r="1001">
          <cell r="A1001">
            <v>23414420</v>
          </cell>
          <cell r="B1001" t="str">
            <v>아이 마타 계약서</v>
          </cell>
        </row>
        <row r="1002">
          <cell r="A1002">
            <v>23414421</v>
          </cell>
          <cell r="B1002" t="str">
            <v>디에고 카바예로 계약서</v>
          </cell>
        </row>
        <row r="1003">
          <cell r="A1003">
            <v>23414423</v>
          </cell>
          <cell r="B1003" t="str">
            <v>페드로 데감보아 계약서</v>
          </cell>
        </row>
        <row r="1004">
          <cell r="A1004">
            <v>23414426</v>
          </cell>
          <cell r="B1004" t="str">
            <v>요한 할레르 계약서</v>
          </cell>
        </row>
        <row r="1005">
          <cell r="A1005">
            <v>23414427</v>
          </cell>
          <cell r="B1005" t="str">
            <v>트리폰 코로베이니코프 계약서</v>
          </cell>
        </row>
        <row r="1006">
          <cell r="A1006">
            <v>23414428</v>
          </cell>
          <cell r="B1006" t="str">
            <v>안토니우 드살다냐 계약서</v>
          </cell>
        </row>
        <row r="1007">
          <cell r="A1007">
            <v>23414429</v>
          </cell>
          <cell r="B1007" t="str">
            <v>마르팅 아폰수 드소자 계약서</v>
          </cell>
        </row>
        <row r="1008">
          <cell r="A1008">
            <v>23414430</v>
          </cell>
          <cell r="B1008" t="str">
            <v>예르마크 티모페예비치 계약서</v>
          </cell>
        </row>
        <row r="1009">
          <cell r="A1009">
            <v>23414431</v>
          </cell>
          <cell r="B1009" t="str">
            <v>세묜 스트로가노프 계약서</v>
          </cell>
        </row>
        <row r="1010">
          <cell r="A1010">
            <v>23414433</v>
          </cell>
          <cell r="B1010" t="str">
            <v>헨리 미들턴 계약서</v>
          </cell>
        </row>
        <row r="1011">
          <cell r="A1011">
            <v>23414434</v>
          </cell>
          <cell r="B1011" t="str">
            <v>루이스 데토레스 계약서</v>
          </cell>
        </row>
        <row r="1012">
          <cell r="A1012">
            <v>23414435</v>
          </cell>
          <cell r="B1012" t="str">
            <v>운니야르카 계약서</v>
          </cell>
        </row>
        <row r="1013">
          <cell r="A1013">
            <v>23414436</v>
          </cell>
          <cell r="B1013" t="str">
            <v>스미노쿠라 료이 계약서</v>
          </cell>
        </row>
        <row r="1014">
          <cell r="A1014">
            <v>23414437</v>
          </cell>
          <cell r="B1014" t="str">
            <v>하바 카툰 계약서</v>
          </cell>
        </row>
        <row r="1015">
          <cell r="A1015">
            <v>23414438</v>
          </cell>
          <cell r="B1015" t="str">
            <v>디에고 알바레스 창카 계약서</v>
          </cell>
        </row>
        <row r="1016">
          <cell r="A1016">
            <v>23414439</v>
          </cell>
          <cell r="B1016" t="str">
            <v>로버트 아마다스 계약서</v>
          </cell>
        </row>
        <row r="1017">
          <cell r="A1017">
            <v>23414440</v>
          </cell>
          <cell r="B1017" t="str">
            <v>프란시스코 데헤레스 계약서</v>
          </cell>
        </row>
        <row r="1018">
          <cell r="A1018">
            <v>23414441</v>
          </cell>
          <cell r="B1018" t="str">
            <v>바르톨로메 데라스 카사스 계약서</v>
          </cell>
        </row>
        <row r="1019">
          <cell r="A1019">
            <v>23414442</v>
          </cell>
          <cell r="B1019" t="str">
            <v>니콜라스 플라멜 계약서</v>
          </cell>
        </row>
        <row r="1020">
          <cell r="A1020">
            <v>23414443</v>
          </cell>
          <cell r="B1020" t="str">
            <v>루도비코 데바르테마 계약서</v>
          </cell>
        </row>
        <row r="1021">
          <cell r="A1021">
            <v>23414444</v>
          </cell>
          <cell r="B1021" t="str">
            <v>야코프 판넥 계약서</v>
          </cell>
        </row>
        <row r="1022">
          <cell r="A1022">
            <v>23414445</v>
          </cell>
          <cell r="B1022" t="str">
            <v>가메이 고레노리 계약서</v>
          </cell>
        </row>
        <row r="1023">
          <cell r="A1023">
            <v>23414446</v>
          </cell>
          <cell r="B1023" t="str">
            <v>혜희 계약서</v>
          </cell>
        </row>
        <row r="1024">
          <cell r="A1024">
            <v>23414447</v>
          </cell>
          <cell r="B1024" t="str">
            <v>가스파로 발비 계약서</v>
          </cell>
        </row>
        <row r="1025">
          <cell r="A1025">
            <v>23414448</v>
          </cell>
          <cell r="B1025" t="str">
            <v>심청 계약서</v>
          </cell>
        </row>
        <row r="1026">
          <cell r="A1026">
            <v>23414449</v>
          </cell>
          <cell r="B1026" t="str">
            <v>구루시마 미치후사 계약서</v>
          </cell>
        </row>
        <row r="1027">
          <cell r="A1027">
            <v>23414450</v>
          </cell>
          <cell r="B1027" t="str">
            <v>진린 계약서</v>
          </cell>
        </row>
        <row r="1028">
          <cell r="A1028">
            <v>23414451</v>
          </cell>
          <cell r="B1028" t="str">
            <v>도날 나피오파 계약서</v>
          </cell>
        </row>
        <row r="1029">
          <cell r="A1029">
            <v>23414452</v>
          </cell>
          <cell r="B1029" t="str">
            <v>조너선 바넷 계약서</v>
          </cell>
        </row>
        <row r="1030">
          <cell r="A1030">
            <v>23414455</v>
          </cell>
          <cell r="B1030" t="str">
            <v>세이디 알리 레이스 계약서</v>
          </cell>
        </row>
        <row r="1031">
          <cell r="A1031">
            <v>23414456</v>
          </cell>
          <cell r="B1031" t="str">
            <v>카타리나 코르네르 계약서</v>
          </cell>
        </row>
        <row r="1032">
          <cell r="A1032">
            <v>23414457</v>
          </cell>
          <cell r="B1032" t="str">
            <v>세페르 레이스 계약서</v>
          </cell>
        </row>
        <row r="1033">
          <cell r="A1033">
            <v>23414458</v>
          </cell>
          <cell r="B1033" t="str">
            <v>그레고리오 세스페데스 계약서</v>
          </cell>
        </row>
        <row r="1034">
          <cell r="A1034">
            <v>23414459</v>
          </cell>
          <cell r="B1034" t="str">
            <v>슈무엘 베일라시 계약서</v>
          </cell>
        </row>
        <row r="1035">
          <cell r="A1035">
            <v>23414460</v>
          </cell>
          <cell r="B1035" t="str">
            <v>시난 레이스 계약서</v>
          </cell>
        </row>
        <row r="1036">
          <cell r="A1036">
            <v>23414462</v>
          </cell>
          <cell r="B1036" t="str">
            <v>하산 아그하 계약서</v>
          </cell>
        </row>
        <row r="1037">
          <cell r="A1037">
            <v>23414463</v>
          </cell>
          <cell r="B1037" t="str">
            <v>무라트 레이스 계약서</v>
          </cell>
        </row>
        <row r="1038">
          <cell r="A1038">
            <v>23414464</v>
          </cell>
          <cell r="B1038" t="str">
            <v>히사카지마 야스케 계약서</v>
          </cell>
        </row>
        <row r="1039">
          <cell r="A1039">
            <v>23414465</v>
          </cell>
          <cell r="B1039" t="str">
            <v>후안 바스케스 계약서</v>
          </cell>
        </row>
        <row r="1040">
          <cell r="A1040">
            <v>23414466</v>
          </cell>
          <cell r="B1040" t="str">
            <v>알베로 스킬라치 계약서</v>
          </cell>
        </row>
        <row r="1041">
          <cell r="A1041">
            <v>23414468</v>
          </cell>
          <cell r="B1041" t="str">
            <v>모리스 드삭스 계약서</v>
          </cell>
        </row>
        <row r="1042">
          <cell r="A1042">
            <v>23414469</v>
          </cell>
          <cell r="B1042" t="str">
            <v>미령 계약서</v>
          </cell>
        </row>
        <row r="1043">
          <cell r="A1043">
            <v>23414470</v>
          </cell>
          <cell r="B1043" t="str">
            <v>홍보 계약서</v>
          </cell>
        </row>
        <row r="1044">
          <cell r="A1044">
            <v>23414471</v>
          </cell>
          <cell r="B1044" t="str">
            <v>주만 계약서</v>
          </cell>
        </row>
        <row r="1045">
          <cell r="A1045">
            <v>23414473</v>
          </cell>
          <cell r="B1045" t="str">
            <v>주문 계약서</v>
          </cell>
        </row>
        <row r="1046">
          <cell r="A1046">
            <v>23414474</v>
          </cell>
          <cell r="B1046" t="str">
            <v>양경 계약서</v>
          </cell>
        </row>
        <row r="1047">
          <cell r="A1047">
            <v>23414475</v>
          </cell>
          <cell r="B1047" t="str">
            <v>성춘향 계약서</v>
          </cell>
        </row>
        <row r="1048">
          <cell r="A1048">
            <v>23414476</v>
          </cell>
          <cell r="B1048" t="str">
            <v>이종무 계약서</v>
          </cell>
        </row>
        <row r="1049">
          <cell r="A1049">
            <v>23414477</v>
          </cell>
          <cell r="B1049" t="str">
            <v>고유강 계약서</v>
          </cell>
        </row>
        <row r="1050">
          <cell r="A1050">
            <v>23414478</v>
          </cell>
          <cell r="B1050" t="str">
            <v>마쓰라 다카노부 계약서</v>
          </cell>
        </row>
        <row r="1051">
          <cell r="A1051">
            <v>23414480</v>
          </cell>
          <cell r="B1051" t="str">
            <v>다가와 시치자에몬 계약서</v>
          </cell>
        </row>
        <row r="1052">
          <cell r="A1052">
            <v>23414481</v>
          </cell>
          <cell r="B1052" t="str">
            <v>알제우나 계약서</v>
          </cell>
        </row>
        <row r="1053">
          <cell r="A1053">
            <v>23414482</v>
          </cell>
          <cell r="B1053" t="str">
            <v>카를로타 계약서</v>
          </cell>
        </row>
        <row r="1054">
          <cell r="A1054">
            <v>23414483</v>
          </cell>
          <cell r="B1054" t="str">
            <v>마르코 계약서</v>
          </cell>
        </row>
        <row r="1055">
          <cell r="A1055">
            <v>23414484</v>
          </cell>
          <cell r="B1055" t="str">
            <v>콘라드 계약서</v>
          </cell>
        </row>
        <row r="1056">
          <cell r="A1056">
            <v>23414488</v>
          </cell>
          <cell r="B1056" t="str">
            <v>타라바이 계약서</v>
          </cell>
        </row>
        <row r="1057">
          <cell r="A1057">
            <v>23414489</v>
          </cell>
          <cell r="B1057" t="str">
            <v>잔 아셰트 계약서</v>
          </cell>
        </row>
        <row r="1058">
          <cell r="A1058">
            <v>23414490</v>
          </cell>
          <cell r="B1058" t="str">
            <v>엄영춘 계약서</v>
          </cell>
        </row>
        <row r="1059">
          <cell r="A1059">
            <v>23414491</v>
          </cell>
          <cell r="B1059" t="str">
            <v>안나 오커히엘름 계약서</v>
          </cell>
        </row>
        <row r="1060">
          <cell r="A1060">
            <v>23414492</v>
          </cell>
          <cell r="B1060" t="str">
            <v>툴리아 다라고나 계약서</v>
          </cell>
        </row>
        <row r="1061">
          <cell r="A1061">
            <v>23414493</v>
          </cell>
          <cell r="B1061" t="str">
            <v>프란체스카 카치니 계약서</v>
          </cell>
        </row>
        <row r="1062">
          <cell r="A1062">
            <v>23414494</v>
          </cell>
          <cell r="B1062" t="str">
            <v>아녜스 소렐 계약서</v>
          </cell>
        </row>
        <row r="1063">
          <cell r="A1063">
            <v>23414498</v>
          </cell>
          <cell r="B1063" t="str">
            <v>소포니스바 앙귀솔라 계약서</v>
          </cell>
        </row>
        <row r="1064">
          <cell r="A1064">
            <v>23414500</v>
          </cell>
          <cell r="B1064" t="str">
            <v>카산드라 페델레 계약서</v>
          </cell>
        </row>
        <row r="1065">
          <cell r="A1065">
            <v>23414501</v>
          </cell>
          <cell r="B1065" t="str">
            <v>아나 마리아 데소토 계약서</v>
          </cell>
        </row>
        <row r="1066">
          <cell r="A1066">
            <v>23414502</v>
          </cell>
          <cell r="B1066" t="str">
            <v>마리아 피타 계약서</v>
          </cell>
        </row>
        <row r="1067">
          <cell r="A1067">
            <v>23414506</v>
          </cell>
          <cell r="B1067" t="str">
            <v>루크레치아 토르나부오니 계약서</v>
          </cell>
        </row>
        <row r="1068">
          <cell r="A1068">
            <v>23414507</v>
          </cell>
          <cell r="B1068" t="str">
            <v>아그네스 베르나우어 계약서</v>
          </cell>
        </row>
        <row r="1069">
          <cell r="A1069">
            <v>23414508</v>
          </cell>
          <cell r="B1069" t="str">
            <v>로드리고 데콜메나레스 계약서</v>
          </cell>
        </row>
        <row r="1070">
          <cell r="A1070">
            <v>23414509</v>
          </cell>
          <cell r="B1070" t="str">
            <v>아즈비케 계약서</v>
          </cell>
        </row>
        <row r="1071">
          <cell r="A1071">
            <v>23414510</v>
          </cell>
          <cell r="B1071" t="str">
            <v>파우라 계약서</v>
          </cell>
        </row>
        <row r="1072">
          <cell r="A1072">
            <v>23414511</v>
          </cell>
          <cell r="B1072" t="str">
            <v>카츄아파 계약서</v>
          </cell>
        </row>
        <row r="1073">
          <cell r="A1073">
            <v>23414512</v>
          </cell>
          <cell r="B1073" t="str">
            <v>죽음의 신 루돌프 계약서</v>
          </cell>
        </row>
        <row r="1074">
          <cell r="A1074">
            <v>23414513</v>
          </cell>
          <cell r="B1074" t="str">
            <v>티노카틀 계약서</v>
          </cell>
        </row>
        <row r="1075">
          <cell r="A1075">
            <v>23414514</v>
          </cell>
          <cell r="B1075" t="str">
            <v>로베르토 에제키엘 계약서</v>
          </cell>
        </row>
        <row r="1076">
          <cell r="A1076">
            <v>23414515</v>
          </cell>
          <cell r="B1076" t="str">
            <v>알베르트 계약서</v>
          </cell>
        </row>
        <row r="1077">
          <cell r="A1077">
            <v>23414516</v>
          </cell>
          <cell r="B1077" t="str">
            <v>조커 다실버 계약서</v>
          </cell>
        </row>
        <row r="1078">
          <cell r="A1078">
            <v>23414517</v>
          </cell>
          <cell r="B1078" t="str">
            <v>아르드비 계약서</v>
          </cell>
        </row>
        <row r="1079">
          <cell r="A1079">
            <v>23414518</v>
          </cell>
          <cell r="B1079" t="str">
            <v>크리스티나 계약서</v>
          </cell>
        </row>
        <row r="1080">
          <cell r="A1080">
            <v>23414519</v>
          </cell>
          <cell r="B1080" t="str">
            <v>시오미 후우키치 계약서</v>
          </cell>
        </row>
        <row r="1081">
          <cell r="A1081">
            <v>23414520</v>
          </cell>
          <cell r="B1081" t="str">
            <v>공손포월 계약서</v>
          </cell>
        </row>
        <row r="1082">
          <cell r="A1082">
            <v>23414521</v>
          </cell>
          <cell r="B1082" t="str">
            <v>귈리스탄 계약서</v>
          </cell>
        </row>
        <row r="1083">
          <cell r="A1083">
            <v>23414522</v>
          </cell>
          <cell r="B1083" t="str">
            <v>사파 계약서</v>
          </cell>
        </row>
        <row r="1084">
          <cell r="A1084">
            <v>23420000</v>
          </cell>
          <cell r="B1084" t="str">
            <v>카모마일차</v>
          </cell>
        </row>
        <row r="1085">
          <cell r="A1085">
            <v>23420001</v>
          </cell>
          <cell r="B1085" t="str">
            <v>히비스커스차</v>
          </cell>
        </row>
        <row r="1086">
          <cell r="A1086">
            <v>23420002</v>
          </cell>
          <cell r="B1086" t="str">
            <v>라벤더차</v>
          </cell>
        </row>
        <row r="1087">
          <cell r="A1087">
            <v>23420003</v>
          </cell>
          <cell r="B1087" t="str">
            <v>장미차</v>
          </cell>
        </row>
        <row r="1088">
          <cell r="A1088">
            <v>23420004</v>
          </cell>
          <cell r="B1088" t="str">
            <v>도자기 술잔</v>
          </cell>
        </row>
        <row r="1089">
          <cell r="A1089">
            <v>23420005</v>
          </cell>
          <cell r="B1089" t="str">
            <v>도자기 접시</v>
          </cell>
        </row>
        <row r="1090">
          <cell r="A1090">
            <v>23420006</v>
          </cell>
          <cell r="B1090" t="str">
            <v>도자기 꽃병</v>
          </cell>
        </row>
        <row r="1091">
          <cell r="A1091">
            <v>23420007</v>
          </cell>
          <cell r="B1091" t="str">
            <v>도자기 주전자</v>
          </cell>
        </row>
        <row r="1092">
          <cell r="A1092">
            <v>23420008</v>
          </cell>
          <cell r="B1092" t="str">
            <v>리넨 손수건</v>
          </cell>
        </row>
        <row r="1093">
          <cell r="A1093">
            <v>23420009</v>
          </cell>
          <cell r="B1093" t="str">
            <v>자수 손수건</v>
          </cell>
        </row>
        <row r="1094">
          <cell r="A1094">
            <v>23420010</v>
          </cell>
          <cell r="B1094" t="str">
            <v>비단 손수건</v>
          </cell>
        </row>
        <row r="1095">
          <cell r="A1095">
            <v>23420011</v>
          </cell>
          <cell r="B1095" t="str">
            <v>금나비 손수건</v>
          </cell>
        </row>
        <row r="1096">
          <cell r="A1096">
            <v>23420012</v>
          </cell>
          <cell r="B1096" t="str">
            <v>양갱</v>
          </cell>
        </row>
        <row r="1097">
          <cell r="A1097">
            <v>23420013</v>
          </cell>
          <cell r="B1097" t="str">
            <v>셈라</v>
          </cell>
        </row>
        <row r="1098">
          <cell r="A1098">
            <v>23420014</v>
          </cell>
          <cell r="B1098" t="str">
            <v>슈네발</v>
          </cell>
        </row>
        <row r="1099">
          <cell r="A1099">
            <v>23420015</v>
          </cell>
          <cell r="B1099" t="str">
            <v>딸기 타르트</v>
          </cell>
        </row>
        <row r="1100">
          <cell r="A1100">
            <v>23420016</v>
          </cell>
          <cell r="B1100" t="str">
            <v>난초 그림 부채</v>
          </cell>
        </row>
        <row r="1101">
          <cell r="A1101">
            <v>23420017</v>
          </cell>
          <cell r="B1101" t="str">
            <v>파초선</v>
          </cell>
        </row>
        <row r="1102">
          <cell r="A1102">
            <v>23420018</v>
          </cell>
          <cell r="B1102" t="str">
            <v>비단 부채</v>
          </cell>
        </row>
        <row r="1103">
          <cell r="A1103">
            <v>23420019</v>
          </cell>
          <cell r="B1103" t="str">
            <v>깃털 부채</v>
          </cell>
        </row>
        <row r="1104">
          <cell r="A1104">
            <v>23420020</v>
          </cell>
          <cell r="B1104" t="str">
            <v>지중해의 모험</v>
          </cell>
        </row>
        <row r="1105">
          <cell r="A1105">
            <v>23420021</v>
          </cell>
          <cell r="B1105" t="str">
            <v>인도의 신비를 찾아서</v>
          </cell>
        </row>
        <row r="1106">
          <cell r="A1106">
            <v>23420022</v>
          </cell>
          <cell r="B1106" t="str">
            <v>북극에서 살아남기</v>
          </cell>
        </row>
        <row r="1107">
          <cell r="A1107">
            <v>23420023</v>
          </cell>
          <cell r="B1107" t="str">
            <v>세계를 유랑하다</v>
          </cell>
        </row>
        <row r="1108">
          <cell r="A1108">
            <v>23420024</v>
          </cell>
          <cell r="B1108" t="str">
            <v>에메랄드 브로치</v>
          </cell>
        </row>
        <row r="1109">
          <cell r="A1109">
            <v>23420025</v>
          </cell>
          <cell r="B1109" t="str">
            <v>루비 브로치</v>
          </cell>
        </row>
        <row r="1110">
          <cell r="A1110">
            <v>23420026</v>
          </cell>
          <cell r="B1110" t="str">
            <v>사파이어 브로치</v>
          </cell>
        </row>
        <row r="1111">
          <cell r="A1111">
            <v>23420027</v>
          </cell>
          <cell r="B1111" t="str">
            <v>다이아몬드 브로치</v>
          </cell>
        </row>
        <row r="1112">
          <cell r="A1112">
            <v>23420028</v>
          </cell>
          <cell r="B1112" t="str">
            <v>마호가니 파이프</v>
          </cell>
        </row>
        <row r="1113">
          <cell r="A1113">
            <v>23420029</v>
          </cell>
          <cell r="B1113" t="str">
            <v>해포석 파이프</v>
          </cell>
        </row>
        <row r="1114">
          <cell r="A1114">
            <v>23420030</v>
          </cell>
          <cell r="B1114" t="str">
            <v>몰타 파이프</v>
          </cell>
        </row>
        <row r="1115">
          <cell r="A1115">
            <v>23420031</v>
          </cell>
          <cell r="B1115" t="str">
            <v>도자기 파이프</v>
          </cell>
        </row>
        <row r="1116">
          <cell r="A1116">
            <v>23420032</v>
          </cell>
          <cell r="B1116" t="str">
            <v>산수경석</v>
          </cell>
        </row>
        <row r="1117">
          <cell r="A1117">
            <v>23420033</v>
          </cell>
          <cell r="B1117" t="str">
            <v>옥 거북이</v>
          </cell>
        </row>
        <row r="1118">
          <cell r="A1118">
            <v>23420034</v>
          </cell>
          <cell r="B1118" t="str">
            <v>황금 라마</v>
          </cell>
        </row>
        <row r="1119">
          <cell r="A1119">
            <v>23420035</v>
          </cell>
          <cell r="B1119" t="str">
            <v>칠보 향로</v>
          </cell>
        </row>
        <row r="1120">
          <cell r="A1120">
            <v>23420036</v>
          </cell>
          <cell r="B1120" t="str">
            <v>일기장</v>
          </cell>
        </row>
        <row r="1121">
          <cell r="A1121">
            <v>23420037</v>
          </cell>
          <cell r="B1121" t="str">
            <v>고급 일기장</v>
          </cell>
        </row>
        <row r="1122">
          <cell r="A1122">
            <v>23420038</v>
          </cell>
          <cell r="B1122" t="str">
            <v>문구 세트</v>
          </cell>
        </row>
        <row r="1123">
          <cell r="A1123">
            <v>23420039</v>
          </cell>
          <cell r="B1123" t="str">
            <v>고급 문구 세트</v>
          </cell>
        </row>
        <row r="1124">
          <cell r="A1124">
            <v>23421000</v>
          </cell>
          <cell r="B1124" t="str">
            <v>기상도</v>
          </cell>
        </row>
        <row r="1125">
          <cell r="A1125">
            <v>23421001</v>
          </cell>
          <cell r="B1125" t="str">
            <v>평면도</v>
          </cell>
        </row>
        <row r="1126">
          <cell r="A1126">
            <v>23421002</v>
          </cell>
          <cell r="B1126" t="str">
            <v>도시 지형도</v>
          </cell>
        </row>
        <row r="1127">
          <cell r="A1127">
            <v>23421003</v>
          </cell>
          <cell r="B1127" t="str">
            <v>마을 지도</v>
          </cell>
        </row>
        <row r="1128">
          <cell r="A1128">
            <v>23421004</v>
          </cell>
          <cell r="B1128" t="str">
            <v>화석 조각</v>
          </cell>
        </row>
        <row r="1129">
          <cell r="A1129">
            <v>23421005</v>
          </cell>
          <cell r="B1129" t="str">
            <v>편마암</v>
          </cell>
        </row>
        <row r="1130">
          <cell r="A1130">
            <v>23421006</v>
          </cell>
          <cell r="B1130" t="str">
            <v>사암</v>
          </cell>
        </row>
        <row r="1131">
          <cell r="A1131">
            <v>23421007</v>
          </cell>
          <cell r="B1131" t="str">
            <v>석회암</v>
          </cell>
        </row>
        <row r="1132">
          <cell r="A1132">
            <v>23421008</v>
          </cell>
          <cell r="B1132" t="str">
            <v>대리암</v>
          </cell>
        </row>
        <row r="1133">
          <cell r="A1133">
            <v>23421009</v>
          </cell>
          <cell r="B1133" t="str">
            <v>물형석</v>
          </cell>
        </row>
        <row r="1134">
          <cell r="A1134">
            <v>23421010</v>
          </cell>
          <cell r="B1134" t="str">
            <v>무늬석</v>
          </cell>
        </row>
        <row r="1135">
          <cell r="A1135">
            <v>23421011</v>
          </cell>
          <cell r="B1135" t="str">
            <v>색채석</v>
          </cell>
        </row>
        <row r="1136">
          <cell r="A1136">
            <v>23421012</v>
          </cell>
          <cell r="B1136" t="str">
            <v>반귀석</v>
          </cell>
        </row>
        <row r="1137">
          <cell r="A1137">
            <v>23421013</v>
          </cell>
          <cell r="B1137" t="str">
            <v>신기한 발톱</v>
          </cell>
        </row>
        <row r="1138">
          <cell r="A1138">
            <v>23421014</v>
          </cell>
          <cell r="B1138" t="str">
            <v>깨끗한 허물</v>
          </cell>
        </row>
        <row r="1139">
          <cell r="A1139">
            <v>23421015</v>
          </cell>
          <cell r="B1139" t="str">
            <v>위험한 독니</v>
          </cell>
        </row>
        <row r="1140">
          <cell r="A1140">
            <v>23421016</v>
          </cell>
          <cell r="B1140" t="str">
            <v>파충류 비늘</v>
          </cell>
        </row>
        <row r="1141">
          <cell r="A1141">
            <v>23421017</v>
          </cell>
          <cell r="B1141" t="str">
            <v>지느러미</v>
          </cell>
        </row>
        <row r="1142">
          <cell r="A1142">
            <v>23421018</v>
          </cell>
          <cell r="B1142" t="str">
            <v>어묵</v>
          </cell>
        </row>
        <row r="1143">
          <cell r="A1143">
            <v>23421019</v>
          </cell>
          <cell r="B1143" t="str">
            <v>바닷가재</v>
          </cell>
        </row>
        <row r="1144">
          <cell r="A1144">
            <v>23421020</v>
          </cell>
          <cell r="B1144" t="str">
            <v>조개껍질</v>
          </cell>
        </row>
        <row r="1145">
          <cell r="A1145">
            <v>23421021</v>
          </cell>
          <cell r="B1145" t="str">
            <v>불가사리</v>
          </cell>
        </row>
        <row r="1146">
          <cell r="A1146">
            <v>23421022</v>
          </cell>
          <cell r="B1146" t="str">
            <v>작가 미상 그림</v>
          </cell>
        </row>
        <row r="1147">
          <cell r="A1147">
            <v>23421023</v>
          </cell>
          <cell r="B1147" t="str">
            <v>작가 미상 조각</v>
          </cell>
        </row>
        <row r="1148">
          <cell r="A1148">
            <v>23421024</v>
          </cell>
          <cell r="B1148" t="str">
            <v>부서진 성물</v>
          </cell>
        </row>
        <row r="1149">
          <cell r="A1149">
            <v>23421025</v>
          </cell>
          <cell r="B1149" t="str">
            <v>항구 견문록</v>
          </cell>
        </row>
        <row r="1150">
          <cell r="A1150">
            <v>23421026</v>
          </cell>
          <cell r="B1150" t="str">
            <v>마을 견문록</v>
          </cell>
        </row>
        <row r="1151">
          <cell r="A1151">
            <v>23421027</v>
          </cell>
          <cell r="B1151" t="str">
            <v>최하급 모험 임명장</v>
          </cell>
        </row>
        <row r="1152">
          <cell r="A1152">
            <v>23421028</v>
          </cell>
          <cell r="B1152" t="str">
            <v>하급 모험 임명장</v>
          </cell>
        </row>
        <row r="1153">
          <cell r="A1153">
            <v>23421029</v>
          </cell>
          <cell r="B1153" t="str">
            <v>중급 모험 임명장</v>
          </cell>
        </row>
        <row r="1154">
          <cell r="A1154">
            <v>23421030</v>
          </cell>
          <cell r="B1154" t="str">
            <v>상급 모험 임명장</v>
          </cell>
        </row>
        <row r="1155">
          <cell r="A1155">
            <v>23421031</v>
          </cell>
          <cell r="B1155" t="str">
            <v>최상급 모험 임명장</v>
          </cell>
        </row>
        <row r="1156">
          <cell r="A1156">
            <v>23421032</v>
          </cell>
          <cell r="B1156" t="str">
            <v>최하급 교역 임명장</v>
          </cell>
        </row>
        <row r="1157">
          <cell r="A1157">
            <v>23421033</v>
          </cell>
          <cell r="B1157" t="str">
            <v>하급 교역 임명장</v>
          </cell>
        </row>
        <row r="1158">
          <cell r="A1158">
            <v>23421034</v>
          </cell>
          <cell r="B1158" t="str">
            <v>중급 교역 임명장</v>
          </cell>
        </row>
        <row r="1159">
          <cell r="A1159">
            <v>23421035</v>
          </cell>
          <cell r="B1159" t="str">
            <v>상급 교역 임명장</v>
          </cell>
        </row>
        <row r="1160">
          <cell r="A1160">
            <v>23421036</v>
          </cell>
          <cell r="B1160" t="str">
            <v>최상급 교역 임명장</v>
          </cell>
        </row>
        <row r="1161">
          <cell r="A1161">
            <v>23421037</v>
          </cell>
          <cell r="B1161" t="str">
            <v>최하급 전투 임명장</v>
          </cell>
        </row>
        <row r="1162">
          <cell r="A1162">
            <v>23421038</v>
          </cell>
          <cell r="B1162" t="str">
            <v>하급 전투 임명장</v>
          </cell>
        </row>
        <row r="1163">
          <cell r="A1163">
            <v>23421039</v>
          </cell>
          <cell r="B1163" t="str">
            <v>중급 전투 임명장</v>
          </cell>
        </row>
        <row r="1164">
          <cell r="A1164">
            <v>23421040</v>
          </cell>
          <cell r="B1164" t="str">
            <v>상급 전투 임명장</v>
          </cell>
        </row>
        <row r="1165">
          <cell r="A1165">
            <v>23421041</v>
          </cell>
          <cell r="B1165" t="str">
            <v>최상급 전투 임명장</v>
          </cell>
        </row>
        <row r="1166">
          <cell r="A1166">
            <v>23421042</v>
          </cell>
          <cell r="B1166" t="str">
            <v>초급 포격술 교본</v>
          </cell>
        </row>
        <row r="1167">
          <cell r="A1167">
            <v>23421043</v>
          </cell>
          <cell r="B1167" t="str">
            <v>중급 포격술 교본</v>
          </cell>
        </row>
        <row r="1168">
          <cell r="A1168">
            <v>23421044</v>
          </cell>
          <cell r="B1168" t="str">
            <v>고급 포격술 교본</v>
          </cell>
        </row>
        <row r="1169">
          <cell r="A1169">
            <v>23421045</v>
          </cell>
          <cell r="B1169" t="str">
            <v>최고급 포격술 교본</v>
          </cell>
        </row>
        <row r="1170">
          <cell r="A1170">
            <v>23421046</v>
          </cell>
          <cell r="B1170" t="str">
            <v>초급 백병술 교본</v>
          </cell>
        </row>
        <row r="1171">
          <cell r="A1171">
            <v>23421047</v>
          </cell>
          <cell r="B1171" t="str">
            <v>중급 백병술 교본</v>
          </cell>
        </row>
        <row r="1172">
          <cell r="A1172">
            <v>23421048</v>
          </cell>
          <cell r="B1172" t="str">
            <v>고급 백병술 교본</v>
          </cell>
        </row>
        <row r="1173">
          <cell r="A1173">
            <v>23421049</v>
          </cell>
          <cell r="B1173" t="str">
            <v>최고급 백병술 교본</v>
          </cell>
        </row>
        <row r="1174">
          <cell r="A1174">
            <v>23421050</v>
          </cell>
          <cell r="B1174" t="str">
            <v>초급 충파술 교본</v>
          </cell>
        </row>
        <row r="1175">
          <cell r="A1175">
            <v>23421051</v>
          </cell>
          <cell r="B1175" t="str">
            <v>중급 충파술 교본</v>
          </cell>
        </row>
        <row r="1176">
          <cell r="A1176">
            <v>23421052</v>
          </cell>
          <cell r="B1176" t="str">
            <v>고급 충파술 교본</v>
          </cell>
        </row>
        <row r="1177">
          <cell r="A1177">
            <v>23421053</v>
          </cell>
          <cell r="B1177" t="str">
            <v>최고급 충파술 교본</v>
          </cell>
        </row>
        <row r="1178">
          <cell r="A1178">
            <v>23421054</v>
          </cell>
          <cell r="B1178" t="str">
            <v>초급 지원술 교본</v>
          </cell>
        </row>
        <row r="1179">
          <cell r="A1179">
            <v>23421055</v>
          </cell>
          <cell r="B1179" t="str">
            <v>중급 지원술 교본</v>
          </cell>
        </row>
        <row r="1180">
          <cell r="A1180">
            <v>23421056</v>
          </cell>
          <cell r="B1180" t="str">
            <v>고급 지원술 교본</v>
          </cell>
        </row>
        <row r="1181">
          <cell r="A1181">
            <v>23421057</v>
          </cell>
          <cell r="B1181" t="str">
            <v>최고급 지원술 교본</v>
          </cell>
        </row>
        <row r="1182">
          <cell r="A1182">
            <v>23421058</v>
          </cell>
          <cell r="B1182" t="str">
            <v>초급 보급법 교본</v>
          </cell>
        </row>
        <row r="1183">
          <cell r="A1183">
            <v>23421059</v>
          </cell>
          <cell r="B1183" t="str">
            <v>중급 보급법 교본</v>
          </cell>
        </row>
        <row r="1184">
          <cell r="A1184">
            <v>23421060</v>
          </cell>
          <cell r="B1184" t="str">
            <v>고급 보급법 교본</v>
          </cell>
        </row>
        <row r="1185">
          <cell r="A1185">
            <v>23421061</v>
          </cell>
          <cell r="B1185" t="str">
            <v>최고급 보급법 교본</v>
          </cell>
        </row>
        <row r="1186">
          <cell r="A1186">
            <v>23421062</v>
          </cell>
          <cell r="B1186" t="str">
            <v>초급 척후법 교본</v>
          </cell>
        </row>
        <row r="1187">
          <cell r="A1187">
            <v>23421063</v>
          </cell>
          <cell r="B1187" t="str">
            <v>중급 척후법 교본</v>
          </cell>
        </row>
        <row r="1188">
          <cell r="A1188">
            <v>23421064</v>
          </cell>
          <cell r="B1188" t="str">
            <v>고급 척후법 교본</v>
          </cell>
        </row>
        <row r="1189">
          <cell r="A1189">
            <v>23421065</v>
          </cell>
          <cell r="B1189" t="str">
            <v>최고급 척후법 교본</v>
          </cell>
        </row>
        <row r="1190">
          <cell r="A1190">
            <v>23421066</v>
          </cell>
          <cell r="B1190" t="str">
            <v>초급 박물학 교본</v>
          </cell>
        </row>
        <row r="1191">
          <cell r="A1191">
            <v>23421067</v>
          </cell>
          <cell r="B1191" t="str">
            <v>중급 박물학 교본</v>
          </cell>
        </row>
        <row r="1192">
          <cell r="A1192">
            <v>23421068</v>
          </cell>
          <cell r="B1192" t="str">
            <v>고급 박물학 교본</v>
          </cell>
        </row>
        <row r="1193">
          <cell r="A1193">
            <v>23421069</v>
          </cell>
          <cell r="B1193" t="str">
            <v>최고급 박물학 교본</v>
          </cell>
        </row>
        <row r="1194">
          <cell r="A1194">
            <v>23421070</v>
          </cell>
          <cell r="B1194" t="str">
            <v>초급 심미학 교본</v>
          </cell>
        </row>
        <row r="1195">
          <cell r="A1195">
            <v>23421071</v>
          </cell>
          <cell r="B1195" t="str">
            <v>중급 심미학 교본</v>
          </cell>
        </row>
        <row r="1196">
          <cell r="A1196">
            <v>23421072</v>
          </cell>
          <cell r="B1196" t="str">
            <v>고급 심미학 교본</v>
          </cell>
        </row>
        <row r="1197">
          <cell r="A1197">
            <v>23421073</v>
          </cell>
          <cell r="B1197" t="str">
            <v>최고급 심미학 교본</v>
          </cell>
        </row>
        <row r="1198">
          <cell r="A1198">
            <v>23421074</v>
          </cell>
          <cell r="B1198" t="str">
            <v>초급 구매 전략 교본</v>
          </cell>
        </row>
        <row r="1199">
          <cell r="A1199">
            <v>23421075</v>
          </cell>
          <cell r="B1199" t="str">
            <v>중급 구매 전략 교본</v>
          </cell>
        </row>
        <row r="1200">
          <cell r="A1200">
            <v>23421076</v>
          </cell>
          <cell r="B1200" t="str">
            <v>고급 구매 전략 교본</v>
          </cell>
        </row>
        <row r="1201">
          <cell r="A1201">
            <v>23421077</v>
          </cell>
          <cell r="B1201" t="str">
            <v>최고급 구매 전략 교본</v>
          </cell>
        </row>
        <row r="1202">
          <cell r="A1202">
            <v>23421078</v>
          </cell>
          <cell r="B1202" t="str">
            <v>초급 판매 전략 교본</v>
          </cell>
        </row>
        <row r="1203">
          <cell r="A1203">
            <v>23421079</v>
          </cell>
          <cell r="B1203" t="str">
            <v>중급 판매 전략 교본</v>
          </cell>
        </row>
        <row r="1204">
          <cell r="A1204">
            <v>23421080</v>
          </cell>
          <cell r="B1204" t="str">
            <v>고급 판매 전략 교본</v>
          </cell>
        </row>
        <row r="1205">
          <cell r="A1205">
            <v>23421081</v>
          </cell>
          <cell r="B1205" t="str">
            <v>최고급 판매 전략 교본</v>
          </cell>
        </row>
        <row r="1206">
          <cell r="A1206">
            <v>23421082</v>
          </cell>
          <cell r="B1206" t="str">
            <v>초급 협상 전략 교본</v>
          </cell>
        </row>
        <row r="1207">
          <cell r="A1207">
            <v>23421083</v>
          </cell>
          <cell r="B1207" t="str">
            <v>중급 협상 전략 교본</v>
          </cell>
        </row>
        <row r="1208">
          <cell r="A1208">
            <v>23421084</v>
          </cell>
          <cell r="B1208" t="str">
            <v>고급 협상 전략 교본</v>
          </cell>
        </row>
        <row r="1209">
          <cell r="A1209">
            <v>23421085</v>
          </cell>
          <cell r="B1209" t="str">
            <v>최고급 협상 전략 교본</v>
          </cell>
        </row>
        <row r="1210">
          <cell r="A1210">
            <v>23421086</v>
          </cell>
          <cell r="B1210" t="str">
            <v>초급 교환 전략 교본</v>
          </cell>
        </row>
        <row r="1211">
          <cell r="A1211">
            <v>23421087</v>
          </cell>
          <cell r="B1211" t="str">
            <v>중급 교환 전략 교본</v>
          </cell>
        </row>
        <row r="1212">
          <cell r="A1212">
            <v>23421088</v>
          </cell>
          <cell r="B1212" t="str">
            <v>고급 교환 전략 교본</v>
          </cell>
        </row>
        <row r="1213">
          <cell r="A1213">
            <v>23421089</v>
          </cell>
          <cell r="B1213" t="str">
            <v>최고급 교환 전략 교본</v>
          </cell>
        </row>
        <row r="1214">
          <cell r="A1214">
            <v>23421090</v>
          </cell>
          <cell r="B1214" t="str">
            <v>낡은 상자</v>
          </cell>
        </row>
        <row r="1215">
          <cell r="A1215">
            <v>23430000</v>
          </cell>
          <cell r="B1215" t="str">
            <v>[대표]도면</v>
          </cell>
        </row>
        <row r="1216">
          <cell r="A1216">
            <v>23430001</v>
          </cell>
          <cell r="B1216" t="str">
            <v>[대표]건조 재료</v>
          </cell>
        </row>
        <row r="1217">
          <cell r="A1217">
            <v>23430002</v>
          </cell>
          <cell r="B1217" t="str">
            <v>[대표]장비</v>
          </cell>
        </row>
        <row r="1218">
          <cell r="A1218">
            <v>23430003</v>
          </cell>
          <cell r="B1218" t="str">
            <v>[대표]부품</v>
          </cell>
        </row>
        <row r="1219">
          <cell r="A1219">
            <v>23430004</v>
          </cell>
          <cell r="B1219" t="str">
            <v>[대표]승급 재료</v>
          </cell>
        </row>
        <row r="1220">
          <cell r="A1220">
            <v>23430005</v>
          </cell>
          <cell r="B1220" t="str">
            <v>[대표]항해사 선물</v>
          </cell>
        </row>
        <row r="1221">
          <cell r="A1221">
            <v>23430006</v>
          </cell>
          <cell r="B1221" t="str">
            <v>[대표]특수 자원</v>
          </cell>
        </row>
        <row r="1222">
          <cell r="A1222">
            <v>23430007</v>
          </cell>
          <cell r="B1222" t="str">
            <v>[대표]계약서</v>
          </cell>
        </row>
        <row r="1223">
          <cell r="A1223">
            <v>23500001</v>
          </cell>
          <cell r="B1223" t="str">
            <v>상자 열쇠</v>
          </cell>
        </row>
        <row r="1224">
          <cell r="A1224">
            <v>23500002</v>
          </cell>
          <cell r="B1224" t="str">
            <v>정기선 탑승권</v>
          </cell>
        </row>
        <row r="1225">
          <cell r="A1225">
            <v>23500003</v>
          </cell>
          <cell r="B1225" t="str">
            <v>정기선 탑승권 (거래 불가)</v>
          </cell>
        </row>
        <row r="1226">
          <cell r="A1226">
            <v>23500004</v>
          </cell>
          <cell r="B1226" t="str">
            <v>고용 가속권 5분</v>
          </cell>
        </row>
        <row r="1227">
          <cell r="A1227">
            <v>23500005</v>
          </cell>
          <cell r="B1227" t="str">
            <v>고용 가속권 10분</v>
          </cell>
        </row>
        <row r="1228">
          <cell r="A1228">
            <v>23500006</v>
          </cell>
          <cell r="B1228" t="str">
            <v>고용 가속권 30분</v>
          </cell>
        </row>
        <row r="1229">
          <cell r="A1229">
            <v>23500007</v>
          </cell>
          <cell r="B1229" t="str">
            <v>고용 가속권 1시간</v>
          </cell>
        </row>
        <row r="1230">
          <cell r="A1230">
            <v>23500008</v>
          </cell>
          <cell r="B1230" t="str">
            <v>고용 가속권 6시간</v>
          </cell>
        </row>
        <row r="1231">
          <cell r="A1231">
            <v>23500009</v>
          </cell>
          <cell r="B1231" t="str">
            <v>고용 가속권 1일</v>
          </cell>
        </row>
        <row r="1232">
          <cell r="A1232">
            <v>23500010</v>
          </cell>
          <cell r="B1232" t="str">
            <v>격려 가속권 5분</v>
          </cell>
        </row>
        <row r="1233">
          <cell r="A1233">
            <v>23500011</v>
          </cell>
          <cell r="B1233" t="str">
            <v>격려 가속권 10분</v>
          </cell>
        </row>
        <row r="1234">
          <cell r="A1234">
            <v>23500012</v>
          </cell>
          <cell r="B1234" t="str">
            <v>격려 가속권 30분</v>
          </cell>
        </row>
        <row r="1235">
          <cell r="A1235">
            <v>23500013</v>
          </cell>
          <cell r="B1235" t="str">
            <v>격려 가속권 1시간</v>
          </cell>
        </row>
        <row r="1236">
          <cell r="A1236">
            <v>23500014</v>
          </cell>
          <cell r="B1236" t="str">
            <v>격려 가속권 6시간</v>
          </cell>
        </row>
        <row r="1237">
          <cell r="A1237">
            <v>23500015</v>
          </cell>
          <cell r="B1237" t="str">
            <v>격려 가속권 1일</v>
          </cell>
        </row>
        <row r="1238">
          <cell r="A1238">
            <v>23500016</v>
          </cell>
          <cell r="B1238" t="str">
            <v>건조 가속권 5분</v>
          </cell>
        </row>
        <row r="1239">
          <cell r="A1239">
            <v>23500017</v>
          </cell>
          <cell r="B1239" t="str">
            <v>건조 가속권 10분</v>
          </cell>
        </row>
        <row r="1240">
          <cell r="A1240">
            <v>23500018</v>
          </cell>
          <cell r="B1240" t="str">
            <v>건조 가속권 30분</v>
          </cell>
        </row>
        <row r="1241">
          <cell r="A1241">
            <v>23500019</v>
          </cell>
          <cell r="B1241" t="str">
            <v>건조 가속권 1시간</v>
          </cell>
        </row>
        <row r="1242">
          <cell r="A1242">
            <v>23500020</v>
          </cell>
          <cell r="B1242" t="str">
            <v>건조 가속권 6시간</v>
          </cell>
        </row>
        <row r="1243">
          <cell r="A1243">
            <v>23500021</v>
          </cell>
          <cell r="B1243" t="str">
            <v>건조 가속권 1일</v>
          </cell>
        </row>
        <row r="1244">
          <cell r="A1244">
            <v>23500022</v>
          </cell>
          <cell r="B1244" t="str">
            <v>승급 가속권 5분</v>
          </cell>
        </row>
        <row r="1245">
          <cell r="A1245">
            <v>23500023</v>
          </cell>
          <cell r="B1245" t="str">
            <v>승급 가속권 10분</v>
          </cell>
        </row>
        <row r="1246">
          <cell r="A1246">
            <v>23500024</v>
          </cell>
          <cell r="B1246" t="str">
            <v>승급 가속권 30분</v>
          </cell>
        </row>
        <row r="1247">
          <cell r="A1247">
            <v>23500025</v>
          </cell>
          <cell r="B1247" t="str">
            <v>승급 가속권 1시간</v>
          </cell>
        </row>
        <row r="1248">
          <cell r="A1248">
            <v>23500026</v>
          </cell>
          <cell r="B1248" t="str">
            <v>승급 가속권 6시간</v>
          </cell>
        </row>
        <row r="1249">
          <cell r="A1249">
            <v>23500027</v>
          </cell>
          <cell r="B1249" t="str">
            <v>승급 가속권 1일</v>
          </cell>
        </row>
        <row r="1250">
          <cell r="A1250">
            <v>23500028</v>
          </cell>
          <cell r="B1250" t="str">
            <v>학습 가속권 5분</v>
          </cell>
        </row>
        <row r="1251">
          <cell r="A1251">
            <v>23500029</v>
          </cell>
          <cell r="B1251" t="str">
            <v>학습 가속권 10분</v>
          </cell>
        </row>
        <row r="1252">
          <cell r="A1252">
            <v>23500030</v>
          </cell>
          <cell r="B1252" t="str">
            <v>학습 가속권 30분</v>
          </cell>
        </row>
        <row r="1253">
          <cell r="A1253">
            <v>23500031</v>
          </cell>
          <cell r="B1253" t="str">
            <v>학습 가속권 1시간</v>
          </cell>
        </row>
        <row r="1254">
          <cell r="A1254">
            <v>23500032</v>
          </cell>
          <cell r="B1254" t="str">
            <v>학습 가속권 6시간</v>
          </cell>
        </row>
        <row r="1255">
          <cell r="A1255">
            <v>23500033</v>
          </cell>
          <cell r="B1255" t="str">
            <v>학습 가속권 1일</v>
          </cell>
        </row>
        <row r="1256">
          <cell r="A1256">
            <v>23500034</v>
          </cell>
          <cell r="B1256" t="str">
            <v>제작 가속권 5분</v>
          </cell>
        </row>
        <row r="1257">
          <cell r="A1257">
            <v>23500035</v>
          </cell>
          <cell r="B1257" t="str">
            <v>제작 가속권 10분</v>
          </cell>
        </row>
        <row r="1258">
          <cell r="A1258">
            <v>23500036</v>
          </cell>
          <cell r="B1258" t="str">
            <v>제작 가속권 30분</v>
          </cell>
        </row>
        <row r="1259">
          <cell r="A1259">
            <v>23500037</v>
          </cell>
          <cell r="B1259" t="str">
            <v>제작 가속권 1시간</v>
          </cell>
        </row>
        <row r="1260">
          <cell r="A1260">
            <v>23500038</v>
          </cell>
          <cell r="B1260" t="str">
            <v>제작 가속권 6시간</v>
          </cell>
        </row>
        <row r="1261">
          <cell r="A1261">
            <v>23500039</v>
          </cell>
          <cell r="B1261" t="str">
            <v>제작 가속권 1일</v>
          </cell>
        </row>
        <row r="1262">
          <cell r="A1262">
            <v>23550001</v>
          </cell>
          <cell r="B1262" t="str">
            <v>C급 장비 의뢰서</v>
          </cell>
        </row>
        <row r="1263">
          <cell r="A1263">
            <v>23550002</v>
          </cell>
          <cell r="B1263" t="str">
            <v>C급 녹색 광석</v>
          </cell>
        </row>
        <row r="1264">
          <cell r="A1264">
            <v>23550003</v>
          </cell>
          <cell r="B1264" t="str">
            <v>C급 푸른색 광석</v>
          </cell>
        </row>
        <row r="1265">
          <cell r="A1265">
            <v>23550004</v>
          </cell>
          <cell r="B1265" t="str">
            <v>C급 붉은색 광석</v>
          </cell>
        </row>
        <row r="1266">
          <cell r="A1266">
            <v>23550005</v>
          </cell>
          <cell r="B1266" t="str">
            <v>B급 장비 의뢰서</v>
          </cell>
        </row>
        <row r="1267">
          <cell r="A1267">
            <v>23550006</v>
          </cell>
          <cell r="B1267" t="str">
            <v>B급 녹색 광석</v>
          </cell>
        </row>
        <row r="1268">
          <cell r="A1268">
            <v>23550007</v>
          </cell>
          <cell r="B1268" t="str">
            <v>B급 푸른색 광석</v>
          </cell>
        </row>
        <row r="1269">
          <cell r="A1269">
            <v>23550008</v>
          </cell>
          <cell r="B1269" t="str">
            <v>B급 붉은색 광석</v>
          </cell>
        </row>
        <row r="1270">
          <cell r="A1270">
            <v>23550009</v>
          </cell>
          <cell r="B1270" t="str">
            <v>A급 장비 의뢰서</v>
          </cell>
        </row>
        <row r="1271">
          <cell r="A1271">
            <v>23550010</v>
          </cell>
          <cell r="B1271" t="str">
            <v>A급 녹색 광석</v>
          </cell>
        </row>
        <row r="1272">
          <cell r="A1272">
            <v>23550011</v>
          </cell>
          <cell r="B1272" t="str">
            <v>A급 푸른색 광석</v>
          </cell>
        </row>
        <row r="1273">
          <cell r="A1273">
            <v>23550012</v>
          </cell>
          <cell r="B1273" t="str">
            <v>A급 붉은색 광석</v>
          </cell>
        </row>
        <row r="1274">
          <cell r="A1274">
            <v>23550013</v>
          </cell>
          <cell r="B1274" t="str">
            <v>C급 부품 의뢰서</v>
          </cell>
        </row>
        <row r="1275">
          <cell r="A1275">
            <v>23550014</v>
          </cell>
          <cell r="B1275" t="str">
            <v>C급 가공 금속</v>
          </cell>
        </row>
        <row r="1276">
          <cell r="A1276">
            <v>23550015</v>
          </cell>
          <cell r="B1276" t="str">
            <v>C급 가공 철재</v>
          </cell>
        </row>
        <row r="1277">
          <cell r="A1277">
            <v>23550016</v>
          </cell>
          <cell r="B1277" t="str">
            <v>C급 가공 목재</v>
          </cell>
        </row>
        <row r="1278">
          <cell r="A1278">
            <v>23550017</v>
          </cell>
          <cell r="B1278" t="str">
            <v>B급 부품 의뢰서</v>
          </cell>
        </row>
        <row r="1279">
          <cell r="A1279">
            <v>23550018</v>
          </cell>
          <cell r="B1279" t="str">
            <v>B급 가공 금속</v>
          </cell>
        </row>
        <row r="1280">
          <cell r="A1280">
            <v>23550019</v>
          </cell>
          <cell r="B1280" t="str">
            <v>B급 가공 철재</v>
          </cell>
        </row>
        <row r="1281">
          <cell r="A1281">
            <v>23550020</v>
          </cell>
          <cell r="B1281" t="str">
            <v>B급 가공 목재</v>
          </cell>
        </row>
        <row r="1282">
          <cell r="A1282">
            <v>23550021</v>
          </cell>
          <cell r="B1282" t="str">
            <v>A급 부품 의뢰서</v>
          </cell>
        </row>
        <row r="1283">
          <cell r="A1283">
            <v>23550022</v>
          </cell>
          <cell r="B1283" t="str">
            <v>A급 가공 금속</v>
          </cell>
        </row>
        <row r="1284">
          <cell r="A1284">
            <v>23550023</v>
          </cell>
          <cell r="B1284" t="str">
            <v>A급 가공 철재</v>
          </cell>
        </row>
        <row r="1285">
          <cell r="A1285">
            <v>23550024</v>
          </cell>
          <cell r="B1285" t="str">
            <v>A급 가공 목재</v>
          </cell>
        </row>
        <row r="1286">
          <cell r="A1286">
            <v>23600000</v>
          </cell>
          <cell r="B1286" t="str">
            <v>저렴한 낚싯대</v>
          </cell>
        </row>
        <row r="1287">
          <cell r="A1287">
            <v>23600001</v>
          </cell>
          <cell r="B1287" t="str">
            <v>중급 낚싯대</v>
          </cell>
        </row>
        <row r="1288">
          <cell r="A1288">
            <v>23600002</v>
          </cell>
          <cell r="B1288" t="str">
            <v>고급 낚싯대</v>
          </cell>
        </row>
        <row r="1289">
          <cell r="A1289">
            <v>23600003</v>
          </cell>
          <cell r="B1289" t="str">
            <v>특별한 낚싯대</v>
          </cell>
        </row>
        <row r="1290">
          <cell r="A1290">
            <v>23600004</v>
          </cell>
          <cell r="B1290" t="str">
            <v>전설의 낚싯대</v>
          </cell>
        </row>
        <row r="1291">
          <cell r="A1291">
            <v>23600010</v>
          </cell>
          <cell r="B1291" t="str">
            <v>저렴한 떡밥</v>
          </cell>
        </row>
        <row r="1292">
          <cell r="A1292">
            <v>23600011</v>
          </cell>
          <cell r="B1292" t="str">
            <v>중급 떡밥</v>
          </cell>
        </row>
        <row r="1293">
          <cell r="A1293">
            <v>23600012</v>
          </cell>
          <cell r="B1293" t="str">
            <v>고급 떡밥</v>
          </cell>
        </row>
        <row r="1294">
          <cell r="A1294">
            <v>23600013</v>
          </cell>
          <cell r="B1294" t="str">
            <v>특별한 떡밥</v>
          </cell>
        </row>
        <row r="1295">
          <cell r="A1295">
            <v>23600014</v>
          </cell>
          <cell r="B1295" t="str">
            <v>전설의 떡밥</v>
          </cell>
        </row>
        <row r="1296">
          <cell r="A1296">
            <v>23610000</v>
          </cell>
          <cell r="B1296" t="str">
            <v>소형 용골</v>
          </cell>
        </row>
        <row r="1297">
          <cell r="A1297">
            <v>23610001</v>
          </cell>
          <cell r="B1297" t="str">
            <v>중형 용골</v>
          </cell>
        </row>
        <row r="1298">
          <cell r="A1298">
            <v>23610002</v>
          </cell>
          <cell r="B1298" t="str">
            <v>대형 용골</v>
          </cell>
        </row>
        <row r="1299">
          <cell r="A1299">
            <v>23610003</v>
          </cell>
          <cell r="B1299" t="str">
            <v>초대형 용골</v>
          </cell>
        </row>
        <row r="1300">
          <cell r="A1300">
            <v>23610004</v>
          </cell>
          <cell r="B1300" t="str">
            <v>밧줄</v>
          </cell>
        </row>
        <row r="1301">
          <cell r="A1301">
            <v>23610005</v>
          </cell>
          <cell r="B1301" t="str">
            <v>특수 가공 밧줄</v>
          </cell>
        </row>
        <row r="1302">
          <cell r="A1302">
            <v>23610006</v>
          </cell>
          <cell r="B1302" t="str">
            <v>강화 밧줄</v>
          </cell>
        </row>
        <row r="1303">
          <cell r="A1303">
            <v>23610007</v>
          </cell>
          <cell r="B1303" t="str">
            <v>특수 강화 밧줄</v>
          </cell>
        </row>
        <row r="1304">
          <cell r="A1304">
            <v>23610008</v>
          </cell>
          <cell r="B1304" t="str">
            <v>삼나무</v>
          </cell>
        </row>
        <row r="1305">
          <cell r="A1305">
            <v>23610009</v>
          </cell>
          <cell r="B1305" t="str">
            <v>가문비나무</v>
          </cell>
        </row>
        <row r="1306">
          <cell r="A1306">
            <v>23610010</v>
          </cell>
          <cell r="B1306" t="str">
            <v>적송</v>
          </cell>
        </row>
        <row r="1307">
          <cell r="A1307">
            <v>23610011</v>
          </cell>
          <cell r="B1307" t="str">
            <v>오리나무</v>
          </cell>
        </row>
        <row r="1308">
          <cell r="A1308">
            <v>23610012</v>
          </cell>
          <cell r="B1308" t="str">
            <v>너도밤나무</v>
          </cell>
        </row>
        <row r="1309">
          <cell r="A1309">
            <v>23610013</v>
          </cell>
          <cell r="B1309" t="str">
            <v>티크</v>
          </cell>
        </row>
        <row r="1310">
          <cell r="A1310">
            <v>23610014</v>
          </cell>
          <cell r="B1310" t="str">
            <v>호두나무</v>
          </cell>
        </row>
        <row r="1311">
          <cell r="A1311">
            <v>23610015</v>
          </cell>
          <cell r="B1311" t="str">
            <v>자단나무</v>
          </cell>
        </row>
        <row r="1312">
          <cell r="A1312">
            <v>23610016</v>
          </cell>
          <cell r="B1312" t="str">
            <v>흑단나무</v>
          </cell>
        </row>
        <row r="1313">
          <cell r="A1313">
            <v>23610017</v>
          </cell>
          <cell r="B1313" t="str">
            <v>삼나무 돛대</v>
          </cell>
        </row>
        <row r="1314">
          <cell r="A1314">
            <v>23610018</v>
          </cell>
          <cell r="B1314" t="str">
            <v>가문비나무 돛대</v>
          </cell>
        </row>
        <row r="1315">
          <cell r="A1315">
            <v>23610019</v>
          </cell>
          <cell r="B1315" t="str">
            <v>적송 돛대</v>
          </cell>
        </row>
        <row r="1316">
          <cell r="A1316">
            <v>23610020</v>
          </cell>
          <cell r="B1316" t="str">
            <v>오리나무 돛대</v>
          </cell>
        </row>
        <row r="1317">
          <cell r="A1317">
            <v>23610021</v>
          </cell>
          <cell r="B1317" t="str">
            <v>너도밤나무 돛대</v>
          </cell>
        </row>
        <row r="1318">
          <cell r="A1318">
            <v>23610022</v>
          </cell>
          <cell r="B1318" t="str">
            <v>티크 돛대</v>
          </cell>
        </row>
        <row r="1319">
          <cell r="A1319">
            <v>23610023</v>
          </cell>
          <cell r="B1319" t="str">
            <v>호두나무 돛대</v>
          </cell>
        </row>
        <row r="1320">
          <cell r="A1320">
            <v>23610024</v>
          </cell>
          <cell r="B1320" t="str">
            <v>자단나무 돛대</v>
          </cell>
        </row>
        <row r="1321">
          <cell r="A1321">
            <v>23610025</v>
          </cell>
          <cell r="B1321" t="str">
            <v>흑단나무 돛대</v>
          </cell>
        </row>
        <row r="1322">
          <cell r="A1322">
            <v>23610026</v>
          </cell>
          <cell r="B1322" t="str">
            <v>양모</v>
          </cell>
        </row>
        <row r="1323">
          <cell r="A1323">
            <v>23610027</v>
          </cell>
          <cell r="B1323" t="str">
            <v>대마</v>
          </cell>
        </row>
        <row r="1324">
          <cell r="A1324">
            <v>23610028</v>
          </cell>
          <cell r="B1324" t="str">
            <v>고급 대마</v>
          </cell>
        </row>
        <row r="1325">
          <cell r="A1325">
            <v>23610029</v>
          </cell>
          <cell r="B1325" t="str">
            <v>황마</v>
          </cell>
        </row>
        <row r="1326">
          <cell r="A1326">
            <v>23610030</v>
          </cell>
          <cell r="B1326" t="str">
            <v>고급 황마</v>
          </cell>
        </row>
        <row r="1327">
          <cell r="A1327">
            <v>23610031</v>
          </cell>
          <cell r="B1327" t="str">
            <v>리넨</v>
          </cell>
        </row>
        <row r="1328">
          <cell r="A1328">
            <v>23610032</v>
          </cell>
          <cell r="B1328" t="str">
            <v>고급 리넨</v>
          </cell>
        </row>
        <row r="1329">
          <cell r="A1329">
            <v>23610033</v>
          </cell>
          <cell r="B1329" t="str">
            <v>면</v>
          </cell>
        </row>
        <row r="1330">
          <cell r="A1330">
            <v>23610034</v>
          </cell>
          <cell r="B1330" t="str">
            <v>고급 면</v>
          </cell>
        </row>
        <row r="1331">
          <cell r="A1331">
            <v>23610035</v>
          </cell>
          <cell r="B1331" t="str">
            <v>훈련용 포문</v>
          </cell>
        </row>
        <row r="1332">
          <cell r="A1332">
            <v>23610036</v>
          </cell>
          <cell r="B1332" t="str">
            <v>소형 포문</v>
          </cell>
        </row>
        <row r="1333">
          <cell r="A1333">
            <v>23610037</v>
          </cell>
          <cell r="B1333" t="str">
            <v>중형 포문</v>
          </cell>
        </row>
        <row r="1334">
          <cell r="A1334">
            <v>23610038</v>
          </cell>
          <cell r="B1334" t="str">
            <v>개량형 중형 포문</v>
          </cell>
        </row>
        <row r="1335">
          <cell r="A1335">
            <v>23610039</v>
          </cell>
          <cell r="B1335" t="str">
            <v>강화 중형 포문</v>
          </cell>
        </row>
        <row r="1336">
          <cell r="A1336">
            <v>23610040</v>
          </cell>
          <cell r="B1336" t="str">
            <v>특수 강화 중형 포문</v>
          </cell>
        </row>
        <row r="1337">
          <cell r="A1337">
            <v>23610041</v>
          </cell>
          <cell r="B1337" t="str">
            <v>대형 포문</v>
          </cell>
        </row>
        <row r="1338">
          <cell r="A1338">
            <v>23610042</v>
          </cell>
          <cell r="B1338" t="str">
            <v>개량형 대형 포문</v>
          </cell>
        </row>
        <row r="1339">
          <cell r="A1339">
            <v>23610043</v>
          </cell>
          <cell r="B1339" t="str">
            <v>강화 대형 포문</v>
          </cell>
        </row>
        <row r="1340">
          <cell r="A1340">
            <v>23610044</v>
          </cell>
          <cell r="B1340" t="str">
            <v>특수 강화 대형 포문</v>
          </cell>
        </row>
        <row r="1341">
          <cell r="A1341">
            <v>23610045</v>
          </cell>
          <cell r="B1341" t="str">
            <v>초대형 포문</v>
          </cell>
        </row>
        <row r="1342">
          <cell r="A1342">
            <v>23610046</v>
          </cell>
          <cell r="B1342" t="str">
            <v>개량형 초대형 포문</v>
          </cell>
        </row>
        <row r="1343">
          <cell r="A1343">
            <v>23610047</v>
          </cell>
          <cell r="B1343" t="str">
            <v>강화 초대형 포문</v>
          </cell>
        </row>
        <row r="1344">
          <cell r="A1344">
            <v>23610048</v>
          </cell>
          <cell r="B1344" t="str">
            <v>특수 강화 초대형 포문</v>
          </cell>
        </row>
        <row r="1345">
          <cell r="A1345">
            <v>23700000</v>
          </cell>
          <cell r="B1345" t="str">
            <v>망원경</v>
          </cell>
        </row>
        <row r="1346">
          <cell r="A1346">
            <v>23700001</v>
          </cell>
          <cell r="B1346" t="str">
            <v>마체테</v>
          </cell>
        </row>
        <row r="1347">
          <cell r="A1347">
            <v>23700002</v>
          </cell>
          <cell r="B1347" t="str">
            <v>낡은 로프</v>
          </cell>
        </row>
        <row r="1348">
          <cell r="A1348">
            <v>23700003</v>
          </cell>
          <cell r="B1348" t="str">
            <v>일반 로프</v>
          </cell>
        </row>
        <row r="1349">
          <cell r="A1349">
            <v>23700004</v>
          </cell>
          <cell r="B1349" t="str">
            <v>고급 로프</v>
          </cell>
        </row>
        <row r="1350">
          <cell r="A1350">
            <v>23700005</v>
          </cell>
          <cell r="B1350" t="str">
            <v>판초</v>
          </cell>
        </row>
        <row r="1351">
          <cell r="A1351">
            <v>23700006</v>
          </cell>
          <cell r="B1351" t="str">
            <v>설피</v>
          </cell>
        </row>
        <row r="1352">
          <cell r="A1352">
            <v>23700007</v>
          </cell>
          <cell r="B1352" t="str">
            <v>부싯돌</v>
          </cell>
        </row>
        <row r="1353">
          <cell r="A1353">
            <v>23700008</v>
          </cell>
          <cell r="B1353" t="str">
            <v>나무 썰매</v>
          </cell>
        </row>
        <row r="1354">
          <cell r="A1354">
            <v>23700009</v>
          </cell>
          <cell r="B1354" t="str">
            <v>횃불</v>
          </cell>
        </row>
        <row r="1355">
          <cell r="A1355">
            <v>23700010</v>
          </cell>
          <cell r="B1355" t="str">
            <v>모험 도구_톱</v>
          </cell>
        </row>
        <row r="1356">
          <cell r="A1356">
            <v>23700011</v>
          </cell>
          <cell r="B1356" t="str">
            <v>깨끗한 유리병</v>
          </cell>
        </row>
        <row r="1357">
          <cell r="A1357">
            <v>23700012</v>
          </cell>
          <cell r="B1357" t="str">
            <v>조잡한 수레</v>
          </cell>
        </row>
        <row r="1358">
          <cell r="A1358">
            <v>23700013</v>
          </cell>
          <cell r="B1358" t="str">
            <v>간이 들것</v>
          </cell>
        </row>
        <row r="1359">
          <cell r="A1359">
            <v>23700014</v>
          </cell>
          <cell r="B1359" t="str">
            <v>지혈대</v>
          </cell>
        </row>
        <row r="1360">
          <cell r="A1360">
            <v>23700015</v>
          </cell>
          <cell r="B1360" t="str">
            <v>치료용 약초</v>
          </cell>
        </row>
        <row r="1361">
          <cell r="A1361">
            <v>23700016</v>
          </cell>
          <cell r="B1361" t="str">
            <v>손도끼</v>
          </cell>
        </row>
        <row r="1362">
          <cell r="A1362">
            <v>23700017</v>
          </cell>
          <cell r="B1362" t="str">
            <v>침낭_D</v>
          </cell>
        </row>
        <row r="1363">
          <cell r="A1363">
            <v>23700018</v>
          </cell>
          <cell r="B1363" t="str">
            <v>고양이</v>
          </cell>
        </row>
        <row r="1364">
          <cell r="A1364">
            <v>23700019</v>
          </cell>
          <cell r="B1364" t="str">
            <v>동양의 부적</v>
          </cell>
        </row>
        <row r="1365">
          <cell r="A1365">
            <v>23700020</v>
          </cell>
          <cell r="B1365" t="str">
            <v>빛바랜 신상</v>
          </cell>
        </row>
        <row r="1366">
          <cell r="A1366">
            <v>23700021</v>
          </cell>
          <cell r="B1366" t="str">
            <v>옥 목걸이</v>
          </cell>
        </row>
        <row r="1367">
          <cell r="A1367">
            <v>23700022</v>
          </cell>
          <cell r="B1367" t="str">
            <v>말발굽</v>
          </cell>
        </row>
        <row r="1368">
          <cell r="A1368">
            <v>23700023</v>
          </cell>
          <cell r="B1368" t="str">
            <v>침낭_C</v>
          </cell>
        </row>
        <row r="1369">
          <cell r="A1369">
            <v>23700024</v>
          </cell>
          <cell r="B1369" t="str">
            <v>침낭_B</v>
          </cell>
        </row>
        <row r="1370">
          <cell r="A1370">
            <v>23700025</v>
          </cell>
          <cell r="B1370" t="str">
            <v>황금 소형 용골</v>
          </cell>
        </row>
        <row r="1371">
          <cell r="A1371" t="str">
            <v>#23100036</v>
          </cell>
          <cell r="B1371" t="str">
            <v>풍속도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1">
          <cell r="A1" t="str">
            <v>id</v>
          </cell>
        </row>
        <row r="2">
          <cell r="A2" t="str">
            <v>key:22000000~22999999</v>
          </cell>
        </row>
        <row r="3">
          <cell r="A3" t="str">
            <v>:required</v>
          </cell>
        </row>
        <row r="4">
          <cell r="A4" t="str">
            <v>:requiredInObject</v>
          </cell>
        </row>
        <row r="5">
          <cell r="A5" t="str">
            <v>:min</v>
          </cell>
        </row>
        <row r="6">
          <cell r="A6" t="str">
            <v>:max</v>
          </cell>
        </row>
        <row r="7">
          <cell r="A7" t="str">
            <v>:enum</v>
          </cell>
        </row>
        <row r="8">
          <cell r="A8" t="str">
            <v>:links</v>
          </cell>
        </row>
        <row r="9">
          <cell r="A9">
            <v>22111001</v>
          </cell>
          <cell r="B9" t="str">
            <v>커틀라스</v>
          </cell>
        </row>
        <row r="10">
          <cell r="A10">
            <v>22111002</v>
          </cell>
          <cell r="B10" t="str">
            <v>병사의 창</v>
          </cell>
        </row>
        <row r="11">
          <cell r="A11">
            <v>22111003</v>
          </cell>
          <cell r="B11" t="str">
            <v>런들 대거</v>
          </cell>
        </row>
        <row r="12">
          <cell r="A12">
            <v>22111004</v>
          </cell>
          <cell r="B12" t="str">
            <v>아쿼버스</v>
          </cell>
        </row>
        <row r="13">
          <cell r="A13">
            <v>22111005</v>
          </cell>
          <cell r="B13" t="str">
            <v>에페</v>
          </cell>
        </row>
        <row r="14">
          <cell r="A14">
            <v>22111006</v>
          </cell>
          <cell r="B14" t="str">
            <v>롱보우</v>
          </cell>
        </row>
        <row r="15">
          <cell r="A15">
            <v>22111007</v>
          </cell>
          <cell r="B15" t="str">
            <v>배틀 액스</v>
          </cell>
        </row>
        <row r="16">
          <cell r="A16">
            <v>22111008</v>
          </cell>
          <cell r="B16" t="str">
            <v>쉬시파르</v>
          </cell>
        </row>
        <row r="17">
          <cell r="A17">
            <v>22111009</v>
          </cell>
          <cell r="B17" t="str">
            <v>크로스보우</v>
          </cell>
        </row>
        <row r="18">
          <cell r="A18">
            <v>22111010</v>
          </cell>
          <cell r="B18" t="str">
            <v>캄피란</v>
          </cell>
        </row>
        <row r="19">
          <cell r="A19">
            <v>22111011</v>
          </cell>
          <cell r="B19" t="str">
            <v>나이아보르</v>
          </cell>
        </row>
        <row r="20">
          <cell r="A20">
            <v>22111013</v>
          </cell>
          <cell r="B20" t="str">
            <v>투박한 나무 몽둥이</v>
          </cell>
        </row>
        <row r="21">
          <cell r="A21">
            <v>22111014</v>
          </cell>
          <cell r="B21" t="str">
            <v>죽창</v>
          </cell>
        </row>
        <row r="22">
          <cell r="A22">
            <v>22112001</v>
          </cell>
          <cell r="B22" t="str">
            <v>샴쉬르</v>
          </cell>
        </row>
        <row r="23">
          <cell r="A23">
            <v>22112002</v>
          </cell>
          <cell r="B23" t="str">
            <v>장창</v>
          </cell>
        </row>
        <row r="24">
          <cell r="A24">
            <v>22112003</v>
          </cell>
          <cell r="B24" t="str">
            <v>토마호크</v>
          </cell>
        </row>
        <row r="25">
          <cell r="A25">
            <v>22112004</v>
          </cell>
          <cell r="B25" t="str">
            <v>매치락 머스킷</v>
          </cell>
        </row>
        <row r="26">
          <cell r="A26">
            <v>22112005</v>
          </cell>
          <cell r="B26" t="str">
            <v>레이피어</v>
          </cell>
        </row>
        <row r="27">
          <cell r="A27">
            <v>22112006</v>
          </cell>
          <cell r="B27" t="str">
            <v>각궁</v>
          </cell>
        </row>
        <row r="28">
          <cell r="A28">
            <v>22112007</v>
          </cell>
          <cell r="B28" t="str">
            <v>타바르</v>
          </cell>
        </row>
        <row r="29">
          <cell r="A29">
            <v>22112008</v>
          </cell>
          <cell r="B29" t="str">
            <v>모닝스타</v>
          </cell>
        </row>
        <row r="30">
          <cell r="A30">
            <v>22112009</v>
          </cell>
          <cell r="B30" t="str">
            <v>휠락 피스톨</v>
          </cell>
        </row>
        <row r="31">
          <cell r="A31">
            <v>22112010</v>
          </cell>
          <cell r="B31" t="str">
            <v>츠바이헨더</v>
          </cell>
        </row>
        <row r="32">
          <cell r="A32">
            <v>22123001</v>
          </cell>
          <cell r="B32" t="str">
            <v>카만</v>
          </cell>
        </row>
        <row r="33">
          <cell r="A33">
            <v>22123002</v>
          </cell>
          <cell r="B33" t="str">
            <v>스틸 커틀라스</v>
          </cell>
        </row>
        <row r="34">
          <cell r="A34">
            <v>22123003</v>
          </cell>
          <cell r="B34" t="str">
            <v>플린트락 머스킷</v>
          </cell>
        </row>
        <row r="35">
          <cell r="A35">
            <v>22123004</v>
          </cell>
          <cell r="B35" t="str">
            <v>타바르 쉬시파르</v>
          </cell>
        </row>
        <row r="36">
          <cell r="A36">
            <v>22123005</v>
          </cell>
          <cell r="B36" t="str">
            <v>페스카즈</v>
          </cell>
        </row>
        <row r="37">
          <cell r="A37">
            <v>22123006</v>
          </cell>
          <cell r="B37" t="str">
            <v>에스톡</v>
          </cell>
        </row>
        <row r="38">
          <cell r="A38">
            <v>22123007</v>
          </cell>
          <cell r="B38" t="str">
            <v>덕 풋 피스톨</v>
          </cell>
        </row>
        <row r="39">
          <cell r="A39">
            <v>22123008</v>
          </cell>
          <cell r="B39" t="str">
            <v>철창</v>
          </cell>
        </row>
        <row r="40">
          <cell r="A40">
            <v>22123009</v>
          </cell>
          <cell r="B40" t="str">
            <v>용병의 츠바이헨더</v>
          </cell>
        </row>
        <row r="41">
          <cell r="A41">
            <v>22123010</v>
          </cell>
          <cell r="B41" t="str">
            <v>소드 메이스</v>
          </cell>
        </row>
        <row r="42">
          <cell r="A42">
            <v>22124001</v>
          </cell>
          <cell r="B42" t="str">
            <v>카츠발거</v>
          </cell>
        </row>
        <row r="43">
          <cell r="A43">
            <v>22124002</v>
          </cell>
          <cell r="B43" t="str">
            <v>핸드 모탈</v>
          </cell>
        </row>
        <row r="44">
          <cell r="A44">
            <v>22124003</v>
          </cell>
          <cell r="B44" t="str">
            <v>금강월도</v>
          </cell>
        </row>
        <row r="45">
          <cell r="A45">
            <v>22124004</v>
          </cell>
          <cell r="B45" t="str">
            <v>푸르바</v>
          </cell>
        </row>
        <row r="46">
          <cell r="A46">
            <v>22124005</v>
          </cell>
          <cell r="B46" t="str">
            <v>철태궁</v>
          </cell>
        </row>
        <row r="47">
          <cell r="A47">
            <v>22124006</v>
          </cell>
          <cell r="B47" t="str">
            <v>콜라다</v>
          </cell>
        </row>
        <row r="48">
          <cell r="A48">
            <v>22124007</v>
          </cell>
          <cell r="B48" t="str">
            <v>미클렛락 머스킷</v>
          </cell>
        </row>
        <row r="49">
          <cell r="A49">
            <v>22124008</v>
          </cell>
          <cell r="B49" t="str">
            <v>베르디슈</v>
          </cell>
        </row>
        <row r="50">
          <cell r="A50">
            <v>22124009</v>
          </cell>
          <cell r="B50" t="str">
            <v>텍파틀</v>
          </cell>
        </row>
        <row r="51">
          <cell r="A51">
            <v>22124010</v>
          </cell>
          <cell r="B51" t="str">
            <v>총사의 레이피어</v>
          </cell>
        </row>
        <row r="52">
          <cell r="A52">
            <v>22124011</v>
          </cell>
          <cell r="B52" t="str">
            <v>더블 배럴 피스톨</v>
          </cell>
        </row>
        <row r="53">
          <cell r="A53">
            <v>22124012</v>
          </cell>
          <cell r="B53" t="str">
            <v>보삭</v>
          </cell>
        </row>
        <row r="54">
          <cell r="A54">
            <v>22124013</v>
          </cell>
          <cell r="B54" t="str">
            <v>클레이모어</v>
          </cell>
        </row>
        <row r="55">
          <cell r="A55">
            <v>22124014</v>
          </cell>
          <cell r="B55" t="str">
            <v>휠락 피스톨 소드</v>
          </cell>
        </row>
        <row r="56">
          <cell r="A56">
            <v>22124015</v>
          </cell>
          <cell r="B56" t="str">
            <v>티조나</v>
          </cell>
        </row>
        <row r="57">
          <cell r="A57">
            <v>22124016</v>
          </cell>
          <cell r="B57" t="str">
            <v>대왕의 크로스보우</v>
          </cell>
        </row>
        <row r="58">
          <cell r="A58">
            <v>22124017</v>
          </cell>
          <cell r="B58" t="str">
            <v>트라이던트</v>
          </cell>
        </row>
        <row r="59">
          <cell r="A59">
            <v>22124018</v>
          </cell>
          <cell r="B59" t="str">
            <v>그람</v>
          </cell>
        </row>
        <row r="60">
          <cell r="A60">
            <v>22124019</v>
          </cell>
          <cell r="B60" t="str">
            <v>장인의 쉬시파르</v>
          </cell>
        </row>
        <row r="61">
          <cell r="A61">
            <v>22124020</v>
          </cell>
          <cell r="B61" t="str">
            <v>은입사귀면문철퇴</v>
          </cell>
        </row>
        <row r="62">
          <cell r="A62">
            <v>22125001</v>
          </cell>
          <cell r="B62" t="str">
            <v>망령의 커틀라스</v>
          </cell>
        </row>
        <row r="63">
          <cell r="A63">
            <v>22125002</v>
          </cell>
          <cell r="B63" t="str">
            <v>천보총</v>
          </cell>
        </row>
        <row r="64">
          <cell r="A64">
            <v>22125003</v>
          </cell>
          <cell r="B64" t="str">
            <v>파라슈</v>
          </cell>
        </row>
        <row r="65">
          <cell r="A65">
            <v>22125004</v>
          </cell>
          <cell r="B65" t="str">
            <v>바즈라</v>
          </cell>
        </row>
        <row r="66">
          <cell r="A66">
            <v>22125005</v>
          </cell>
          <cell r="B66" t="str">
            <v>람세스 2세의 강궁</v>
          </cell>
        </row>
        <row r="67">
          <cell r="A67">
            <v>22125006</v>
          </cell>
          <cell r="B67" t="str">
            <v>뇌절</v>
          </cell>
        </row>
        <row r="68">
          <cell r="A68">
            <v>22125007</v>
          </cell>
          <cell r="B68" t="str">
            <v>브라운 베스</v>
          </cell>
        </row>
        <row r="69">
          <cell r="A69">
            <v>22125008</v>
          </cell>
          <cell r="B69" t="str">
            <v>부즈</v>
          </cell>
        </row>
        <row r="70">
          <cell r="A70">
            <v>22125009</v>
          </cell>
          <cell r="B70" t="str">
            <v>쿠디</v>
          </cell>
        </row>
        <row r="71">
          <cell r="A71">
            <v>22125010</v>
          </cell>
          <cell r="B71" t="str">
            <v>콜리슈마르드</v>
          </cell>
        </row>
        <row r="72">
          <cell r="A72">
            <v>22125011</v>
          </cell>
          <cell r="B72" t="str">
            <v>텐타클 피스톨</v>
          </cell>
        </row>
        <row r="73">
          <cell r="A73">
            <v>22125012</v>
          </cell>
          <cell r="B73" t="str">
            <v>낭선</v>
          </cell>
        </row>
        <row r="74">
          <cell r="A74">
            <v>22125013</v>
          </cell>
          <cell r="B74" t="str">
            <v>마르크스의 츠바이핸더</v>
          </cell>
        </row>
        <row r="75">
          <cell r="A75">
            <v>22125014</v>
          </cell>
          <cell r="B75" t="str">
            <v>베요네타</v>
          </cell>
        </row>
        <row r="76">
          <cell r="A76">
            <v>22125015</v>
          </cell>
          <cell r="B76" t="str">
            <v>성기사의 검</v>
          </cell>
        </row>
        <row r="77">
          <cell r="A77">
            <v>22125016</v>
          </cell>
          <cell r="B77" t="str">
            <v>브라흐마스트라</v>
          </cell>
        </row>
        <row r="78">
          <cell r="A78">
            <v>22125017</v>
          </cell>
          <cell r="B78" t="str">
            <v>검투사의 트라이던트</v>
          </cell>
        </row>
        <row r="79">
          <cell r="A79">
            <v>22125018</v>
          </cell>
          <cell r="B79" t="str">
            <v>귀문참마도</v>
          </cell>
        </row>
        <row r="80">
          <cell r="A80">
            <v>22125019</v>
          </cell>
          <cell r="B80" t="str">
            <v>램 해머</v>
          </cell>
        </row>
        <row r="81">
          <cell r="A81">
            <v>22125020</v>
          </cell>
          <cell r="B81" t="str">
            <v>아를라 셰스토페르</v>
          </cell>
        </row>
        <row r="82">
          <cell r="A82">
            <v>22126001</v>
          </cell>
          <cell r="B82" t="str">
            <v>시바의 마검</v>
          </cell>
        </row>
        <row r="83">
          <cell r="A83">
            <v>22126002</v>
          </cell>
          <cell r="B83" t="str">
            <v>토레더</v>
          </cell>
        </row>
        <row r="84">
          <cell r="A84">
            <v>22126003</v>
          </cell>
          <cell r="B84" t="str">
            <v>슈코아틀</v>
          </cell>
        </row>
        <row r="85">
          <cell r="A85">
            <v>22126004</v>
          </cell>
          <cell r="B85" t="str">
            <v>소드 브레이커</v>
          </cell>
        </row>
        <row r="86">
          <cell r="A86">
            <v>22126005</v>
          </cell>
          <cell r="B86" t="str">
            <v>어궁구</v>
          </cell>
        </row>
        <row r="87">
          <cell r="A87">
            <v>22126006</v>
          </cell>
          <cell r="B87" t="str">
            <v>요도 무라마사</v>
          </cell>
        </row>
        <row r="88">
          <cell r="A88">
            <v>22126007</v>
          </cell>
          <cell r="B88" t="str">
            <v>이스핑가르다</v>
          </cell>
        </row>
        <row r="89">
          <cell r="A89">
            <v>22126008</v>
          </cell>
          <cell r="B89" t="str">
            <v>몰니야</v>
          </cell>
        </row>
        <row r="90">
          <cell r="A90">
            <v>22126009</v>
          </cell>
          <cell r="B90" t="str">
            <v>할라디</v>
          </cell>
        </row>
        <row r="91">
          <cell r="A91">
            <v>22126010</v>
          </cell>
          <cell r="B91" t="str">
            <v>듀란달</v>
          </cell>
        </row>
        <row r="92">
          <cell r="A92">
            <v>22126011</v>
          </cell>
          <cell r="B92" t="str">
            <v>임페리얼 피스톨</v>
          </cell>
        </row>
        <row r="93">
          <cell r="A93">
            <v>22126012</v>
          </cell>
          <cell r="B93" t="str">
            <v>방천화극</v>
          </cell>
        </row>
        <row r="94">
          <cell r="A94">
            <v>22126013</v>
          </cell>
          <cell r="B94" t="str">
            <v>클라렌트</v>
          </cell>
        </row>
        <row r="95">
          <cell r="A95">
            <v>22126014</v>
          </cell>
          <cell r="B95" t="str">
            <v>기요틴 피스톨레</v>
          </cell>
        </row>
        <row r="96">
          <cell r="A96">
            <v>22126015</v>
          </cell>
          <cell r="B96" t="str">
            <v>엑스칼리버</v>
          </cell>
        </row>
        <row r="97">
          <cell r="A97">
            <v>22126016</v>
          </cell>
          <cell r="B97" t="str">
            <v>영광금귀신기노</v>
          </cell>
        </row>
        <row r="98">
          <cell r="A98">
            <v>22126017</v>
          </cell>
          <cell r="B98" t="str">
            <v>##게이볼그 변경</v>
          </cell>
        </row>
        <row r="99">
          <cell r="A99">
            <v>22126018</v>
          </cell>
          <cell r="B99" t="str">
            <v>이그제큐터</v>
          </cell>
        </row>
        <row r="100">
          <cell r="A100">
            <v>22126019</v>
          </cell>
          <cell r="B100" t="str">
            <v>헤라클레스의 클럽</v>
          </cell>
        </row>
        <row r="101">
          <cell r="A101">
            <v>22126020</v>
          </cell>
          <cell r="B101" t="str">
            <v>##묠니르 변경</v>
          </cell>
        </row>
        <row r="102">
          <cell r="A102">
            <v>22133001</v>
          </cell>
          <cell r="B102" t="str">
            <v>다</v>
          </cell>
        </row>
        <row r="103">
          <cell r="A103">
            <v>22133002</v>
          </cell>
          <cell r="B103" t="str">
            <v>대태도</v>
          </cell>
        </row>
        <row r="104">
          <cell r="A104">
            <v>22133003</v>
          </cell>
          <cell r="B104" t="str">
            <v>스틸 크로스보우</v>
          </cell>
        </row>
        <row r="105">
          <cell r="A105">
            <v>22133004</v>
          </cell>
          <cell r="B105" t="str">
            <v>킬리지</v>
          </cell>
        </row>
        <row r="106">
          <cell r="A106">
            <v>22133005</v>
          </cell>
          <cell r="B106" t="str">
            <v>카친 다오</v>
          </cell>
        </row>
        <row r="107">
          <cell r="A107">
            <v>22133006</v>
          </cell>
          <cell r="B107" t="str">
            <v>롱 배럴 피스톨</v>
          </cell>
        </row>
        <row r="108">
          <cell r="A108">
            <v>22133007</v>
          </cell>
          <cell r="B108" t="str">
            <v>브딜</v>
          </cell>
        </row>
        <row r="109">
          <cell r="A109">
            <v>22133008</v>
          </cell>
          <cell r="B109" t="str">
            <v>글라디우스</v>
          </cell>
        </row>
        <row r="110">
          <cell r="A110">
            <v>22133009</v>
          </cell>
          <cell r="B110" t="str">
            <v>환도</v>
          </cell>
        </row>
        <row r="111">
          <cell r="A111">
            <v>22133010</v>
          </cell>
          <cell r="B111" t="str">
            <v>우타</v>
          </cell>
        </row>
        <row r="112">
          <cell r="A112">
            <v>22133011</v>
          </cell>
          <cell r="B112" t="str">
            <v>블런더버스</v>
          </cell>
        </row>
        <row r="113">
          <cell r="A113">
            <v>22133012</v>
          </cell>
          <cell r="B113" t="str">
            <v>퀴리앙 안 완</v>
          </cell>
        </row>
        <row r="114">
          <cell r="A114">
            <v>22133013</v>
          </cell>
          <cell r="B114" t="str">
            <v>워 해머</v>
          </cell>
        </row>
        <row r="115">
          <cell r="A115">
            <v>22133014</v>
          </cell>
          <cell r="B115" t="str">
            <v>근위병의 창</v>
          </cell>
        </row>
        <row r="116">
          <cell r="A116">
            <v>22133015</v>
          </cell>
          <cell r="B116" t="str">
            <v>고대의 황금 창</v>
          </cell>
        </row>
        <row r="117">
          <cell r="A117">
            <v>22133016</v>
          </cell>
          <cell r="B117" t="str">
            <v>협차</v>
          </cell>
        </row>
        <row r="118">
          <cell r="A118">
            <v>22133017</v>
          </cell>
          <cell r="B118" t="str">
            <v>웅수</v>
          </cell>
        </row>
        <row r="119">
          <cell r="A119">
            <v>22133018</v>
          </cell>
          <cell r="B119" t="str">
            <v>와치맨의 토마호크</v>
          </cell>
        </row>
        <row r="120">
          <cell r="A120">
            <v>22133019</v>
          </cell>
          <cell r="B120" t="str">
            <v>마쿠아후이틀</v>
          </cell>
        </row>
        <row r="121">
          <cell r="A121">
            <v>22133020</v>
          </cell>
          <cell r="B121" t="str">
            <v>야유</v>
          </cell>
        </row>
        <row r="122">
          <cell r="A122">
            <v>22134001</v>
          </cell>
          <cell r="B122" t="str">
            <v>장인의 다</v>
          </cell>
        </row>
        <row r="123">
          <cell r="A123">
            <v>22134002</v>
          </cell>
          <cell r="B123" t="str">
            <v>램 다오</v>
          </cell>
        </row>
        <row r="124">
          <cell r="A124">
            <v>22134003</v>
          </cell>
          <cell r="B124" t="str">
            <v>아바레스트</v>
          </cell>
        </row>
        <row r="125">
          <cell r="A125">
            <v>22134004</v>
          </cell>
          <cell r="B125" t="str">
            <v>태아도</v>
          </cell>
        </row>
        <row r="126">
          <cell r="A126">
            <v>22134005</v>
          </cell>
          <cell r="B126" t="str">
            <v>플랑베르주</v>
          </cell>
        </row>
        <row r="127">
          <cell r="A127">
            <v>22134006</v>
          </cell>
          <cell r="B127" t="str">
            <v>페퍼박스 피스톨</v>
          </cell>
        </row>
        <row r="128">
          <cell r="A128">
            <v>22134007</v>
          </cell>
          <cell r="B128" t="str">
            <v>스트렐치의 무시케트</v>
          </cell>
        </row>
        <row r="129">
          <cell r="A129">
            <v>22134008</v>
          </cell>
          <cell r="B129" t="str">
            <v>라니스타 글라디우스</v>
          </cell>
        </row>
        <row r="130">
          <cell r="A130">
            <v>22134009</v>
          </cell>
          <cell r="B130" t="str">
            <v>플로베르거</v>
          </cell>
        </row>
        <row r="131">
          <cell r="A131">
            <v>22134010</v>
          </cell>
          <cell r="B131" t="str">
            <v>사냥꾼의 우타</v>
          </cell>
        </row>
        <row r="132">
          <cell r="A132">
            <v>22134011</v>
          </cell>
          <cell r="B132" t="str">
            <v>하켄뷕세</v>
          </cell>
        </row>
        <row r="133">
          <cell r="A133">
            <v>22134012</v>
          </cell>
          <cell r="B133" t="str">
            <v>테파테파</v>
          </cell>
        </row>
        <row r="134">
          <cell r="A134">
            <v>22134013</v>
          </cell>
          <cell r="B134" t="str">
            <v>장인의 모닝스타</v>
          </cell>
        </row>
        <row r="135">
          <cell r="A135">
            <v>22134014</v>
          </cell>
          <cell r="B135" t="str">
            <v>토파야우리</v>
          </cell>
        </row>
        <row r="136">
          <cell r="A136">
            <v>22134015</v>
          </cell>
          <cell r="B136" t="str">
            <v>파르티잔</v>
          </cell>
        </row>
        <row r="137">
          <cell r="A137">
            <v>22134016</v>
          </cell>
          <cell r="B137" t="str">
            <v>하이와타의 토마호크</v>
          </cell>
        </row>
        <row r="138">
          <cell r="A138">
            <v>22134017</v>
          </cell>
          <cell r="B138" t="str">
            <v>백호반월도</v>
          </cell>
        </row>
        <row r="139">
          <cell r="A139">
            <v>22134018</v>
          </cell>
          <cell r="B139" t="str">
            <v>음봄반</v>
          </cell>
        </row>
        <row r="140">
          <cell r="A140">
            <v>22134019</v>
          </cell>
          <cell r="B140" t="str">
            <v>오셀로틀 마쿠아후이틀</v>
          </cell>
        </row>
        <row r="141">
          <cell r="A141">
            <v>22134020</v>
          </cell>
          <cell r="B141" t="str">
            <v>제마아트의 야유</v>
          </cell>
        </row>
        <row r="142">
          <cell r="A142">
            <v>22135001</v>
          </cell>
          <cell r="B142" t="str">
            <v>샨 다</v>
          </cell>
        </row>
        <row r="143">
          <cell r="A143">
            <v>22135002</v>
          </cell>
          <cell r="B143" t="str">
            <v>바지랑대</v>
          </cell>
        </row>
        <row r="144">
          <cell r="A144">
            <v>22135003</v>
          </cell>
          <cell r="B144" t="str">
            <v>용병의 아바레스트</v>
          </cell>
        </row>
        <row r="145">
          <cell r="A145">
            <v>22135004</v>
          </cell>
          <cell r="B145" t="str">
            <v>커타나</v>
          </cell>
        </row>
        <row r="146">
          <cell r="A146">
            <v>22135005</v>
          </cell>
          <cell r="B146" t="str">
            <v>반투간의 캄피란</v>
          </cell>
        </row>
        <row r="147">
          <cell r="A147">
            <v>22135006</v>
          </cell>
          <cell r="B147" t="str">
            <v>샤힌고즈</v>
          </cell>
        </row>
        <row r="148">
          <cell r="A148">
            <v>22135007</v>
          </cell>
          <cell r="B148" t="str">
            <v>모스퀘테로의 머스킷</v>
          </cell>
        </row>
        <row r="149">
          <cell r="A149">
            <v>22135008</v>
          </cell>
          <cell r="B149" t="str">
            <v>룬 블레이드</v>
          </cell>
        </row>
        <row r="150">
          <cell r="A150">
            <v>22135009</v>
          </cell>
          <cell r="B150" t="str">
            <v>옥구보검</v>
          </cell>
        </row>
        <row r="151">
          <cell r="A151">
            <v>22135010</v>
          </cell>
          <cell r="B151" t="str">
            <v>오디세우스의 토크소</v>
          </cell>
        </row>
        <row r="152">
          <cell r="A152">
            <v>22135011</v>
          </cell>
          <cell r="B152" t="str">
            <v>오뢰신기</v>
          </cell>
        </row>
        <row r="153">
          <cell r="A153">
            <v>22135012</v>
          </cell>
          <cell r="B153" t="str">
            <v>틀링기트 워 클럽</v>
          </cell>
        </row>
        <row r="154">
          <cell r="A154">
            <v>22135013</v>
          </cell>
          <cell r="B154" t="str">
            <v>금쇄봉</v>
          </cell>
        </row>
        <row r="155">
          <cell r="A155">
            <v>22135014</v>
          </cell>
          <cell r="B155" t="str">
            <v>바이던트</v>
          </cell>
        </row>
        <row r="156">
          <cell r="A156">
            <v>22135015</v>
          </cell>
          <cell r="B156" t="str">
            <v>쿠페의 목창</v>
          </cell>
        </row>
        <row r="157">
          <cell r="A157">
            <v>22135016</v>
          </cell>
          <cell r="B157" t="str">
            <v>잠비야</v>
          </cell>
        </row>
        <row r="158">
          <cell r="A158">
            <v>22135017</v>
          </cell>
          <cell r="B158" t="str">
            <v>금권</v>
          </cell>
        </row>
        <row r="159">
          <cell r="A159">
            <v>22135018</v>
          </cell>
          <cell r="B159" t="str">
            <v>이쿨</v>
          </cell>
        </row>
        <row r="160">
          <cell r="A160">
            <v>22135019</v>
          </cell>
          <cell r="B160" t="str">
            <v>큐알리 마우카후이틀</v>
          </cell>
        </row>
        <row r="161">
          <cell r="A161">
            <v>22135020</v>
          </cell>
          <cell r="B161" t="str">
            <v>이광궁</v>
          </cell>
        </row>
        <row r="162">
          <cell r="A162">
            <v>22136001</v>
          </cell>
          <cell r="B162" t="str">
            <v>오군의 구바사</v>
          </cell>
        </row>
        <row r="163">
          <cell r="A163">
            <v>22136002</v>
          </cell>
          <cell r="B163" t="str">
            <v>아스클레피오스의 스태프</v>
          </cell>
        </row>
        <row r="164">
          <cell r="A164">
            <v>22136003</v>
          </cell>
          <cell r="B164" t="str">
            <v>레오나르도의 석궁</v>
          </cell>
        </row>
        <row r="165">
          <cell r="A165">
            <v>22136004</v>
          </cell>
          <cell r="B165" t="str">
            <v>살라딘의 검</v>
          </cell>
        </row>
        <row r="166">
          <cell r="A166">
            <v>22136005</v>
          </cell>
          <cell r="B166" t="str">
            <v>태구련의 장검</v>
          </cell>
        </row>
        <row r="167">
          <cell r="A167">
            <v>22136006</v>
          </cell>
          <cell r="B167" t="str">
            <v>레기온 페퍼박스 피스톨</v>
          </cell>
        </row>
        <row r="168">
          <cell r="A168">
            <v>22136007</v>
          </cell>
          <cell r="B168" t="str">
            <v>니자므 제디드의 투펙</v>
          </cell>
        </row>
        <row r="169">
          <cell r="A169">
            <v>22136008</v>
          </cell>
          <cell r="B169" t="str">
            <v>순천</v>
          </cell>
        </row>
        <row r="170">
          <cell r="A170">
            <v>22136009</v>
          </cell>
          <cell r="B170" t="str">
            <v>사인검</v>
          </cell>
        </row>
        <row r="171">
          <cell r="A171">
            <v>22136010</v>
          </cell>
          <cell r="B171" t="str">
            <v>아게의 우타</v>
          </cell>
        </row>
        <row r="172">
          <cell r="A172">
            <v>22136011</v>
          </cell>
          <cell r="B172" t="str">
            <v>드래곤</v>
          </cell>
        </row>
        <row r="173">
          <cell r="A173">
            <v>22136012</v>
          </cell>
          <cell r="B173" t="str">
            <v>마우이의 마타우</v>
          </cell>
        </row>
        <row r="174">
          <cell r="A174">
            <v>22136013</v>
          </cell>
          <cell r="B174" t="str">
            <v>마마 쿠차의 추키</v>
          </cell>
        </row>
        <row r="175">
          <cell r="A175">
            <v>22136014</v>
          </cell>
          <cell r="B175" t="str">
            <v>청룡언월도</v>
          </cell>
        </row>
        <row r="176">
          <cell r="A176">
            <v>22136015</v>
          </cell>
          <cell r="B176" t="str">
            <v>하트메히트의 와스</v>
          </cell>
        </row>
        <row r="177">
          <cell r="A177">
            <v>22136016</v>
          </cell>
          <cell r="B177" t="str">
            <v>타도다호의 토마호크</v>
          </cell>
        </row>
        <row r="178">
          <cell r="A178">
            <v>22136017</v>
          </cell>
          <cell r="B178" t="str">
            <v>##청룡언월도 변경</v>
          </cell>
        </row>
        <row r="179">
          <cell r="A179">
            <v>22136018</v>
          </cell>
          <cell r="B179" t="str">
            <v>간장 막야</v>
          </cell>
        </row>
        <row r="180">
          <cell r="A180">
            <v>22136019</v>
          </cell>
          <cell r="B180" t="str">
            <v>반고부</v>
          </cell>
        </row>
        <row r="181">
          <cell r="A181">
            <v>22136020</v>
          </cell>
          <cell r="B181" t="str">
            <v>알 루하</v>
          </cell>
        </row>
        <row r="182">
          <cell r="A182">
            <v>22143001</v>
          </cell>
          <cell r="B182" t="str">
            <v>타도</v>
          </cell>
        </row>
        <row r="183">
          <cell r="A183">
            <v>22143002</v>
          </cell>
          <cell r="B183" t="str">
            <v>브로드소드</v>
          </cell>
        </row>
        <row r="184">
          <cell r="A184">
            <v>22143003</v>
          </cell>
          <cell r="B184" t="str">
            <v>플린트락 피스톨</v>
          </cell>
        </row>
        <row r="185">
          <cell r="A185">
            <v>22143004</v>
          </cell>
          <cell r="B185" t="str">
            <v>스틸 배틀 액스</v>
          </cell>
        </row>
        <row r="186">
          <cell r="A186">
            <v>22143005</v>
          </cell>
          <cell r="B186" t="str">
            <v>테포즈토필리</v>
          </cell>
        </row>
        <row r="187">
          <cell r="A187">
            <v>22143006</v>
          </cell>
          <cell r="B187" t="str">
            <v>코트 소드</v>
          </cell>
        </row>
        <row r="188">
          <cell r="A188">
            <v>22143007</v>
          </cell>
          <cell r="B188" t="str">
            <v>휠락 머스킷</v>
          </cell>
        </row>
        <row r="189">
          <cell r="A189">
            <v>22143008</v>
          </cell>
          <cell r="B189" t="str">
            <v>로하</v>
          </cell>
        </row>
        <row r="190">
          <cell r="A190">
            <v>22143009</v>
          </cell>
          <cell r="B190" t="str">
            <v>페르나치</v>
          </cell>
        </row>
        <row r="191">
          <cell r="A191">
            <v>22143010</v>
          </cell>
          <cell r="B191" t="str">
            <v>강노</v>
          </cell>
        </row>
        <row r="192">
          <cell r="A192">
            <v>22143011</v>
          </cell>
          <cell r="B192" t="str">
            <v>워 보우</v>
          </cell>
        </row>
        <row r="193">
          <cell r="A193">
            <v>22143012</v>
          </cell>
          <cell r="B193" t="str">
            <v>시미터</v>
          </cell>
        </row>
        <row r="194">
          <cell r="A194">
            <v>22143013</v>
          </cell>
          <cell r="B194" t="str">
            <v>다오</v>
          </cell>
        </row>
        <row r="195">
          <cell r="A195">
            <v>22143014</v>
          </cell>
          <cell r="B195" t="str">
            <v>철포</v>
          </cell>
        </row>
        <row r="196">
          <cell r="A196">
            <v>22143015</v>
          </cell>
          <cell r="B196" t="str">
            <v>차스카 추키</v>
          </cell>
        </row>
        <row r="197">
          <cell r="A197">
            <v>22143016</v>
          </cell>
          <cell r="B197" t="str">
            <v>파나바스</v>
          </cell>
        </row>
        <row r="198">
          <cell r="A198">
            <v>22143017</v>
          </cell>
          <cell r="B198" t="str">
            <v>아세가이</v>
          </cell>
        </row>
        <row r="199">
          <cell r="A199">
            <v>22143018</v>
          </cell>
          <cell r="B199" t="str">
            <v>테붓제</v>
          </cell>
        </row>
        <row r="200">
          <cell r="A200">
            <v>22143019</v>
          </cell>
          <cell r="B200" t="str">
            <v>스틸레토</v>
          </cell>
        </row>
        <row r="201">
          <cell r="A201">
            <v>22143020</v>
          </cell>
          <cell r="B201" t="str">
            <v>셀프 보우</v>
          </cell>
        </row>
        <row r="202">
          <cell r="A202">
            <v>22144001</v>
          </cell>
          <cell r="B202" t="str">
            <v>다마스쿠스</v>
          </cell>
        </row>
        <row r="203">
          <cell r="A203">
            <v>22144002</v>
          </cell>
          <cell r="B203" t="str">
            <v>카스카라</v>
          </cell>
        </row>
        <row r="204">
          <cell r="A204">
            <v>22144003</v>
          </cell>
          <cell r="B204" t="str">
            <v>마상통</v>
          </cell>
        </row>
        <row r="205">
          <cell r="A205">
            <v>22144004</v>
          </cell>
          <cell r="B205" t="str">
            <v>타바르진</v>
          </cell>
        </row>
        <row r="206">
          <cell r="A206">
            <v>22144005</v>
          </cell>
          <cell r="B206" t="str">
            <v>둘 바쉬</v>
          </cell>
        </row>
        <row r="207">
          <cell r="A207">
            <v>22144006</v>
          </cell>
          <cell r="B207" t="str">
            <v>왕족의 크리스</v>
          </cell>
        </row>
        <row r="208">
          <cell r="A208">
            <v>22144007</v>
          </cell>
          <cell r="B208" t="str">
            <v>예니체리의 튀펙</v>
          </cell>
        </row>
        <row r="209">
          <cell r="A209">
            <v>22144008</v>
          </cell>
          <cell r="B209" t="str">
            <v>틀링기트 쿼라</v>
          </cell>
        </row>
        <row r="210">
          <cell r="A210">
            <v>22144009</v>
          </cell>
          <cell r="B210" t="str">
            <v>스파이크드 클럽</v>
          </cell>
        </row>
        <row r="211">
          <cell r="A211">
            <v>22144010</v>
          </cell>
          <cell r="B211" t="str">
            <v>바로크 크로스보우</v>
          </cell>
        </row>
        <row r="212">
          <cell r="A212">
            <v>22144011</v>
          </cell>
          <cell r="B212" t="str">
            <v>간디바</v>
          </cell>
        </row>
        <row r="213">
          <cell r="A213">
            <v>22144012</v>
          </cell>
          <cell r="B213" t="str">
            <v>펄션</v>
          </cell>
        </row>
        <row r="214">
          <cell r="A214">
            <v>22144013</v>
          </cell>
          <cell r="B214" t="str">
            <v>피쉬 스파인 소드</v>
          </cell>
        </row>
        <row r="215">
          <cell r="A215">
            <v>22144014</v>
          </cell>
          <cell r="B215" t="str">
            <v>다네가시마산 철포</v>
          </cell>
        </row>
        <row r="216">
          <cell r="A216">
            <v>22144015</v>
          </cell>
          <cell r="B216" t="str">
            <v>마카나</v>
          </cell>
        </row>
        <row r="217">
          <cell r="A217">
            <v>22144016</v>
          </cell>
          <cell r="B217" t="str">
            <v>칼링가</v>
          </cell>
        </row>
        <row r="218">
          <cell r="A218">
            <v>22144017</v>
          </cell>
          <cell r="B218" t="str">
            <v>할버드</v>
          </cell>
        </row>
        <row r="219">
          <cell r="A219">
            <v>22144018</v>
          </cell>
          <cell r="B219" t="str">
            <v>골리앗의 검</v>
          </cell>
        </row>
        <row r="220">
          <cell r="A220">
            <v>22144019</v>
          </cell>
          <cell r="B220" t="str">
            <v>운철검</v>
          </cell>
        </row>
        <row r="221">
          <cell r="A221">
            <v>22144020</v>
          </cell>
          <cell r="B221" t="str">
            <v>정예병의 롱보우</v>
          </cell>
        </row>
        <row r="222">
          <cell r="A222">
            <v>22145001</v>
          </cell>
          <cell r="B222" t="str">
            <v>욤스바이킹 소드</v>
          </cell>
        </row>
        <row r="223">
          <cell r="A223">
            <v>22145002</v>
          </cell>
          <cell r="B223" t="str">
            <v>아조트</v>
          </cell>
        </row>
        <row r="224">
          <cell r="A224">
            <v>22145003</v>
          </cell>
          <cell r="B224" t="str">
            <v>네고시아도르</v>
          </cell>
        </row>
        <row r="225">
          <cell r="A225">
            <v>22145004</v>
          </cell>
          <cell r="B225" t="str">
            <v>글레이브</v>
          </cell>
        </row>
        <row r="226">
          <cell r="A226">
            <v>22145005</v>
          </cell>
          <cell r="B226" t="str">
            <v>두 생거</v>
          </cell>
        </row>
        <row r="227">
          <cell r="A227">
            <v>22145006</v>
          </cell>
          <cell r="B227" t="str">
            <v>의천검</v>
          </cell>
        </row>
        <row r="228">
          <cell r="A228">
            <v>22145007</v>
          </cell>
          <cell r="B228" t="str">
            <v>페트로넬</v>
          </cell>
        </row>
        <row r="229">
          <cell r="A229">
            <v>22145008</v>
          </cell>
          <cell r="B229" t="str">
            <v>투미</v>
          </cell>
        </row>
        <row r="230">
          <cell r="A230">
            <v>22145009</v>
          </cell>
          <cell r="B230" t="str">
            <v>나바라트나 부즈디간</v>
          </cell>
        </row>
        <row r="231">
          <cell r="A231">
            <v>22145010</v>
          </cell>
          <cell r="B231" t="str">
            <v>마누발리스타</v>
          </cell>
        </row>
        <row r="232">
          <cell r="A232">
            <v>22145011</v>
          </cell>
          <cell r="B232" t="str">
            <v>파우와의 보우</v>
          </cell>
        </row>
        <row r="233">
          <cell r="A233">
            <v>22145012</v>
          </cell>
          <cell r="B233" t="str">
            <v>배신자의 펄션</v>
          </cell>
        </row>
        <row r="234">
          <cell r="A234">
            <v>22145013</v>
          </cell>
          <cell r="B234" t="str">
            <v>레이오마노</v>
          </cell>
        </row>
        <row r="235">
          <cell r="A235">
            <v>22145014</v>
          </cell>
          <cell r="B235" t="str">
            <v>퍼커션락 머스킷</v>
          </cell>
        </row>
        <row r="236">
          <cell r="A236">
            <v>22145015</v>
          </cell>
          <cell r="B236" t="str">
            <v>사파 잉카의 추키</v>
          </cell>
        </row>
        <row r="237">
          <cell r="A237">
            <v>22145016</v>
          </cell>
          <cell r="B237" t="str">
            <v>칼라우이탄의 칼링가</v>
          </cell>
        </row>
        <row r="238">
          <cell r="A238">
            <v>22145017</v>
          </cell>
          <cell r="B238" t="str">
            <v>알라하</v>
          </cell>
        </row>
        <row r="239">
          <cell r="A239">
            <v>22145018</v>
          </cell>
          <cell r="B239" t="str">
            <v>멜 푸타 베모</v>
          </cell>
        </row>
        <row r="240">
          <cell r="A240">
            <v>22145019</v>
          </cell>
          <cell r="B240" t="str">
            <v>친퀘디아</v>
          </cell>
        </row>
        <row r="241">
          <cell r="A241">
            <v>22145020</v>
          </cell>
          <cell r="B241" t="str">
            <v>로빈 후드의 롱보우</v>
          </cell>
        </row>
        <row r="242">
          <cell r="A242">
            <v>22146001</v>
          </cell>
          <cell r="B242" t="str">
            <v>나가 카스탄</v>
          </cell>
        </row>
        <row r="243">
          <cell r="A243">
            <v>22146002</v>
          </cell>
          <cell r="B243" t="str">
            <v>서왕모검</v>
          </cell>
        </row>
        <row r="244">
          <cell r="A244">
            <v>22146003</v>
          </cell>
          <cell r="B244" t="str">
            <v>용성통</v>
          </cell>
        </row>
        <row r="245">
          <cell r="A245">
            <v>22146004</v>
          </cell>
          <cell r="B245" t="str">
            <v>헤미펠레키스</v>
          </cell>
        </row>
        <row r="246">
          <cell r="A246">
            <v>22146005</v>
          </cell>
          <cell r="B246" t="str">
            <v>파티스타냐</v>
          </cell>
        </row>
        <row r="247">
          <cell r="A247">
            <v>22146006</v>
          </cell>
          <cell r="B247" t="str">
            <v>살라딘의 킬리지</v>
          </cell>
        </row>
        <row r="248">
          <cell r="A248">
            <v>22146007</v>
          </cell>
          <cell r="B248" t="str">
            <v>제자일</v>
          </cell>
        </row>
        <row r="249">
          <cell r="A249">
            <v>22146008</v>
          </cell>
          <cell r="B249" t="str">
            <v>크리스 나가</v>
          </cell>
        </row>
        <row r="250">
          <cell r="A250">
            <v>22146009</v>
          </cell>
          <cell r="B250" t="str">
            <v>셉터 오브 레갈리아</v>
          </cell>
        </row>
        <row r="251">
          <cell r="A251">
            <v>22146010</v>
          </cell>
          <cell r="B251" t="str">
            <v>제갈노</v>
          </cell>
        </row>
        <row r="252">
          <cell r="A252">
            <v>22146011</v>
          </cell>
          <cell r="B252" t="str">
            <v>샤랑가</v>
          </cell>
        </row>
        <row r="253">
          <cell r="A253">
            <v>22146012</v>
          </cell>
          <cell r="B253" t="str">
            <v>묠니르</v>
          </cell>
        </row>
        <row r="254">
          <cell r="A254">
            <v>22146013</v>
          </cell>
          <cell r="B254" t="str">
            <v>할이마히</v>
          </cell>
        </row>
        <row r="255">
          <cell r="A255">
            <v>22146014</v>
          </cell>
          <cell r="B255" t="str">
            <v>아토스의 머스킷</v>
          </cell>
        </row>
        <row r="256">
          <cell r="A256">
            <v>22146015</v>
          </cell>
          <cell r="B256" t="str">
            <v>가다</v>
          </cell>
        </row>
        <row r="257">
          <cell r="A257">
            <v>22146016</v>
          </cell>
          <cell r="B257" t="str">
            <v>만지</v>
          </cell>
        </row>
        <row r="258">
          <cell r="A258">
            <v>22146017</v>
          </cell>
          <cell r="B258" t="str">
            <v>트리아이나</v>
          </cell>
        </row>
        <row r="259">
          <cell r="A259">
            <v>22146018</v>
          </cell>
          <cell r="B259" t="str">
            <v>크리사오르</v>
          </cell>
        </row>
        <row r="260">
          <cell r="A260">
            <v>22146019</v>
          </cell>
          <cell r="B260" t="str">
            <v>워세레</v>
          </cell>
        </row>
        <row r="261">
          <cell r="A261">
            <v>22146020</v>
          </cell>
          <cell r="B261" t="str">
            <v>페일노트</v>
          </cell>
        </row>
        <row r="262">
          <cell r="A262">
            <v>22154001</v>
          </cell>
          <cell r="B262" t="str">
            <v>로베르토의 검</v>
          </cell>
        </row>
        <row r="263">
          <cell r="A263">
            <v>22154002</v>
          </cell>
          <cell r="B263" t="str">
            <v>호레스의 도끼</v>
          </cell>
        </row>
        <row r="264">
          <cell r="A264">
            <v>22154003</v>
          </cell>
          <cell r="B264" t="str">
            <v>토마스의 검</v>
          </cell>
        </row>
        <row r="265">
          <cell r="A265">
            <v>22155001</v>
          </cell>
          <cell r="B265" t="str">
            <v>뇌절 수정</v>
          </cell>
        </row>
        <row r="266">
          <cell r="A266">
            <v>22155002</v>
          </cell>
          <cell r="B266" t="str">
            <v>알프레드의 활</v>
          </cell>
        </row>
        <row r="267">
          <cell r="A267">
            <v>22155003</v>
          </cell>
          <cell r="B267" t="str">
            <v>잔의 검</v>
          </cell>
        </row>
        <row r="268">
          <cell r="A268">
            <v>22155004</v>
          </cell>
          <cell r="B268" t="str">
            <v>하이레딘의 검</v>
          </cell>
        </row>
        <row r="269">
          <cell r="A269">
            <v>22155005</v>
          </cell>
          <cell r="B269" t="str">
            <v>프랜시스의 검</v>
          </cell>
        </row>
        <row r="270">
          <cell r="A270">
            <v>22164505</v>
          </cell>
          <cell r="B270" t="str">
            <v>황금 뱀이 깃든 검</v>
          </cell>
        </row>
        <row r="271">
          <cell r="A271">
            <v>22164507</v>
          </cell>
          <cell r="B271" t="str">
            <v>태양의 검</v>
          </cell>
        </row>
        <row r="272">
          <cell r="A272">
            <v>22164509</v>
          </cell>
          <cell r="B272" t="str">
            <v>악마 사냥꾼의 검</v>
          </cell>
        </row>
        <row r="273">
          <cell r="A273">
            <v>22171001</v>
          </cell>
          <cell r="B273" t="str">
            <v>바다 민족의 검</v>
          </cell>
        </row>
        <row r="274">
          <cell r="A274">
            <v>22171003</v>
          </cell>
          <cell r="B274" t="str">
            <v>합성궁</v>
          </cell>
        </row>
        <row r="275">
          <cell r="A275">
            <v>22172001</v>
          </cell>
          <cell r="B275" t="str">
            <v>롬파이어</v>
          </cell>
        </row>
        <row r="276">
          <cell r="A276">
            <v>22172003</v>
          </cell>
          <cell r="B276" t="str">
            <v>바이킹 소드</v>
          </cell>
        </row>
        <row r="277">
          <cell r="A277">
            <v>22172005</v>
          </cell>
          <cell r="B277" t="str">
            <v>맘루크의 커틀러스</v>
          </cell>
        </row>
        <row r="278">
          <cell r="A278">
            <v>22172007</v>
          </cell>
          <cell r="B278" t="str">
            <v>쿠 스틱</v>
          </cell>
        </row>
        <row r="279">
          <cell r="A279">
            <v>22172009</v>
          </cell>
          <cell r="B279" t="str">
            <v>포우나무</v>
          </cell>
        </row>
        <row r="280">
          <cell r="A280">
            <v>22172011</v>
          </cell>
          <cell r="B280" t="str">
            <v>에르난 코르테스의 총</v>
          </cell>
        </row>
        <row r="281">
          <cell r="A281">
            <v>22172013</v>
          </cell>
          <cell r="B281" t="str">
            <v>수습 대장장이의 대검</v>
          </cell>
        </row>
        <row r="282">
          <cell r="A282">
            <v>22173001</v>
          </cell>
          <cell r="B282" t="str">
            <v>은자 피에르의 지팡이</v>
          </cell>
        </row>
        <row r="283">
          <cell r="A283">
            <v>22173003</v>
          </cell>
          <cell r="B283" t="str">
            <v>쿠푸왕의 지팡이</v>
          </cell>
        </row>
        <row r="284">
          <cell r="A284">
            <v>22173005</v>
          </cell>
          <cell r="B284" t="str">
            <v>코모두스 황제의 검</v>
          </cell>
        </row>
        <row r="285">
          <cell r="A285">
            <v>22173007</v>
          </cell>
          <cell r="B285" t="str">
            <v>빙하 선단의 한손검</v>
          </cell>
        </row>
        <row r="286">
          <cell r="A286">
            <v>22173008</v>
          </cell>
          <cell r="B286" t="str">
            <v>빙하 선단의 쌍검</v>
          </cell>
        </row>
        <row r="287">
          <cell r="A287">
            <v>22173009</v>
          </cell>
          <cell r="B287" t="str">
            <v>빙하 선단의 도끼</v>
          </cell>
        </row>
        <row r="288">
          <cell r="A288">
            <v>22173010</v>
          </cell>
          <cell r="B288" t="str">
            <v>붉은 산호섬의 장총</v>
          </cell>
        </row>
        <row r="289">
          <cell r="A289">
            <v>22173011</v>
          </cell>
          <cell r="B289" t="str">
            <v>붉은 산호섬의 석궁</v>
          </cell>
        </row>
        <row r="290">
          <cell r="A290">
            <v>22173012</v>
          </cell>
          <cell r="B290" t="str">
            <v>붉은 산호섬의 권총</v>
          </cell>
        </row>
        <row r="291">
          <cell r="A291">
            <v>22173013</v>
          </cell>
          <cell r="B291" t="str">
            <v>붉은 산호섬의 활</v>
          </cell>
        </row>
        <row r="292">
          <cell r="A292">
            <v>22173014</v>
          </cell>
          <cell r="B292" t="str">
            <v>상단 연합의 양손검</v>
          </cell>
        </row>
        <row r="293">
          <cell r="A293">
            <v>22173015</v>
          </cell>
          <cell r="B293" t="str">
            <v>상단 연합의 한손검</v>
          </cell>
        </row>
        <row r="294">
          <cell r="A294">
            <v>22173016</v>
          </cell>
          <cell r="B294" t="str">
            <v>상단 연합의 창</v>
          </cell>
        </row>
        <row r="295">
          <cell r="A295">
            <v>22174001</v>
          </cell>
          <cell r="B295" t="str">
            <v>게클랭의 마상창</v>
          </cell>
        </row>
        <row r="296">
          <cell r="A296">
            <v>22174003</v>
          </cell>
          <cell r="B296" t="str">
            <v>바이바르스의 창</v>
          </cell>
        </row>
        <row r="297">
          <cell r="A297">
            <v>22174005</v>
          </cell>
          <cell r="B297" t="str">
            <v>알렉산더 대왕의 검</v>
          </cell>
        </row>
        <row r="298">
          <cell r="A298">
            <v>22174007</v>
          </cell>
          <cell r="B298" t="str">
            <v>찬드라굽타 왕의 검</v>
          </cell>
        </row>
        <row r="299">
          <cell r="A299">
            <v>22174009</v>
          </cell>
          <cell r="B299" t="str">
            <v>게 볼그</v>
          </cell>
        </row>
        <row r="300">
          <cell r="A300">
            <v>22174011</v>
          </cell>
          <cell r="B300" t="str">
            <v>프라가라흐</v>
          </cell>
        </row>
        <row r="301">
          <cell r="A301">
            <v>22174013</v>
          </cell>
          <cell r="B301" t="str">
            <v>아노야타왕의 검</v>
          </cell>
        </row>
        <row r="302">
          <cell r="A302">
            <v>22174015</v>
          </cell>
          <cell r="B302" t="str">
            <v>오도아케르의 검</v>
          </cell>
        </row>
        <row r="303">
          <cell r="A303">
            <v>22174017</v>
          </cell>
          <cell r="B303" t="str">
            <v>북해 연합의 한손검</v>
          </cell>
        </row>
        <row r="304">
          <cell r="A304">
            <v>22174018</v>
          </cell>
          <cell r="B304" t="str">
            <v>북해 연합의 쌍검</v>
          </cell>
        </row>
        <row r="305">
          <cell r="A305">
            <v>22174019</v>
          </cell>
          <cell r="B305" t="str">
            <v>북해 연합의 철퇴</v>
          </cell>
        </row>
        <row r="306">
          <cell r="A306">
            <v>22174020</v>
          </cell>
          <cell r="B306" t="str">
            <v>진주섬의 장총</v>
          </cell>
        </row>
        <row r="307">
          <cell r="A307">
            <v>22174021</v>
          </cell>
          <cell r="B307" t="str">
            <v>진주섬의 석궁</v>
          </cell>
        </row>
        <row r="308">
          <cell r="A308">
            <v>22174022</v>
          </cell>
          <cell r="B308" t="str">
            <v>진주섬의 권총</v>
          </cell>
        </row>
        <row r="309">
          <cell r="A309">
            <v>22174023</v>
          </cell>
          <cell r="B309" t="str">
            <v>진주섬의 활</v>
          </cell>
        </row>
        <row r="310">
          <cell r="A310">
            <v>22174024</v>
          </cell>
          <cell r="B310" t="str">
            <v>폭풍 선단의 양손검</v>
          </cell>
        </row>
        <row r="311">
          <cell r="A311">
            <v>22174025</v>
          </cell>
          <cell r="B311" t="str">
            <v>폭풍 선단의 한손검</v>
          </cell>
        </row>
        <row r="312">
          <cell r="A312">
            <v>22174026</v>
          </cell>
          <cell r="B312" t="str">
            <v>폭풍 선단의 창</v>
          </cell>
        </row>
        <row r="313">
          <cell r="A313">
            <v>22175001</v>
          </cell>
          <cell r="B313" t="str">
            <v>나라티하파테 왕의 비수</v>
          </cell>
        </row>
        <row r="314">
          <cell r="A314">
            <v>22175003</v>
          </cell>
          <cell r="B314" t="str">
            <v>라발나스왕의 검</v>
          </cell>
        </row>
        <row r="315">
          <cell r="A315">
            <v>22175005</v>
          </cell>
          <cell r="B315" t="str">
            <v>아바스의 검</v>
          </cell>
        </row>
        <row r="316">
          <cell r="A316">
            <v>22175007</v>
          </cell>
          <cell r="B316" t="str">
            <v>롱기누스의 창</v>
          </cell>
        </row>
        <row r="317">
          <cell r="A317">
            <v>22175009</v>
          </cell>
          <cell r="B317" t="str">
            <v>멀린의 지팡이</v>
          </cell>
        </row>
        <row r="318">
          <cell r="A318">
            <v>22175011</v>
          </cell>
          <cell r="B318" t="str">
            <v>무라마사</v>
          </cell>
        </row>
        <row r="319">
          <cell r="A319">
            <v>22175013</v>
          </cell>
          <cell r="B319" t="str">
            <v>발뭉</v>
          </cell>
        </row>
        <row r="320">
          <cell r="A320">
            <v>22175015</v>
          </cell>
          <cell r="B320" t="str">
            <v>브류나크</v>
          </cell>
        </row>
        <row r="321">
          <cell r="A321">
            <v>22175017</v>
          </cell>
          <cell r="B321" t="str">
            <v>트리스탄의 검</v>
          </cell>
        </row>
        <row r="322">
          <cell r="A322">
            <v>22175019</v>
          </cell>
          <cell r="B322" t="str">
            <v>크로케아 모르스</v>
          </cell>
        </row>
        <row r="323">
          <cell r="A323">
            <v>22175021</v>
          </cell>
          <cell r="B323" t="str">
            <v>쿠아우테목의 창</v>
          </cell>
        </row>
        <row r="324">
          <cell r="A324">
            <v>22211001</v>
          </cell>
          <cell r="B324" t="str">
            <v>브레스트 플레이트</v>
          </cell>
        </row>
        <row r="325">
          <cell r="A325">
            <v>22211003</v>
          </cell>
          <cell r="B325" t="str">
            <v>어대구족</v>
          </cell>
        </row>
        <row r="326">
          <cell r="A326">
            <v>22211005</v>
          </cell>
          <cell r="B326" t="str">
            <v>튜닉</v>
          </cell>
        </row>
        <row r="327">
          <cell r="A327">
            <v>22211007</v>
          </cell>
          <cell r="B327" t="str">
            <v>갬비슨_남성용</v>
          </cell>
        </row>
        <row r="328">
          <cell r="A328">
            <v>22211008</v>
          </cell>
          <cell r="B328" t="str">
            <v>레더 에이프런_여성용</v>
          </cell>
        </row>
        <row r="329">
          <cell r="A329">
            <v>22211009</v>
          </cell>
          <cell r="B329" t="str">
            <v>선원복_남성용</v>
          </cell>
        </row>
        <row r="330">
          <cell r="A330">
            <v>22211010</v>
          </cell>
          <cell r="B330" t="str">
            <v>에이프런 드레스_여성용</v>
          </cell>
        </row>
        <row r="331">
          <cell r="A331">
            <v>22211011</v>
          </cell>
          <cell r="B331" t="str">
            <v>자크_남성용</v>
          </cell>
        </row>
        <row r="332">
          <cell r="A332">
            <v>22211012</v>
          </cell>
          <cell r="B332" t="str">
            <v>로브 타블리에_여성용</v>
          </cell>
        </row>
        <row r="333">
          <cell r="A333">
            <v>22211013</v>
          </cell>
          <cell r="B333" t="str">
            <v>호복</v>
          </cell>
        </row>
        <row r="334">
          <cell r="A334">
            <v>22211016</v>
          </cell>
          <cell r="B334" t="str">
            <v>작무복_여성용</v>
          </cell>
        </row>
        <row r="335">
          <cell r="A335">
            <v>22211018</v>
          </cell>
          <cell r="B335" t="str">
            <v>누더기 저고리_여성용</v>
          </cell>
        </row>
        <row r="336">
          <cell r="A336">
            <v>22211019</v>
          </cell>
          <cell r="B336" t="str">
            <v>선주민 전사복</v>
          </cell>
        </row>
        <row r="337">
          <cell r="A337">
            <v>22211021</v>
          </cell>
          <cell r="B337" t="str">
            <v>스콜라 더블릿</v>
          </cell>
        </row>
        <row r="338">
          <cell r="A338">
            <v>22211023</v>
          </cell>
          <cell r="B338" t="str">
            <v>감시자의 암행복</v>
          </cell>
        </row>
        <row r="339">
          <cell r="A339">
            <v>22211025</v>
          </cell>
          <cell r="B339" t="str">
            <v>견습 모험가의 의복</v>
          </cell>
        </row>
        <row r="340">
          <cell r="A340">
            <v>22211027</v>
          </cell>
          <cell r="B340" t="str">
            <v>상단 용병의 경장</v>
          </cell>
        </row>
        <row r="341">
          <cell r="A341">
            <v>22211029</v>
          </cell>
          <cell r="B341" t="str">
            <v>밀라노식 갑옷</v>
          </cell>
        </row>
        <row r="342">
          <cell r="A342">
            <v>22211031</v>
          </cell>
          <cell r="B342" t="str">
            <v>체인 메일</v>
          </cell>
        </row>
        <row r="343">
          <cell r="A343">
            <v>22212001</v>
          </cell>
          <cell r="B343" t="str">
            <v>찰갑</v>
          </cell>
        </row>
        <row r="344">
          <cell r="A344">
            <v>22212003</v>
          </cell>
          <cell r="B344" t="str">
            <v>서코트</v>
          </cell>
        </row>
        <row r="345">
          <cell r="A345">
            <v>22212005</v>
          </cell>
          <cell r="B345" t="str">
            <v>저킨</v>
          </cell>
        </row>
        <row r="346">
          <cell r="A346">
            <v>22212007</v>
          </cell>
          <cell r="B346" t="str">
            <v>피우피우</v>
          </cell>
        </row>
        <row r="347">
          <cell r="A347">
            <v>22212009</v>
          </cell>
          <cell r="B347" t="str">
            <v>바지저고리_남성용</v>
          </cell>
        </row>
        <row r="348">
          <cell r="A348">
            <v>22212010</v>
          </cell>
          <cell r="B348" t="str">
            <v>치마저고리_여성용</v>
          </cell>
        </row>
        <row r="349">
          <cell r="A349">
            <v>22212011</v>
          </cell>
          <cell r="B349" t="str">
            <v>사롱_남성용</v>
          </cell>
        </row>
        <row r="350">
          <cell r="A350">
            <v>22212012</v>
          </cell>
          <cell r="B350" t="str">
            <v>크바야_여성용</v>
          </cell>
        </row>
        <row r="351">
          <cell r="A351">
            <v>22212013</v>
          </cell>
          <cell r="B351" t="str">
            <v>파자마_남성용</v>
          </cell>
        </row>
        <row r="352">
          <cell r="A352">
            <v>22212016</v>
          </cell>
          <cell r="B352" t="str">
            <v>코르사주_여성용</v>
          </cell>
        </row>
        <row r="353">
          <cell r="A353">
            <v>22212018</v>
          </cell>
          <cell r="B353" t="str">
            <v>제흉유군_여성용</v>
          </cell>
        </row>
        <row r="354">
          <cell r="A354">
            <v>22212019</v>
          </cell>
          <cell r="B354" t="str">
            <v>쿠르타_남성용</v>
          </cell>
        </row>
        <row r="355">
          <cell r="A355">
            <v>22212021</v>
          </cell>
          <cell r="B355" t="str">
            <v>법피</v>
          </cell>
        </row>
        <row r="356">
          <cell r="A356">
            <v>22212023</v>
          </cell>
          <cell r="B356" t="str">
            <v>밀항자의 저킨_남성용</v>
          </cell>
        </row>
        <row r="357">
          <cell r="A357">
            <v>22212024</v>
          </cell>
          <cell r="B357" t="str">
            <v>에우스토키아 드레스_여성용</v>
          </cell>
        </row>
        <row r="358">
          <cell r="A358">
            <v>22212026</v>
          </cell>
          <cell r="B358" t="str">
            <v>피필틴의 튜닉_여성용</v>
          </cell>
        </row>
        <row r="359">
          <cell r="A359">
            <v>22212027</v>
          </cell>
          <cell r="B359" t="str">
            <v>무역 상인의 의복</v>
          </cell>
        </row>
        <row r="360">
          <cell r="A360">
            <v>22212029</v>
          </cell>
          <cell r="B360" t="str">
            <v>모험 용병의 경장</v>
          </cell>
        </row>
        <row r="361">
          <cell r="A361">
            <v>22212031</v>
          </cell>
          <cell r="B361" t="str">
            <v>몰락 귀족의 의복</v>
          </cell>
        </row>
        <row r="362">
          <cell r="A362">
            <v>22212033</v>
          </cell>
          <cell r="B362" t="str">
            <v>부족 전사의 의복</v>
          </cell>
        </row>
        <row r="363">
          <cell r="A363">
            <v>22212035</v>
          </cell>
          <cell r="B363" t="str">
            <v>에롤의 실험 갑옷</v>
          </cell>
        </row>
        <row r="364">
          <cell r="A364">
            <v>22212037</v>
          </cell>
          <cell r="B364" t="str">
            <v>상단 호위병의 갑옷</v>
          </cell>
        </row>
        <row r="365">
          <cell r="A365">
            <v>22223001</v>
          </cell>
          <cell r="B365" t="str">
            <v>야칸 뗄라_남성용</v>
          </cell>
        </row>
        <row r="366">
          <cell r="A366">
            <v>22223002</v>
          </cell>
          <cell r="B366" t="str">
            <v>야칸 다밋_여성용</v>
          </cell>
        </row>
        <row r="367">
          <cell r="A367">
            <v>22223003</v>
          </cell>
          <cell r="B367" t="str">
            <v>선단 포수복_남성용</v>
          </cell>
        </row>
        <row r="368">
          <cell r="A368">
            <v>22223004</v>
          </cell>
          <cell r="B368" t="str">
            <v>가죽 포수복_여성용</v>
          </cell>
        </row>
        <row r="369">
          <cell r="A369">
            <v>22223005</v>
          </cell>
          <cell r="B369" t="str">
            <v>다리우스 3세의 갑옷</v>
          </cell>
        </row>
        <row r="370">
          <cell r="A370">
            <v>22223007</v>
          </cell>
          <cell r="B370" t="str">
            <v>비르카 스케일 아머</v>
          </cell>
        </row>
        <row r="371">
          <cell r="A371">
            <v>22223009</v>
          </cell>
          <cell r="B371" t="str">
            <v>제마아트의 히르카</v>
          </cell>
        </row>
        <row r="372">
          <cell r="A372">
            <v>22223011</v>
          </cell>
          <cell r="B372" t="str">
            <v>에스파다친의 갑옷</v>
          </cell>
        </row>
        <row r="373">
          <cell r="A373">
            <v>22223013</v>
          </cell>
          <cell r="B373" t="str">
            <v>안드레아의 코트_남성용</v>
          </cell>
        </row>
        <row r="374">
          <cell r="A374">
            <v>22223014</v>
          </cell>
          <cell r="B374" t="str">
            <v>칼라리파야투 카파다_여성용</v>
          </cell>
        </row>
        <row r="375">
          <cell r="A375">
            <v>22223015</v>
          </cell>
          <cell r="B375" t="str">
            <v>바르바리 해적복_남성용</v>
          </cell>
        </row>
        <row r="376">
          <cell r="A376">
            <v>22223016</v>
          </cell>
          <cell r="B376" t="str">
            <v>바르바리 해적 조끼_여성용</v>
          </cell>
        </row>
        <row r="377">
          <cell r="A377">
            <v>22223017</v>
          </cell>
          <cell r="B377" t="str">
            <v>퀴르 부이 재킷_남성용</v>
          </cell>
        </row>
        <row r="378">
          <cell r="A378">
            <v>22223018</v>
          </cell>
          <cell r="B378" t="str">
            <v>퀴르 부이 저킨_여성용</v>
          </cell>
        </row>
        <row r="379">
          <cell r="A379">
            <v>22223019</v>
          </cell>
          <cell r="B379" t="str">
            <v>호병포면갑</v>
          </cell>
        </row>
        <row r="380">
          <cell r="A380">
            <v>22224001</v>
          </cell>
          <cell r="B380" t="str">
            <v>제사장의 응구오_남성용</v>
          </cell>
        </row>
        <row r="381">
          <cell r="A381">
            <v>22224002</v>
          </cell>
          <cell r="B381" t="str">
            <v>제사장의 드레스_여성용</v>
          </cell>
        </row>
        <row r="382">
          <cell r="A382">
            <v>22224003</v>
          </cell>
          <cell r="B382" t="str">
            <v>세크반의 히르카_남성용</v>
          </cell>
        </row>
        <row r="383">
          <cell r="A383">
            <v>22224004</v>
          </cell>
          <cell r="B383" t="str">
            <v>아미나의 로브_여성용</v>
          </cell>
        </row>
        <row r="384">
          <cell r="A384">
            <v>22224005</v>
          </cell>
          <cell r="B384" t="str">
            <v>프랑코의 갑옷_남성용</v>
          </cell>
        </row>
        <row r="385">
          <cell r="A385">
            <v>22224006</v>
          </cell>
          <cell r="B385" t="str">
            <v>판처시 후사르자_여성용</v>
          </cell>
        </row>
        <row r="386">
          <cell r="A386">
            <v>22224007</v>
          </cell>
          <cell r="B386" t="str">
            <v>아유타야 그라</v>
          </cell>
        </row>
        <row r="387">
          <cell r="A387">
            <v>22224009</v>
          </cell>
          <cell r="B387" t="str">
            <v>앤슨 남작의 갑옷_남성용</v>
          </cell>
        </row>
        <row r="388">
          <cell r="A388">
            <v>22224010</v>
          </cell>
          <cell r="B388" t="str">
            <v>쥐퐁 아머_여성용</v>
          </cell>
        </row>
        <row r="389">
          <cell r="A389">
            <v>22224011</v>
          </cell>
          <cell r="B389" t="str">
            <v>해군 장관복</v>
          </cell>
        </row>
        <row r="390">
          <cell r="A390">
            <v>22224013</v>
          </cell>
          <cell r="B390" t="str">
            <v>마르케스의 더블릿_남성용</v>
          </cell>
        </row>
        <row r="391">
          <cell r="A391">
            <v>22224014</v>
          </cell>
          <cell r="B391" t="str">
            <v>마르케자의 더블릿_여성용</v>
          </cell>
        </row>
        <row r="392">
          <cell r="A392">
            <v>22224015</v>
          </cell>
          <cell r="B392" t="str">
            <v>바솔로뮤의 코트_남성용</v>
          </cell>
        </row>
        <row r="393">
          <cell r="A393">
            <v>22224016</v>
          </cell>
          <cell r="B393" t="str">
            <v>검은 남작의 드레스_여성용</v>
          </cell>
        </row>
        <row r="394">
          <cell r="A394">
            <v>22224017</v>
          </cell>
          <cell r="B394" t="str">
            <v>바이킹 아머</v>
          </cell>
        </row>
        <row r="395">
          <cell r="A395">
            <v>22224019</v>
          </cell>
          <cell r="B395" t="str">
            <v>무스케테르의 베트멍_남성용</v>
          </cell>
        </row>
        <row r="396">
          <cell r="A396">
            <v>22224020</v>
          </cell>
          <cell r="B396" t="str">
            <v>라 포맹의 베트멍_여성용</v>
          </cell>
        </row>
        <row r="397">
          <cell r="A397">
            <v>22224021</v>
          </cell>
          <cell r="B397" t="str">
            <v>호레스의 의복_남성용</v>
          </cell>
        </row>
        <row r="398">
          <cell r="A398">
            <v>22224022</v>
          </cell>
          <cell r="B398" t="str">
            <v>해적 부선장의 코트_여성용</v>
          </cell>
        </row>
        <row r="399">
          <cell r="A399">
            <v>22224023</v>
          </cell>
          <cell r="B399" t="str">
            <v>듀얼리스트의 저킨_남성용</v>
          </cell>
        </row>
        <row r="400">
          <cell r="A400">
            <v>22224024</v>
          </cell>
          <cell r="B400" t="str">
            <v>현상금 사냥꾼의 저킨_여성용</v>
          </cell>
        </row>
        <row r="401">
          <cell r="A401">
            <v>22224025</v>
          </cell>
          <cell r="B401" t="str">
            <v>알브레히트의 갑옷_남성용</v>
          </cell>
        </row>
        <row r="402">
          <cell r="A402">
            <v>22224026</v>
          </cell>
          <cell r="B402" t="str">
            <v>그리니치 아머_여성용</v>
          </cell>
        </row>
        <row r="403">
          <cell r="A403">
            <v>22224027</v>
          </cell>
          <cell r="B403" t="str">
            <v>오블리제 쥐스토코르_남성용</v>
          </cell>
        </row>
        <row r="404">
          <cell r="A404">
            <v>22224028</v>
          </cell>
          <cell r="B404" t="str">
            <v>오블리제 드레스_여성용</v>
          </cell>
        </row>
        <row r="405">
          <cell r="A405">
            <v>22224029</v>
          </cell>
          <cell r="B405" t="str">
            <v>부카니에의 코트</v>
          </cell>
        </row>
        <row r="406">
          <cell r="A406">
            <v>22224031</v>
          </cell>
          <cell r="B406" t="str">
            <v>미사그리아</v>
          </cell>
        </row>
        <row r="407">
          <cell r="A407">
            <v>22224033</v>
          </cell>
          <cell r="B407" t="str">
            <v>카이사르의 갑옷</v>
          </cell>
        </row>
        <row r="408">
          <cell r="A408">
            <v>22224035</v>
          </cell>
          <cell r="B408" t="str">
            <v>아슬란 크루그_남성용</v>
          </cell>
        </row>
        <row r="409">
          <cell r="A409">
            <v>22224036</v>
          </cell>
          <cell r="B409" t="str">
            <v>프리마 돈나 아머_여성용</v>
          </cell>
        </row>
        <row r="410">
          <cell r="A410">
            <v>22225001</v>
          </cell>
          <cell r="B410" t="str">
            <v>망령 제독의 코트</v>
          </cell>
        </row>
        <row r="411">
          <cell r="A411">
            <v>22225003</v>
          </cell>
          <cell r="B411" t="str">
            <v>착호갑사복_남성용</v>
          </cell>
        </row>
        <row r="412">
          <cell r="A412">
            <v>22225005</v>
          </cell>
          <cell r="B412" t="str">
            <v>두석린갑_남성용</v>
          </cell>
        </row>
        <row r="413">
          <cell r="A413">
            <v>22225006</v>
          </cell>
          <cell r="B413" t="str">
            <v>일품부인의 산문갑_여성용</v>
          </cell>
        </row>
        <row r="414">
          <cell r="A414">
            <v>22225007</v>
          </cell>
          <cell r="B414" t="str">
            <v>카르나의 카바치_남성용</v>
          </cell>
        </row>
        <row r="415">
          <cell r="A415">
            <v>22225009</v>
          </cell>
          <cell r="B415" t="str">
            <v>호지조개_남성용</v>
          </cell>
        </row>
        <row r="416">
          <cell r="A416">
            <v>22225010</v>
          </cell>
          <cell r="B416" t="str">
            <v>뇌신갑_여성용</v>
          </cell>
        </row>
        <row r="417">
          <cell r="A417">
            <v>22225011</v>
          </cell>
          <cell r="B417" t="str">
            <v>레오나르도의 의복_남성용</v>
          </cell>
        </row>
        <row r="418">
          <cell r="A418">
            <v>22225012</v>
          </cell>
          <cell r="B418" t="str">
            <v>스칼렛 튜닉_여성용</v>
          </cell>
        </row>
        <row r="419">
          <cell r="A419">
            <v>22225013</v>
          </cell>
          <cell r="B419" t="str">
            <v>트라헤 데루세스_남성용</v>
          </cell>
        </row>
        <row r="420">
          <cell r="A420">
            <v>22225014</v>
          </cell>
          <cell r="B420" t="str">
            <v>트라헤 데플라멩카_여성용</v>
          </cell>
        </row>
        <row r="421">
          <cell r="A421">
            <v>22225015</v>
          </cell>
          <cell r="B421" t="str">
            <v>라마 이스루나의 케인_남성용</v>
          </cell>
        </row>
        <row r="422">
          <cell r="A422">
            <v>22225017</v>
          </cell>
          <cell r="B422" t="str">
            <v>홀리 플레이트 아머_남성용</v>
          </cell>
        </row>
        <row r="423">
          <cell r="A423">
            <v>22225021</v>
          </cell>
          <cell r="B423" t="str">
            <v>금의위복_남성용</v>
          </cell>
        </row>
        <row r="424">
          <cell r="A424">
            <v>22225023</v>
          </cell>
          <cell r="B424" t="str">
            <v>마르크스의 뤼스퉁_남성용</v>
          </cell>
        </row>
        <row r="425">
          <cell r="A425">
            <v>22225025</v>
          </cell>
          <cell r="B425" t="str">
            <v>성기사의 갑옷_남성용</v>
          </cell>
        </row>
        <row r="426">
          <cell r="A426">
            <v>22225027</v>
          </cell>
          <cell r="B426" t="str">
            <v>인드라지트의 카파다</v>
          </cell>
        </row>
        <row r="427">
          <cell r="A427">
            <v>22225029</v>
          </cell>
          <cell r="B427" t="str">
            <v>호플로마쿠스의 갑옷</v>
          </cell>
        </row>
        <row r="428">
          <cell r="A428">
            <v>22225031</v>
          </cell>
          <cell r="B428" t="str">
            <v>하이레딘의 카프탄_남성용</v>
          </cell>
        </row>
        <row r="429">
          <cell r="A429">
            <v>22225033</v>
          </cell>
          <cell r="B429" t="str">
            <v>엘 드라케 아머</v>
          </cell>
        </row>
        <row r="430">
          <cell r="A430">
            <v>22225035</v>
          </cell>
          <cell r="B430" t="str">
            <v>보야르의 브라냐</v>
          </cell>
        </row>
        <row r="431">
          <cell r="A431">
            <v>22226001</v>
          </cell>
          <cell r="B431" t="str">
            <v>나타라자의 카파다_남성용</v>
          </cell>
        </row>
        <row r="432">
          <cell r="A432">
            <v>22226003</v>
          </cell>
          <cell r="B432" t="str">
            <v>아하디스의 카바치_남성용</v>
          </cell>
        </row>
        <row r="433">
          <cell r="A433">
            <v>22226005</v>
          </cell>
          <cell r="B433" t="str">
            <v>우이칠린_남성용</v>
          </cell>
        </row>
        <row r="434">
          <cell r="A434">
            <v>22226007</v>
          </cell>
          <cell r="B434" t="str">
            <v>페르디난트 2세의 아머_남성용</v>
          </cell>
        </row>
        <row r="435">
          <cell r="A435">
            <v>22226009</v>
          </cell>
          <cell r="B435" t="str">
            <v>제육천마왕개_남성용</v>
          </cell>
        </row>
        <row r="436">
          <cell r="A436">
            <v>22226011</v>
          </cell>
          <cell r="B436" t="str">
            <v>바쥬 라미나_남성용</v>
          </cell>
        </row>
        <row r="437">
          <cell r="A437">
            <v>22226013</v>
          </cell>
          <cell r="B437" t="str">
            <v>벨레스의 카사바로트카_남성용</v>
          </cell>
        </row>
        <row r="438">
          <cell r="A438">
            <v>22226014</v>
          </cell>
          <cell r="B438" t="str">
            <v>벨레스의 사라판_여성용</v>
          </cell>
        </row>
        <row r="439">
          <cell r="A439">
            <v>22226015</v>
          </cell>
          <cell r="B439" t="str">
            <v>라지푸트 카파다_남성용</v>
          </cell>
        </row>
        <row r="440">
          <cell r="A440">
            <v>22226017</v>
          </cell>
          <cell r="B440" t="str">
            <v>롤랑의 아르뮈르_남성용</v>
          </cell>
        </row>
        <row r="441">
          <cell r="A441">
            <v>22226019</v>
          </cell>
          <cell r="B441" t="str">
            <v>임페리얼 아머_남성용</v>
          </cell>
        </row>
        <row r="442">
          <cell r="A442">
            <v>22226021</v>
          </cell>
          <cell r="B442" t="str">
            <v>신전무전의_남성용</v>
          </cell>
        </row>
        <row r="443">
          <cell r="A443">
            <v>22226022</v>
          </cell>
          <cell r="B443" t="str">
            <v>폐월수화의_여성용</v>
          </cell>
        </row>
        <row r="444">
          <cell r="A444">
            <v>22226023</v>
          </cell>
          <cell r="B444" t="str">
            <v>모드레드의 아머_남성용</v>
          </cell>
        </row>
        <row r="445">
          <cell r="A445">
            <v>22226025</v>
          </cell>
          <cell r="B445" t="str">
            <v>위가르_남성용</v>
          </cell>
        </row>
        <row r="446">
          <cell r="A446">
            <v>22226027</v>
          </cell>
          <cell r="B446" t="str">
            <v>어우락 꾸언 아오_남성용</v>
          </cell>
        </row>
        <row r="447">
          <cell r="A447">
            <v>22226029</v>
          </cell>
          <cell r="B447" t="str">
            <v>쿠 훌린의 아머_남성용</v>
          </cell>
        </row>
        <row r="448">
          <cell r="A448">
            <v>22226031</v>
          </cell>
          <cell r="B448" t="str">
            <v>네로 디아볼로_남성용</v>
          </cell>
        </row>
        <row r="449">
          <cell r="A449">
            <v>22226033</v>
          </cell>
          <cell r="B449" t="str">
            <v>헤라클레스의 아머_남성용</v>
          </cell>
        </row>
        <row r="450">
          <cell r="A450">
            <v>22226034</v>
          </cell>
          <cell r="B450" t="str">
            <v>헤라클레스의 아머_여성용</v>
          </cell>
        </row>
        <row r="451">
          <cell r="A451">
            <v>22226035</v>
          </cell>
          <cell r="B451" t="str">
            <v>야른삭사의 아머_남성용</v>
          </cell>
        </row>
        <row r="452">
          <cell r="A452">
            <v>22233001</v>
          </cell>
          <cell r="B452" t="str">
            <v>막스틀라틀_남성용</v>
          </cell>
        </row>
        <row r="453">
          <cell r="A453">
            <v>22233002</v>
          </cell>
          <cell r="B453" t="str">
            <v>우이필_여성용</v>
          </cell>
        </row>
        <row r="454">
          <cell r="A454">
            <v>22233003</v>
          </cell>
          <cell r="B454" t="str">
            <v>데니지의 민탄_남성용</v>
          </cell>
        </row>
        <row r="455">
          <cell r="A455">
            <v>22233004</v>
          </cell>
          <cell r="B455" t="str">
            <v>데니지의 옐레크_여성용</v>
          </cell>
        </row>
        <row r="456">
          <cell r="A456">
            <v>22233005</v>
          </cell>
          <cell r="B456" t="str">
            <v>브리간딘</v>
          </cell>
        </row>
        <row r="457">
          <cell r="A457">
            <v>22233007</v>
          </cell>
          <cell r="B457" t="str">
            <v>모로 뗄라_남성용</v>
          </cell>
        </row>
        <row r="458">
          <cell r="A458">
            <v>22233008</v>
          </cell>
          <cell r="B458" t="str">
            <v>모로 다밋_여성용</v>
          </cell>
        </row>
        <row r="459">
          <cell r="A459">
            <v>22233009</v>
          </cell>
          <cell r="B459" t="str">
            <v>철기찰갑</v>
          </cell>
        </row>
        <row r="460">
          <cell r="A460">
            <v>22233011</v>
          </cell>
          <cell r="B460" t="str">
            <v>버프 코트</v>
          </cell>
        </row>
        <row r="461">
          <cell r="A461">
            <v>22233013</v>
          </cell>
          <cell r="B461" t="str">
            <v>와치맨의 튜닉_남성용</v>
          </cell>
        </row>
        <row r="462">
          <cell r="A462">
            <v>22233014</v>
          </cell>
          <cell r="B462" t="str">
            <v>와치맨의 튜닉 드레스_여성용</v>
          </cell>
        </row>
        <row r="463">
          <cell r="A463">
            <v>22233015</v>
          </cell>
          <cell r="B463" t="str">
            <v>더블릿_남성용</v>
          </cell>
        </row>
        <row r="464">
          <cell r="A464">
            <v>22233016</v>
          </cell>
          <cell r="B464" t="str">
            <v>카리브 드레스_여성용</v>
          </cell>
        </row>
        <row r="465">
          <cell r="A465">
            <v>22233017</v>
          </cell>
          <cell r="B465" t="str">
            <v>탐험가복_남성용</v>
          </cell>
        </row>
        <row r="466">
          <cell r="A466">
            <v>22233018</v>
          </cell>
          <cell r="B466" t="str">
            <v>보물 사냥꾼복_여성용</v>
          </cell>
        </row>
        <row r="467">
          <cell r="A467">
            <v>22233019</v>
          </cell>
          <cell r="B467" t="str">
            <v>명조포면갑</v>
          </cell>
        </row>
        <row r="468">
          <cell r="A468">
            <v>22233021</v>
          </cell>
          <cell r="B468" t="str">
            <v>보스탄츠의 히르카</v>
          </cell>
        </row>
        <row r="469">
          <cell r="A469">
            <v>22233023</v>
          </cell>
          <cell r="B469" t="str">
            <v>켄투리 로리카</v>
          </cell>
        </row>
        <row r="470">
          <cell r="A470">
            <v>22233025</v>
          </cell>
          <cell r="B470" t="str">
            <v>연거복_남성용</v>
          </cell>
        </row>
        <row r="471">
          <cell r="A471">
            <v>22233026</v>
          </cell>
          <cell r="B471" t="str">
            <v>궁녀복_여성용</v>
          </cell>
        </row>
        <row r="472">
          <cell r="A472">
            <v>22233027</v>
          </cell>
          <cell r="B472" t="str">
            <v>가드맨 아머</v>
          </cell>
        </row>
        <row r="473">
          <cell r="A473">
            <v>22233029</v>
          </cell>
          <cell r="B473" t="str">
            <v>갑판장복_남성용</v>
          </cell>
        </row>
        <row r="474">
          <cell r="A474">
            <v>22233030</v>
          </cell>
          <cell r="B474" t="str">
            <v>조타장복_여성용</v>
          </cell>
        </row>
        <row r="475">
          <cell r="A475">
            <v>22233031</v>
          </cell>
          <cell r="B475" t="str">
            <v>쿼리 운쿠_남성용</v>
          </cell>
        </row>
        <row r="476">
          <cell r="A476">
            <v>22233032</v>
          </cell>
          <cell r="B476" t="str">
            <v>와르미 악수_여성용</v>
          </cell>
        </row>
        <row r="477">
          <cell r="A477">
            <v>22233033</v>
          </cell>
          <cell r="B477" t="str">
            <v>바크테르츠</v>
          </cell>
        </row>
        <row r="478">
          <cell r="A478">
            <v>22233035</v>
          </cell>
          <cell r="B478" t="str">
            <v>수도복_남성용</v>
          </cell>
        </row>
        <row r="479">
          <cell r="A479">
            <v>22233036</v>
          </cell>
          <cell r="B479" t="str">
            <v>수녀복_여성용</v>
          </cell>
        </row>
        <row r="480">
          <cell r="A480">
            <v>22233037</v>
          </cell>
          <cell r="B480" t="str">
            <v>가디언의 저킨_남성용</v>
          </cell>
        </row>
        <row r="481">
          <cell r="A481">
            <v>22233038</v>
          </cell>
          <cell r="B481" t="str">
            <v>가디언의 재킷_여성용</v>
          </cell>
        </row>
        <row r="482">
          <cell r="A482">
            <v>22233039</v>
          </cell>
          <cell r="B482" t="str">
            <v>사략 해적의 조끼_남성용</v>
          </cell>
        </row>
        <row r="483">
          <cell r="A483">
            <v>22233040</v>
          </cell>
          <cell r="B483" t="str">
            <v>사략 해적복_여성용</v>
          </cell>
        </row>
        <row r="484">
          <cell r="A484">
            <v>22234001</v>
          </cell>
          <cell r="B484" t="str">
            <v>프록코트</v>
          </cell>
        </row>
        <row r="485">
          <cell r="A485">
            <v>22234003</v>
          </cell>
          <cell r="B485" t="str">
            <v>카사도르의 코트</v>
          </cell>
        </row>
        <row r="486">
          <cell r="A486">
            <v>22234005</v>
          </cell>
          <cell r="B486" t="str">
            <v>구키의 갑옷_남성용</v>
          </cell>
        </row>
        <row r="487">
          <cell r="A487">
            <v>22234006</v>
          </cell>
          <cell r="B487" t="str">
            <v>타치바나의 갑옷_여성용</v>
          </cell>
        </row>
        <row r="488">
          <cell r="A488">
            <v>22234007</v>
          </cell>
          <cell r="B488" t="str">
            <v>튜더 코트_남성용</v>
          </cell>
        </row>
        <row r="489">
          <cell r="A489">
            <v>22234008</v>
          </cell>
          <cell r="B489" t="str">
            <v>러프 칼라 드레스_여성용</v>
          </cell>
        </row>
        <row r="490">
          <cell r="A490">
            <v>22234009</v>
          </cell>
          <cell r="B490" t="str">
            <v>경번갑</v>
          </cell>
        </row>
        <row r="491">
          <cell r="A491">
            <v>22234011</v>
          </cell>
          <cell r="B491" t="str">
            <v>왕실 탐험가복_남성용</v>
          </cell>
        </row>
        <row r="492">
          <cell r="A492">
            <v>22234012</v>
          </cell>
          <cell r="B492" t="str">
            <v>마리아의 탐험복_여성용</v>
          </cell>
        </row>
        <row r="493">
          <cell r="A493">
            <v>22234013</v>
          </cell>
          <cell r="B493" t="str">
            <v>칩칸_남성용</v>
          </cell>
        </row>
        <row r="494">
          <cell r="A494">
            <v>22234014</v>
          </cell>
          <cell r="B494" t="str">
            <v>크바야 순다_여성용</v>
          </cell>
        </row>
        <row r="495">
          <cell r="A495">
            <v>22234015</v>
          </cell>
          <cell r="B495" t="str">
            <v>윙 칼라 더블릿_남성용</v>
          </cell>
        </row>
        <row r="496">
          <cell r="A496">
            <v>22234016</v>
          </cell>
          <cell r="B496" t="str">
            <v>이탈리안 드레스_여성용</v>
          </cell>
        </row>
        <row r="497">
          <cell r="A497">
            <v>22234017</v>
          </cell>
          <cell r="B497" t="str">
            <v>카르산의 코트</v>
          </cell>
        </row>
        <row r="498">
          <cell r="A498">
            <v>22234019</v>
          </cell>
          <cell r="B498" t="str">
            <v>어린갑</v>
          </cell>
        </row>
        <row r="499">
          <cell r="A499">
            <v>22234021</v>
          </cell>
          <cell r="B499" t="str">
            <v>제독의 코트</v>
          </cell>
        </row>
        <row r="500">
          <cell r="A500">
            <v>22234023</v>
          </cell>
          <cell r="B500" t="str">
            <v>호국영갑_남성용</v>
          </cell>
        </row>
        <row r="501">
          <cell r="A501">
            <v>22234024</v>
          </cell>
          <cell r="B501" t="str">
            <v>일품부인갑_여성용</v>
          </cell>
        </row>
        <row r="502">
          <cell r="A502">
            <v>22234025</v>
          </cell>
          <cell r="B502" t="str">
            <v>알브</v>
          </cell>
        </row>
        <row r="503">
          <cell r="A503">
            <v>22234027</v>
          </cell>
          <cell r="B503" t="str">
            <v>스컬 아머</v>
          </cell>
        </row>
        <row r="504">
          <cell r="A504">
            <v>22234029</v>
          </cell>
          <cell r="B504" t="str">
            <v>구군복</v>
          </cell>
        </row>
        <row r="505">
          <cell r="A505">
            <v>22234031</v>
          </cell>
          <cell r="B505" t="str">
            <v>나르시스 베스트_남성용</v>
          </cell>
        </row>
        <row r="506">
          <cell r="A506">
            <v>22234032</v>
          </cell>
          <cell r="B506" t="str">
            <v>베들라 드레스_여성용</v>
          </cell>
        </row>
        <row r="507">
          <cell r="A507">
            <v>22234033</v>
          </cell>
          <cell r="B507" t="str">
            <v>요정의 갑옷</v>
          </cell>
        </row>
        <row r="508">
          <cell r="A508">
            <v>22234035</v>
          </cell>
          <cell r="B508" t="str">
            <v>롤프가의 코트_남성용</v>
          </cell>
        </row>
        <row r="509">
          <cell r="A509">
            <v>22234036</v>
          </cell>
          <cell r="B509" t="str">
            <v>롤프가의 드레스_여성용</v>
          </cell>
        </row>
        <row r="510">
          <cell r="A510">
            <v>22234037</v>
          </cell>
          <cell r="B510" t="str">
            <v>페르난도의 더블릿_남성용</v>
          </cell>
        </row>
        <row r="511">
          <cell r="A511">
            <v>22234038</v>
          </cell>
          <cell r="B511" t="str">
            <v>이농 발리 지휘관복_여성용</v>
          </cell>
        </row>
        <row r="512">
          <cell r="A512">
            <v>22234039</v>
          </cell>
          <cell r="B512" t="str">
            <v>명조 관복_남성용</v>
          </cell>
        </row>
        <row r="513">
          <cell r="A513">
            <v>22234040</v>
          </cell>
          <cell r="B513" t="str">
            <v>엔데룬 엔타리_여성용</v>
          </cell>
        </row>
        <row r="514">
          <cell r="A514">
            <v>22235001</v>
          </cell>
          <cell r="B514" t="str">
            <v>융복 개갑</v>
          </cell>
        </row>
        <row r="515">
          <cell r="A515">
            <v>22235003</v>
          </cell>
          <cell r="B515" t="str">
            <v>검호의 진우직</v>
          </cell>
        </row>
        <row r="516">
          <cell r="A516">
            <v>22235005</v>
          </cell>
          <cell r="B516" t="str">
            <v>콘도티에로의 아르마투라</v>
          </cell>
        </row>
        <row r="517">
          <cell r="A517">
            <v>22235007</v>
          </cell>
          <cell r="B517" t="str">
            <v>참회왕의 로브_남성용</v>
          </cell>
        </row>
        <row r="518">
          <cell r="A518">
            <v>22235009</v>
          </cell>
          <cell r="B518" t="str">
            <v>레프코샤 용왕의 즈르흐_남성용</v>
          </cell>
        </row>
        <row r="519">
          <cell r="A519">
            <v>22235010</v>
          </cell>
          <cell r="B519" t="str">
            <v>엘 레이 아르마두라_여성용</v>
          </cell>
        </row>
        <row r="520">
          <cell r="A520">
            <v>22235011</v>
          </cell>
          <cell r="B520" t="str">
            <v>베이릭의 히르카_남성용</v>
          </cell>
        </row>
        <row r="521">
          <cell r="A521">
            <v>22235013</v>
          </cell>
          <cell r="B521" t="str">
            <v>후사르 돌먼</v>
          </cell>
        </row>
        <row r="522">
          <cell r="A522">
            <v>22235015</v>
          </cell>
          <cell r="B522" t="str">
            <v>호레이쇼 넬슨의 제복</v>
          </cell>
        </row>
        <row r="523">
          <cell r="A523">
            <v>22235016</v>
          </cell>
          <cell r="B523" t="str">
            <v>프레이야의 로브_여성용</v>
          </cell>
        </row>
        <row r="524">
          <cell r="A524">
            <v>22235017</v>
          </cell>
          <cell r="B524" t="str">
            <v>내금위장의 융복</v>
          </cell>
        </row>
        <row r="525">
          <cell r="A525">
            <v>22235019</v>
          </cell>
          <cell r="B525" t="str">
            <v>아킬레우스의 갑옷</v>
          </cell>
        </row>
        <row r="526">
          <cell r="A526">
            <v>22235021</v>
          </cell>
          <cell r="B526" t="str">
            <v>신기영장</v>
          </cell>
        </row>
        <row r="527">
          <cell r="A527">
            <v>22235023</v>
          </cell>
          <cell r="B527" t="str">
            <v>틀링기트 아머_남성용</v>
          </cell>
        </row>
        <row r="528">
          <cell r="A528">
            <v>22235025</v>
          </cell>
          <cell r="B528" t="str">
            <v>홍면귀복_남성용</v>
          </cell>
        </row>
        <row r="529">
          <cell r="A529">
            <v>22235026</v>
          </cell>
          <cell r="B529" t="str">
            <v>홍면귀복_여성용</v>
          </cell>
        </row>
        <row r="530">
          <cell r="A530">
            <v>22235027</v>
          </cell>
          <cell r="B530" t="str">
            <v>노블레스 아머_남성용</v>
          </cell>
        </row>
        <row r="531">
          <cell r="A531">
            <v>22235029</v>
          </cell>
          <cell r="B531" t="str">
            <v>타키티무 아머_남성용</v>
          </cell>
        </row>
        <row r="532">
          <cell r="A532">
            <v>22235031</v>
          </cell>
          <cell r="B532" t="str">
            <v>카누니의 카프탄_남성용</v>
          </cell>
        </row>
        <row r="533">
          <cell r="A533">
            <v>22235032</v>
          </cell>
          <cell r="B533" t="str">
            <v>귈바하르의 의복_여성용</v>
          </cell>
        </row>
        <row r="534">
          <cell r="A534">
            <v>22235033</v>
          </cell>
          <cell r="B534" t="str">
            <v>청포 철갑_남성용</v>
          </cell>
        </row>
        <row r="535">
          <cell r="A535">
            <v>22235034</v>
          </cell>
          <cell r="B535" t="str">
            <v>청포 철갑_여성용</v>
          </cell>
        </row>
        <row r="536">
          <cell r="A536">
            <v>22235035</v>
          </cell>
          <cell r="B536" t="str">
            <v>로코 이마의 능고</v>
          </cell>
        </row>
        <row r="537">
          <cell r="A537">
            <v>22235037</v>
          </cell>
          <cell r="B537" t="str">
            <v>틀라토아니의 의복_남성용</v>
          </cell>
        </row>
        <row r="538">
          <cell r="A538">
            <v>22235038</v>
          </cell>
          <cell r="B538" t="str">
            <v>시와틀라토아니의 의복_여성용</v>
          </cell>
        </row>
        <row r="539">
          <cell r="A539">
            <v>22235039</v>
          </cell>
          <cell r="B539" t="str">
            <v>비장군의 위복_남성용</v>
          </cell>
        </row>
        <row r="540">
          <cell r="A540">
            <v>22235041</v>
          </cell>
          <cell r="B540" t="str">
            <v>르네상스 푸르포앵_남성용</v>
          </cell>
        </row>
        <row r="541">
          <cell r="A541">
            <v>22235042</v>
          </cell>
          <cell r="B541" t="str">
            <v>앙투아네트의 드레스_여성용</v>
          </cell>
        </row>
        <row r="542">
          <cell r="A542">
            <v>22235043</v>
          </cell>
          <cell r="B542" t="str">
            <v>로빈 후드의 튜닉_남성용</v>
          </cell>
        </row>
        <row r="543">
          <cell r="A543">
            <v>22236001</v>
          </cell>
          <cell r="B543" t="str">
            <v>오군의 이하모라_남성용</v>
          </cell>
        </row>
        <row r="544">
          <cell r="A544">
            <v>22236003</v>
          </cell>
          <cell r="B544" t="str">
            <v>닌귀시지다의 로브_남성용</v>
          </cell>
        </row>
        <row r="545">
          <cell r="A545">
            <v>22236005</v>
          </cell>
          <cell r="B545" t="str">
            <v>레오나르도의 아머_남성용</v>
          </cell>
        </row>
        <row r="546">
          <cell r="A546">
            <v>22236007</v>
          </cell>
          <cell r="B546" t="str">
            <v>라술룰라 주바_남성용</v>
          </cell>
        </row>
        <row r="547">
          <cell r="A547">
            <v>22236009</v>
          </cell>
          <cell r="B547" t="str">
            <v>두석린갑1_남성용</v>
          </cell>
        </row>
        <row r="548">
          <cell r="A548">
            <v>22236011</v>
          </cell>
          <cell r="B548" t="str">
            <v>마레샬 베스트_남성용</v>
          </cell>
        </row>
        <row r="549">
          <cell r="A549">
            <v>22236013</v>
          </cell>
          <cell r="B549" t="str">
            <v>니자므 제디드의 자마_남성용</v>
          </cell>
        </row>
        <row r="550">
          <cell r="A550">
            <v>22236015</v>
          </cell>
          <cell r="B550" t="str">
            <v>대월 황제의 용포_남성용</v>
          </cell>
        </row>
        <row r="551">
          <cell r="A551">
            <v>22236017</v>
          </cell>
          <cell r="B551" t="str">
            <v>삼절한복_남성용</v>
          </cell>
        </row>
        <row r="552">
          <cell r="A552">
            <v>22236018</v>
          </cell>
          <cell r="B552" t="str">
            <v>삼절한복_여성용</v>
          </cell>
        </row>
        <row r="553">
          <cell r="A553">
            <v>22236019</v>
          </cell>
          <cell r="B553" t="str">
            <v>데르비쇼 바가라 아머_남성용</v>
          </cell>
        </row>
        <row r="554">
          <cell r="A554">
            <v>22236021</v>
          </cell>
          <cell r="B554" t="str">
            <v>드라군 아머_남성용</v>
          </cell>
        </row>
        <row r="555">
          <cell r="A555">
            <v>22236023</v>
          </cell>
          <cell r="B555" t="str">
            <v>카라키아 타투아 코타라_남성용</v>
          </cell>
        </row>
        <row r="556">
          <cell r="A556">
            <v>22236025</v>
          </cell>
          <cell r="B556" t="str">
            <v>인티 야콜라_남성용</v>
          </cell>
        </row>
        <row r="557">
          <cell r="A557">
            <v>22236027</v>
          </cell>
          <cell r="B557" t="str">
            <v>비라코챠의 아머_남성용</v>
          </cell>
        </row>
        <row r="558">
          <cell r="A558">
            <v>22236029</v>
          </cell>
          <cell r="B558" t="str">
            <v>파라오의 아머_남성용</v>
          </cell>
        </row>
        <row r="559">
          <cell r="A559">
            <v>22236031</v>
          </cell>
          <cell r="B559" t="str">
            <v>데가나위다의 튜닉_남성용</v>
          </cell>
        </row>
        <row r="560">
          <cell r="A560">
            <v>22236032</v>
          </cell>
          <cell r="B560" t="str">
            <v>지곤사세의 예복_여성용</v>
          </cell>
        </row>
        <row r="561">
          <cell r="A561">
            <v>22236033</v>
          </cell>
          <cell r="B561" t="str">
            <v>군신갑_남성용</v>
          </cell>
        </row>
        <row r="562">
          <cell r="A562">
            <v>22236035</v>
          </cell>
          <cell r="B562" t="str">
            <v>팔괘자수선의_남성용</v>
          </cell>
        </row>
        <row r="563">
          <cell r="A563">
            <v>22236037</v>
          </cell>
          <cell r="B563" t="str">
            <v>에인헤리 아머_남성용</v>
          </cell>
        </row>
        <row r="564">
          <cell r="A564">
            <v>22236039</v>
          </cell>
          <cell r="B564" t="str">
            <v>예모자의 이하모라_남성용</v>
          </cell>
        </row>
        <row r="565">
          <cell r="A565">
            <v>22236041</v>
          </cell>
          <cell r="B565" t="str">
            <v>트리스탄의 로브_남성용</v>
          </cell>
        </row>
        <row r="566">
          <cell r="A566">
            <v>22236042</v>
          </cell>
          <cell r="B566" t="str">
            <v>이졸데의 예복_여성용</v>
          </cell>
        </row>
        <row r="567">
          <cell r="A567">
            <v>22236043</v>
          </cell>
          <cell r="B567" t="str">
            <v>히르카이 세리프_남성용</v>
          </cell>
        </row>
        <row r="568">
          <cell r="A568">
            <v>22243001</v>
          </cell>
          <cell r="B568" t="str">
            <v>마세우알틴의 로파_남성용</v>
          </cell>
        </row>
        <row r="569">
          <cell r="A569">
            <v>22243002</v>
          </cell>
          <cell r="B569" t="str">
            <v>마세우알틴의 우이필_여성용</v>
          </cell>
        </row>
        <row r="570">
          <cell r="A570">
            <v>22243003</v>
          </cell>
          <cell r="B570" t="str">
            <v>은둔자의 로브_남성용</v>
          </cell>
        </row>
        <row r="571">
          <cell r="A571">
            <v>22243004</v>
          </cell>
          <cell r="B571" t="str">
            <v>여행자의 로브_여성용</v>
          </cell>
        </row>
        <row r="572">
          <cell r="A572">
            <v>22243005</v>
          </cell>
          <cell r="B572" t="str">
            <v>푸르포앵_남성용</v>
          </cell>
        </row>
        <row r="573">
          <cell r="A573">
            <v>22243006</v>
          </cell>
          <cell r="B573" t="str">
            <v>진수_여성용</v>
          </cell>
        </row>
        <row r="574">
          <cell r="A574">
            <v>22243007</v>
          </cell>
          <cell r="B574" t="str">
            <v>콩키스타도르의 갑옷</v>
          </cell>
        </row>
        <row r="575">
          <cell r="A575">
            <v>22243009</v>
          </cell>
          <cell r="B575" t="str">
            <v>로리카 하마타</v>
          </cell>
        </row>
        <row r="576">
          <cell r="A576">
            <v>22243011</v>
          </cell>
          <cell r="B576" t="str">
            <v>교역상복</v>
          </cell>
        </row>
        <row r="577">
          <cell r="A577">
            <v>22243013</v>
          </cell>
          <cell r="B577" t="str">
            <v>옐레크_남성용</v>
          </cell>
        </row>
        <row r="578">
          <cell r="A578">
            <v>22243014</v>
          </cell>
          <cell r="B578" t="str">
            <v>엔타리_여성용</v>
          </cell>
        </row>
        <row r="579">
          <cell r="A579">
            <v>22243015</v>
          </cell>
          <cell r="B579" t="str">
            <v>줄루족의 의복_남성용</v>
          </cell>
        </row>
        <row r="580">
          <cell r="A580">
            <v>22243016</v>
          </cell>
          <cell r="B580" t="str">
            <v>포샤크_여성용</v>
          </cell>
        </row>
        <row r="581">
          <cell r="A581">
            <v>22243017</v>
          </cell>
          <cell r="B581" t="str">
            <v>호버크</v>
          </cell>
        </row>
        <row r="582">
          <cell r="A582">
            <v>22243019</v>
          </cell>
          <cell r="B582" t="str">
            <v>광대의 우플랑드_남성용</v>
          </cell>
        </row>
        <row r="583">
          <cell r="A583">
            <v>22243020</v>
          </cell>
          <cell r="B583" t="str">
            <v>귀부인의 우플랑드_여성용</v>
          </cell>
        </row>
        <row r="584">
          <cell r="A584">
            <v>22243021</v>
          </cell>
          <cell r="B584" t="str">
            <v>항해사의 조끼_남성용</v>
          </cell>
        </row>
        <row r="585">
          <cell r="A585">
            <v>22243022</v>
          </cell>
          <cell r="B585" t="str">
            <v>항해사복_여성용</v>
          </cell>
        </row>
        <row r="586">
          <cell r="A586">
            <v>22243023</v>
          </cell>
          <cell r="B586" t="str">
            <v>지라흐 박타르</v>
          </cell>
        </row>
        <row r="587">
          <cell r="A587">
            <v>22243025</v>
          </cell>
          <cell r="B587" t="str">
            <v>사냥꾼의 튜닉_남성용</v>
          </cell>
        </row>
        <row r="588">
          <cell r="A588">
            <v>22243026</v>
          </cell>
          <cell r="B588" t="str">
            <v>사냥꾼의 튜닉 드레스_여성용</v>
          </cell>
        </row>
        <row r="589">
          <cell r="A589">
            <v>22243027</v>
          </cell>
          <cell r="B589" t="str">
            <v>용병의 저킨_남성용</v>
          </cell>
        </row>
        <row r="590">
          <cell r="A590">
            <v>22243028</v>
          </cell>
          <cell r="B590" t="str">
            <v>용병의 재킷_여성용</v>
          </cell>
        </row>
        <row r="591">
          <cell r="A591">
            <v>22243029</v>
          </cell>
          <cell r="B591" t="str">
            <v>플레이트 아머</v>
          </cell>
        </row>
        <row r="592">
          <cell r="A592">
            <v>22243031</v>
          </cell>
          <cell r="B592" t="str">
            <v>코트아르디_남성용</v>
          </cell>
        </row>
        <row r="593">
          <cell r="A593">
            <v>22243032</v>
          </cell>
          <cell r="B593" t="str">
            <v>커틀_여성용</v>
          </cell>
        </row>
        <row r="594">
          <cell r="A594">
            <v>22243033</v>
          </cell>
          <cell r="B594" t="str">
            <v>베르날의 의복_남성용</v>
          </cell>
        </row>
        <row r="595">
          <cell r="A595">
            <v>22243034</v>
          </cell>
          <cell r="B595" t="str">
            <v>메리의 의복_여성용</v>
          </cell>
        </row>
        <row r="596">
          <cell r="A596">
            <v>22243035</v>
          </cell>
          <cell r="B596" t="str">
            <v>운쿠_남성용</v>
          </cell>
        </row>
        <row r="597">
          <cell r="A597">
            <v>22243036</v>
          </cell>
          <cell r="B597" t="str">
            <v>악수_여성용</v>
          </cell>
        </row>
        <row r="598">
          <cell r="A598">
            <v>22243037</v>
          </cell>
          <cell r="B598" t="str">
            <v>드라군 퀴래스</v>
          </cell>
        </row>
        <row r="599">
          <cell r="A599">
            <v>22243039</v>
          </cell>
          <cell r="B599" t="str">
            <v>학창의_남성용</v>
          </cell>
        </row>
        <row r="600">
          <cell r="A600">
            <v>22243040</v>
          </cell>
          <cell r="B600" t="str">
            <v>매화문제흉유군_여성용</v>
          </cell>
        </row>
        <row r="601">
          <cell r="A601">
            <v>22244001</v>
          </cell>
          <cell r="B601" t="str">
            <v>나이트 배철러 코트_남성용</v>
          </cell>
        </row>
        <row r="602">
          <cell r="A602">
            <v>22244002</v>
          </cell>
          <cell r="B602" t="str">
            <v>주항자의 가죽 갑옷_여성용</v>
          </cell>
        </row>
        <row r="603">
          <cell r="A603">
            <v>22244003</v>
          </cell>
          <cell r="B603" t="str">
            <v>아카데믹 가운_남성용</v>
          </cell>
        </row>
        <row r="604">
          <cell r="A604">
            <v>22244004</v>
          </cell>
          <cell r="B604" t="str">
            <v>어의녀복_여성용</v>
          </cell>
        </row>
        <row r="605">
          <cell r="A605">
            <v>22244005</v>
          </cell>
          <cell r="B605" t="str">
            <v>벨벳 쥐스토코르</v>
          </cell>
        </row>
        <row r="606">
          <cell r="A606">
            <v>22244007</v>
          </cell>
          <cell r="B606" t="str">
            <v>킵차크 갑옷</v>
          </cell>
        </row>
        <row r="607">
          <cell r="A607">
            <v>22244009</v>
          </cell>
          <cell r="B607" t="str">
            <v>알렉산더 대왕의 갑옷</v>
          </cell>
        </row>
        <row r="608">
          <cell r="A608">
            <v>22244011</v>
          </cell>
          <cell r="B608" t="str">
            <v>아르뮈르 드 샹슬리에_남성용</v>
          </cell>
        </row>
        <row r="609">
          <cell r="A609">
            <v>22244012</v>
          </cell>
          <cell r="B609" t="str">
            <v>레겐트 브로냐_여성용</v>
          </cell>
        </row>
        <row r="610">
          <cell r="A610">
            <v>22244013</v>
          </cell>
          <cell r="B610" t="str">
            <v>아치칸_남성용</v>
          </cell>
        </row>
        <row r="611">
          <cell r="A611">
            <v>22244014</v>
          </cell>
          <cell r="B611" t="str">
            <v>사파비 히르카_여성용</v>
          </cell>
        </row>
        <row r="612">
          <cell r="A612">
            <v>22244015</v>
          </cell>
          <cell r="B612" t="str">
            <v>명품 해적 코트_남성용</v>
          </cell>
        </row>
        <row r="613">
          <cell r="A613">
            <v>22244016</v>
          </cell>
          <cell r="B613" t="str">
            <v>명품 해적 드레스_여성용</v>
          </cell>
        </row>
        <row r="614">
          <cell r="A614">
            <v>22244017</v>
          </cell>
          <cell r="B614" t="str">
            <v>에롤즈 플레이트</v>
          </cell>
        </row>
        <row r="615">
          <cell r="A615">
            <v>22244019</v>
          </cell>
          <cell r="B615" t="str">
            <v>로드 아일랜드산 코트_남성용</v>
          </cell>
        </row>
        <row r="616">
          <cell r="A616">
            <v>22244020</v>
          </cell>
          <cell r="B616" t="str">
            <v>달마티카_여성용</v>
          </cell>
        </row>
        <row r="617">
          <cell r="A617">
            <v>22244021</v>
          </cell>
          <cell r="B617" t="str">
            <v>아라비아 교역상복_남성용</v>
          </cell>
        </row>
        <row r="618">
          <cell r="A618">
            <v>22244022</v>
          </cell>
          <cell r="B618" t="str">
            <v>색문부고_여성용</v>
          </cell>
        </row>
        <row r="619">
          <cell r="A619">
            <v>22244023</v>
          </cell>
          <cell r="B619" t="str">
            <v>귀뮈슈 즈르흐_남성용</v>
          </cell>
        </row>
        <row r="620">
          <cell r="A620">
            <v>22244024</v>
          </cell>
          <cell r="B620" t="str">
            <v>알튼 즈르흐_여성용</v>
          </cell>
        </row>
        <row r="621">
          <cell r="A621">
            <v>22244025</v>
          </cell>
          <cell r="B621" t="str">
            <v>용병 단장의 갑옷</v>
          </cell>
        </row>
        <row r="622">
          <cell r="A622">
            <v>22244027</v>
          </cell>
          <cell r="B622" t="str">
            <v>나사우 해적복_남성용</v>
          </cell>
        </row>
        <row r="623">
          <cell r="A623">
            <v>22244028</v>
          </cell>
          <cell r="B623" t="str">
            <v>석양의 해적복_여성용</v>
          </cell>
        </row>
        <row r="624">
          <cell r="A624">
            <v>22244029</v>
          </cell>
          <cell r="B624" t="str">
            <v>골드 플레이트 아머</v>
          </cell>
        </row>
        <row r="625">
          <cell r="A625">
            <v>22244031</v>
          </cell>
          <cell r="B625" t="str">
            <v>앙상블 코트_남성용</v>
          </cell>
        </row>
        <row r="626">
          <cell r="A626">
            <v>22244032</v>
          </cell>
          <cell r="B626" t="str">
            <v>앙상블 드레스_여성용</v>
          </cell>
        </row>
        <row r="627">
          <cell r="A627">
            <v>22244033</v>
          </cell>
          <cell r="B627" t="str">
            <v>영사의 코트_남성용</v>
          </cell>
        </row>
        <row r="628">
          <cell r="A628">
            <v>22244034</v>
          </cell>
          <cell r="B628" t="str">
            <v>영사의 쇼트코트_여성용</v>
          </cell>
        </row>
        <row r="629">
          <cell r="A629">
            <v>22244035</v>
          </cell>
          <cell r="B629" t="str">
            <v>셰르와니_남성용</v>
          </cell>
        </row>
        <row r="630">
          <cell r="A630">
            <v>22244036</v>
          </cell>
          <cell r="B630" t="str">
            <v>촐리_여성용</v>
          </cell>
        </row>
        <row r="631">
          <cell r="A631">
            <v>22244037</v>
          </cell>
          <cell r="B631" t="str">
            <v>로키의 갑옷</v>
          </cell>
        </row>
        <row r="632">
          <cell r="A632">
            <v>22244039</v>
          </cell>
          <cell r="B632" t="str">
            <v>거상의 쾌자_남성용</v>
          </cell>
        </row>
        <row r="633">
          <cell r="A633">
            <v>22244040</v>
          </cell>
          <cell r="B633" t="str">
            <v>명월 무복_여성용</v>
          </cell>
        </row>
        <row r="634">
          <cell r="A634">
            <v>22245001</v>
          </cell>
          <cell r="B634" t="str">
            <v>욤스바이킹 아머</v>
          </cell>
        </row>
        <row r="635">
          <cell r="A635">
            <v>22245003</v>
          </cell>
          <cell r="B635" t="str">
            <v>엘레멘탈 로브</v>
          </cell>
        </row>
        <row r="636">
          <cell r="A636">
            <v>22245005</v>
          </cell>
          <cell r="B636" t="str">
            <v>금상화호복</v>
          </cell>
        </row>
        <row r="637">
          <cell r="A637">
            <v>22245007</v>
          </cell>
          <cell r="B637" t="str">
            <v>로얄 플레이트 아머</v>
          </cell>
        </row>
        <row r="638">
          <cell r="A638">
            <v>22245009</v>
          </cell>
          <cell r="B638" t="str">
            <v>도쿠가와의 갑옷_남성용</v>
          </cell>
        </row>
        <row r="639">
          <cell r="A639">
            <v>22245010</v>
          </cell>
          <cell r="B639" t="str">
            <v>만샵다르의 카바치_여성용</v>
          </cell>
        </row>
        <row r="640">
          <cell r="A640">
            <v>22245011</v>
          </cell>
          <cell r="B640" t="str">
            <v>황금산문갑</v>
          </cell>
        </row>
        <row r="641">
          <cell r="A641">
            <v>22245013</v>
          </cell>
          <cell r="B641" t="str">
            <v>팰리스 코트 드레스_남성용</v>
          </cell>
        </row>
        <row r="642">
          <cell r="A642">
            <v>22245014</v>
          </cell>
          <cell r="B642" t="str">
            <v>팰리스 코트 드레스_여성용</v>
          </cell>
        </row>
        <row r="643">
          <cell r="A643">
            <v>22245015</v>
          </cell>
          <cell r="B643" t="str">
            <v>바르바로사의 히르카</v>
          </cell>
        </row>
        <row r="644">
          <cell r="A644">
            <v>22245017</v>
          </cell>
          <cell r="B644" t="str">
            <v>무흐테솀 체베</v>
          </cell>
        </row>
        <row r="645">
          <cell r="A645">
            <v>22245019</v>
          </cell>
          <cell r="B645" t="str">
            <v>리노토락스</v>
          </cell>
        </row>
        <row r="646">
          <cell r="A646">
            <v>22245021</v>
          </cell>
          <cell r="B646" t="str">
            <v>파우와 튜닉_남성용</v>
          </cell>
        </row>
        <row r="647">
          <cell r="A647">
            <v>22245023</v>
          </cell>
          <cell r="B647" t="str">
            <v>사쐬르 아르뮈르</v>
          </cell>
        </row>
        <row r="648">
          <cell r="A648">
            <v>22245025</v>
          </cell>
          <cell r="B648" t="str">
            <v>크리스토발의 갑옷</v>
          </cell>
        </row>
        <row r="649">
          <cell r="A649">
            <v>22245026</v>
          </cell>
          <cell r="B649" t="str">
            <v>키리바시 아머_여성용</v>
          </cell>
        </row>
        <row r="650">
          <cell r="A650">
            <v>22245027</v>
          </cell>
          <cell r="B650" t="str">
            <v>해적 선장의 코트</v>
          </cell>
        </row>
        <row r="651">
          <cell r="A651">
            <v>22245029</v>
          </cell>
          <cell r="B651" t="str">
            <v>사파 잉카의 금갑</v>
          </cell>
        </row>
        <row r="652">
          <cell r="A652">
            <v>22245030</v>
          </cell>
          <cell r="B652" t="str">
            <v>사파 잉카의 금갑_여성용</v>
          </cell>
        </row>
        <row r="653">
          <cell r="A653">
            <v>22245031</v>
          </cell>
          <cell r="B653" t="str">
            <v>파비앙 사룽_남성용</v>
          </cell>
        </row>
        <row r="654">
          <cell r="A654">
            <v>22245032</v>
          </cell>
          <cell r="B654" t="str">
            <v>파비앙 씬_여성용</v>
          </cell>
        </row>
        <row r="655">
          <cell r="A655">
            <v>22245033</v>
          </cell>
          <cell r="B655" t="str">
            <v>이마지겐족의 질라바</v>
          </cell>
        </row>
        <row r="656">
          <cell r="A656">
            <v>22245035</v>
          </cell>
          <cell r="B656" t="str">
            <v>파디샤의 셰르와니_남성용</v>
          </cell>
        </row>
        <row r="657">
          <cell r="A657">
            <v>22245036</v>
          </cell>
          <cell r="B657" t="str">
            <v>마라하니의 정장_여성용</v>
          </cell>
        </row>
        <row r="658">
          <cell r="A658">
            <v>22246001</v>
          </cell>
          <cell r="B658" t="str">
            <v>가루다 카바치_남성용</v>
          </cell>
        </row>
        <row r="659">
          <cell r="A659">
            <v>22246003</v>
          </cell>
          <cell r="B659" t="str">
            <v>옥산진인 보의_남성용</v>
          </cell>
        </row>
        <row r="660">
          <cell r="A660">
            <v>22246005</v>
          </cell>
          <cell r="B660" t="str">
            <v>팔지오 낭인복_남성용</v>
          </cell>
        </row>
        <row r="661">
          <cell r="A661">
            <v>22246007</v>
          </cell>
          <cell r="B661" t="str">
            <v>미다스의 파노피아_남성용</v>
          </cell>
        </row>
        <row r="662">
          <cell r="A662">
            <v>22246009</v>
          </cell>
          <cell r="B662" t="str">
            <v>라바나의 카바치_남성용</v>
          </cell>
        </row>
        <row r="663">
          <cell r="A663">
            <v>22246011</v>
          </cell>
          <cell r="B663" t="str">
            <v>살라딘의 즈르흐_남성용</v>
          </cell>
        </row>
        <row r="664">
          <cell r="A664">
            <v>22246013</v>
          </cell>
          <cell r="B664" t="str">
            <v>쿠나슨 파투그_남성용</v>
          </cell>
        </row>
        <row r="665">
          <cell r="A665">
            <v>22246015</v>
          </cell>
          <cell r="B665" t="str">
            <v>라마찬드라의 카바치_남성용</v>
          </cell>
        </row>
        <row r="666">
          <cell r="A666">
            <v>22246017</v>
          </cell>
          <cell r="B666" t="str">
            <v>아머 오브 레갈리아_남성용</v>
          </cell>
        </row>
        <row r="667">
          <cell r="A667">
            <v>22246019</v>
          </cell>
          <cell r="B667" t="str">
            <v>공명창의_남성용</v>
          </cell>
        </row>
        <row r="668">
          <cell r="A668">
            <v>22246020</v>
          </cell>
          <cell r="B668" t="str">
            <v>월영창의_여성용</v>
          </cell>
        </row>
        <row r="669">
          <cell r="A669">
            <v>22246021</v>
          </cell>
          <cell r="B669" t="str">
            <v>바루나의 카파다_남성용</v>
          </cell>
        </row>
        <row r="670">
          <cell r="A670">
            <v>22246023</v>
          </cell>
          <cell r="B670" t="str">
            <v>게오르기우스의 아머_남성용</v>
          </cell>
        </row>
        <row r="671">
          <cell r="A671">
            <v>22246025</v>
          </cell>
          <cell r="B671" t="str">
            <v>나바카이의 아머_남성용</v>
          </cell>
        </row>
        <row r="672">
          <cell r="A672">
            <v>22246027</v>
          </cell>
          <cell r="B672" t="str">
            <v>포르토스의 베트멍_남성용</v>
          </cell>
        </row>
        <row r="673">
          <cell r="A673">
            <v>22246028</v>
          </cell>
          <cell r="B673" t="str">
            <v>보르토스의 예장_여성용</v>
          </cell>
        </row>
        <row r="674">
          <cell r="A674">
            <v>22246029</v>
          </cell>
          <cell r="B674" t="str">
            <v>자비단의 제레_남성용</v>
          </cell>
        </row>
        <row r="675">
          <cell r="A675">
            <v>22246031</v>
          </cell>
          <cell r="B675" t="str">
            <v>바쿠나와 뗄라_남성용</v>
          </cell>
        </row>
        <row r="676">
          <cell r="A676">
            <v>22246033</v>
          </cell>
          <cell r="B676" t="str">
            <v>포세이돈의 아머_남성용</v>
          </cell>
        </row>
        <row r="677">
          <cell r="A677">
            <v>22246035</v>
          </cell>
          <cell r="B677" t="str">
            <v>페가수스 키톤_남성용</v>
          </cell>
        </row>
        <row r="678">
          <cell r="A678">
            <v>22246036</v>
          </cell>
          <cell r="B678" t="str">
            <v>페가수스 파니_여성용</v>
          </cell>
        </row>
        <row r="679">
          <cell r="A679">
            <v>22253001</v>
          </cell>
          <cell r="B679" t="str">
            <v>조커의 가죽 갑옷_남성용</v>
          </cell>
        </row>
        <row r="680">
          <cell r="A680">
            <v>22253002</v>
          </cell>
          <cell r="B680" t="str">
            <v>삼군_여성용</v>
          </cell>
        </row>
        <row r="681">
          <cell r="A681">
            <v>22253003</v>
          </cell>
          <cell r="B681" t="str">
            <v>오토미 막스틀라틀_남성용</v>
          </cell>
        </row>
        <row r="682">
          <cell r="A682">
            <v>22253004</v>
          </cell>
          <cell r="B682" t="str">
            <v>에스메랄다의 의복_여성용</v>
          </cell>
        </row>
        <row r="683">
          <cell r="A683">
            <v>22253005</v>
          </cell>
          <cell r="B683" t="str">
            <v>카리브족의 의복_남성용</v>
          </cell>
        </row>
        <row r="684">
          <cell r="A684">
            <v>22253007</v>
          </cell>
          <cell r="B684" t="str">
            <v>카리브족의 사냥복_남성용</v>
          </cell>
        </row>
        <row r="685">
          <cell r="A685">
            <v>22253008</v>
          </cell>
          <cell r="B685" t="str">
            <v>바 메이드 드레스_여성용</v>
          </cell>
        </row>
        <row r="686">
          <cell r="A686">
            <v>22253009</v>
          </cell>
          <cell r="B686" t="str">
            <v>장포_남성용</v>
          </cell>
        </row>
        <row r="687">
          <cell r="A687">
            <v>22253011</v>
          </cell>
          <cell r="B687" t="str">
            <v>자마_남성용</v>
          </cell>
        </row>
        <row r="688">
          <cell r="A688">
            <v>22253012</v>
          </cell>
          <cell r="B688" t="str">
            <v>노국공주의 의복_여성용</v>
          </cell>
        </row>
        <row r="689">
          <cell r="A689">
            <v>22253015</v>
          </cell>
          <cell r="B689" t="str">
            <v>부카니에의 질레_남성용</v>
          </cell>
        </row>
        <row r="690">
          <cell r="A690">
            <v>22253021</v>
          </cell>
          <cell r="B690" t="str">
            <v>가스팔의 제복_남성용</v>
          </cell>
        </row>
        <row r="691">
          <cell r="A691">
            <v>22253023</v>
          </cell>
          <cell r="B691" t="str">
            <v>자마단_남성용</v>
          </cell>
        </row>
        <row r="692">
          <cell r="A692">
            <v>22253025</v>
          </cell>
          <cell r="B692" t="str">
            <v>제라흐 바스히의 옐레크_남성용</v>
          </cell>
        </row>
        <row r="693">
          <cell r="A693">
            <v>22253027</v>
          </cell>
          <cell r="B693" t="str">
            <v>가사_남성용</v>
          </cell>
        </row>
        <row r="694">
          <cell r="A694">
            <v>22253029</v>
          </cell>
          <cell r="B694" t="str">
            <v>엔리코의 하빗_남성용</v>
          </cell>
        </row>
        <row r="695">
          <cell r="A695">
            <v>22253031</v>
          </cell>
          <cell r="B695" t="str">
            <v>로이드의 항해사복_남성용</v>
          </cell>
        </row>
        <row r="696">
          <cell r="A696">
            <v>22253033</v>
          </cell>
          <cell r="B696" t="str">
            <v>페르낭의 항해사복_남성용</v>
          </cell>
        </row>
        <row r="697">
          <cell r="A697">
            <v>22253035</v>
          </cell>
          <cell r="B697" t="str">
            <v>유괴성의 해적복_남성용</v>
          </cell>
        </row>
        <row r="698">
          <cell r="A698">
            <v>22253037</v>
          </cell>
          <cell r="B698" t="str">
            <v>카발리에 재킷_남성용</v>
          </cell>
        </row>
        <row r="699">
          <cell r="A699">
            <v>22253039</v>
          </cell>
          <cell r="B699" t="str">
            <v>카리브 셔츠_남성용</v>
          </cell>
        </row>
        <row r="700">
          <cell r="A700">
            <v>22253041</v>
          </cell>
          <cell r="B700" t="str">
            <v>판디크 칼라 더블릿_남성용</v>
          </cell>
        </row>
        <row r="701">
          <cell r="A701">
            <v>22253045</v>
          </cell>
          <cell r="B701" t="str">
            <v>히사카지마의 의복_남성용</v>
          </cell>
        </row>
        <row r="702">
          <cell r="A702">
            <v>22253047</v>
          </cell>
          <cell r="B702" t="str">
            <v>이마이의 의복_남성용</v>
          </cell>
        </row>
        <row r="703">
          <cell r="A703">
            <v>22253049</v>
          </cell>
          <cell r="B703" t="str">
            <v>명조 철릭_남성용</v>
          </cell>
        </row>
        <row r="704">
          <cell r="A704">
            <v>22254001</v>
          </cell>
          <cell r="B704" t="str">
            <v>질의 갑옷_남성용</v>
          </cell>
        </row>
        <row r="705">
          <cell r="A705">
            <v>22254002</v>
          </cell>
          <cell r="B705" t="str">
            <v>로리타 드레스_여성용</v>
          </cell>
        </row>
        <row r="706">
          <cell r="A706">
            <v>22254003</v>
          </cell>
          <cell r="B706" t="str">
            <v>로베르토의 제복_남성용</v>
          </cell>
        </row>
        <row r="707">
          <cell r="A707">
            <v>22254005</v>
          </cell>
          <cell r="B707" t="str">
            <v>루돌프의 갑옷_남성용</v>
          </cell>
        </row>
        <row r="708">
          <cell r="A708">
            <v>22254007</v>
          </cell>
          <cell r="B708" t="str">
            <v>프레트의 갑옷_남성용</v>
          </cell>
        </row>
        <row r="709">
          <cell r="A709">
            <v>22254009</v>
          </cell>
          <cell r="B709" t="str">
            <v>카라의 여행복_남성용</v>
          </cell>
        </row>
        <row r="710">
          <cell r="A710">
            <v>22254013</v>
          </cell>
          <cell r="B710" t="str">
            <v>해군 대신의 튜닉_남성용</v>
          </cell>
        </row>
        <row r="711">
          <cell r="A711">
            <v>22254015</v>
          </cell>
          <cell r="B711" t="str">
            <v>트가리누_남성용</v>
          </cell>
        </row>
        <row r="712">
          <cell r="A712">
            <v>22254017</v>
          </cell>
          <cell r="B712" t="str">
            <v>에르난의 제복_남성용</v>
          </cell>
        </row>
        <row r="713">
          <cell r="A713">
            <v>22254019</v>
          </cell>
          <cell r="B713" t="str">
            <v>왕수신의 의복_남성용</v>
          </cell>
        </row>
        <row r="714">
          <cell r="A714">
            <v>22255001</v>
          </cell>
          <cell r="B714" t="str">
            <v>로코의 코트_남성용</v>
          </cell>
        </row>
        <row r="715">
          <cell r="A715">
            <v>22264001</v>
          </cell>
          <cell r="B715" t="str">
            <v>마사와 구원자의 의복_남성용</v>
          </cell>
        </row>
        <row r="716">
          <cell r="A716">
            <v>22264002</v>
          </cell>
          <cell r="B716" t="str">
            <v>빨간 머리 해적복_여성용</v>
          </cell>
        </row>
        <row r="717">
          <cell r="A717">
            <v>22264003</v>
          </cell>
          <cell r="B717" t="str">
            <v>치킨 제독의 갑옷_남성용</v>
          </cell>
        </row>
        <row r="718">
          <cell r="A718">
            <v>22264004</v>
          </cell>
          <cell r="B718" t="str">
            <v>지도 장인의 의복_남성용</v>
          </cell>
        </row>
        <row r="719">
          <cell r="A719">
            <v>22264005</v>
          </cell>
          <cell r="B719" t="str">
            <v>대모험가의 의복_남성용</v>
          </cell>
        </row>
        <row r="720">
          <cell r="A720">
            <v>22264006</v>
          </cell>
          <cell r="B720" t="str">
            <v>보육원장의 의복_남성용</v>
          </cell>
        </row>
        <row r="721">
          <cell r="A721">
            <v>22264008</v>
          </cell>
          <cell r="B721" t="str">
            <v>말괄량이 모험가복_여성용</v>
          </cell>
        </row>
        <row r="722">
          <cell r="A722">
            <v>22264009</v>
          </cell>
          <cell r="B722" t="str">
            <v>악마 사냥꾼의 의복_남성용</v>
          </cell>
        </row>
        <row r="723">
          <cell r="A723">
            <v>22264010</v>
          </cell>
          <cell r="B723" t="str">
            <v>가주의 갑옷_남성용</v>
          </cell>
        </row>
        <row r="724">
          <cell r="A724">
            <v>22264011</v>
          </cell>
          <cell r="B724" t="str">
            <v>정화의 의복_남성용</v>
          </cell>
        </row>
        <row r="725">
          <cell r="A725">
            <v>22264012</v>
          </cell>
          <cell r="B725" t="str">
            <v>척계광의 의복_남성용</v>
          </cell>
        </row>
        <row r="726">
          <cell r="A726">
            <v>22264013</v>
          </cell>
          <cell r="B726" t="str">
            <v>그레이스 오말리의 의복_여성용</v>
          </cell>
        </row>
        <row r="727">
          <cell r="A727">
            <v>22264014</v>
          </cell>
          <cell r="B727" t="str">
            <v>정성공의 의복_남성용</v>
          </cell>
        </row>
        <row r="728">
          <cell r="A728">
            <v>22264015</v>
          </cell>
          <cell r="B728" t="str">
            <v>거상의 저고리_여성용</v>
          </cell>
        </row>
        <row r="729">
          <cell r="A729">
            <v>22264016</v>
          </cell>
          <cell r="B729" t="str">
            <v>홍길동의 의복_남성용</v>
          </cell>
        </row>
        <row r="730">
          <cell r="A730">
            <v>22264017</v>
          </cell>
          <cell r="B730" t="str">
            <v>이순신의 의복_남성용</v>
          </cell>
        </row>
        <row r="731">
          <cell r="A731">
            <v>22264018</v>
          </cell>
          <cell r="B731" t="str">
            <v>다테 마사무네의 의복_남성용</v>
          </cell>
        </row>
        <row r="732">
          <cell r="A732">
            <v>22264019</v>
          </cell>
          <cell r="B732" t="str">
            <v>이마이 사키의 의복_여성용</v>
          </cell>
        </row>
        <row r="733">
          <cell r="A733">
            <v>22264020</v>
          </cell>
          <cell r="B733" t="str">
            <v>누이 호쿠의 의복_여성용</v>
          </cell>
        </row>
        <row r="734">
          <cell r="A734">
            <v>22264021</v>
          </cell>
          <cell r="B734" t="str">
            <v>찬드 비비의 의복_여성용</v>
          </cell>
        </row>
        <row r="735">
          <cell r="A735">
            <v>22264022</v>
          </cell>
          <cell r="B735" t="str">
            <v>표트르 1세의 의복_남성용</v>
          </cell>
        </row>
        <row r="736">
          <cell r="A736">
            <v>22264023</v>
          </cell>
          <cell r="B736" t="str">
            <v>고귀한 복수자의 의복_여성용</v>
          </cell>
        </row>
        <row r="737">
          <cell r="A737">
            <v>22264024</v>
          </cell>
          <cell r="B737" t="str">
            <v>에르난 코르테스의 의복_남성용</v>
          </cell>
        </row>
        <row r="738">
          <cell r="A738">
            <v>22264025</v>
          </cell>
          <cell r="B738" t="str">
            <v>대해적의 의복_여성용</v>
          </cell>
        </row>
        <row r="739">
          <cell r="A739">
            <v>22264026</v>
          </cell>
          <cell r="B739" t="str">
            <v>필리 레이스의 의복_남성용</v>
          </cell>
        </row>
        <row r="740">
          <cell r="A740">
            <v>22264500</v>
          </cell>
          <cell r="B740" t="str">
            <v>준비된 제독의 망토</v>
          </cell>
        </row>
        <row r="741">
          <cell r="A741">
            <v>22264501</v>
          </cell>
          <cell r="B741" t="str">
            <v>조안의 성년복_남성용</v>
          </cell>
        </row>
        <row r="742">
          <cell r="A742">
            <v>22264502</v>
          </cell>
          <cell r="B742" t="str">
            <v>카탈리나의 사관복_여성용</v>
          </cell>
        </row>
        <row r="743">
          <cell r="A743">
            <v>22264503</v>
          </cell>
          <cell r="B743" t="str">
            <v>잉글랜드 해군 정복_남성용</v>
          </cell>
        </row>
        <row r="744">
          <cell r="A744">
            <v>22264504</v>
          </cell>
          <cell r="B744" t="str">
            <v>에르네스트의 외출복_남성용</v>
          </cell>
        </row>
        <row r="745">
          <cell r="A745">
            <v>22264505</v>
          </cell>
          <cell r="B745" t="str">
            <v>##피에트로 추가 장비_남성용</v>
          </cell>
        </row>
        <row r="746">
          <cell r="A746">
            <v>22264506</v>
          </cell>
          <cell r="B746" t="str">
            <v>숙적의 해적복_남성용</v>
          </cell>
        </row>
        <row r="747">
          <cell r="A747">
            <v>22264508</v>
          </cell>
          <cell r="B747" t="str">
            <v>##밀란데 추가 장비_여성용</v>
          </cell>
        </row>
        <row r="748">
          <cell r="A748">
            <v>22264509</v>
          </cell>
          <cell r="B748" t="str">
            <v>##살바도르 추가 장비_남성용</v>
          </cell>
        </row>
        <row r="749">
          <cell r="A749">
            <v>22264510</v>
          </cell>
          <cell r="B749" t="str">
            <v>##레온 추가 장비_남성용</v>
          </cell>
        </row>
        <row r="750">
          <cell r="A750">
            <v>22264511</v>
          </cell>
          <cell r="B750" t="str">
            <v>##정화 추가 장비_남성용</v>
          </cell>
        </row>
        <row r="751">
          <cell r="A751">
            <v>22264512</v>
          </cell>
          <cell r="B751" t="str">
            <v>##척계광 추가 장비_남성용</v>
          </cell>
        </row>
        <row r="752">
          <cell r="A752">
            <v>22264513</v>
          </cell>
          <cell r="B752" t="str">
            <v>##그레이스 추가 장비_여성용</v>
          </cell>
        </row>
        <row r="753">
          <cell r="A753">
            <v>22264514</v>
          </cell>
          <cell r="B753" t="str">
            <v>##정성공 추가 장비_남성용</v>
          </cell>
        </row>
        <row r="754">
          <cell r="A754">
            <v>22264515</v>
          </cell>
          <cell r="B754" t="str">
            <v>##김만덕 추가 장비_여성용</v>
          </cell>
        </row>
        <row r="755">
          <cell r="A755">
            <v>22264516</v>
          </cell>
          <cell r="B755" t="str">
            <v>##홍길동 추가 장비_남성용</v>
          </cell>
        </row>
        <row r="756">
          <cell r="A756">
            <v>22264517</v>
          </cell>
          <cell r="B756" t="str">
            <v>##이순신 추가 장비_남성용</v>
          </cell>
        </row>
        <row r="757">
          <cell r="A757">
            <v>22264518</v>
          </cell>
          <cell r="B757" t="str">
            <v>##다테 추가 장비_남성용</v>
          </cell>
        </row>
        <row r="758">
          <cell r="A758">
            <v>22264519</v>
          </cell>
          <cell r="B758" t="str">
            <v>##사키 추가 장비_여성용</v>
          </cell>
        </row>
        <row r="759">
          <cell r="A759">
            <v>22264520</v>
          </cell>
          <cell r="B759" t="str">
            <v>##호쿠 추가 장비_여성용</v>
          </cell>
        </row>
        <row r="760">
          <cell r="A760">
            <v>22264521</v>
          </cell>
          <cell r="B760" t="str">
            <v>##비비 추가 장비_여성용</v>
          </cell>
        </row>
        <row r="761">
          <cell r="A761">
            <v>22264522</v>
          </cell>
          <cell r="B761" t="str">
            <v>##표트르 추가 장비_남성용</v>
          </cell>
        </row>
        <row r="762">
          <cell r="A762">
            <v>22264523</v>
          </cell>
          <cell r="B762" t="str">
            <v>##사이이다 추가 장비_여성용</v>
          </cell>
        </row>
        <row r="763">
          <cell r="A763">
            <v>22264524</v>
          </cell>
          <cell r="B763" t="str">
            <v>##코르테스 추가 장비_남성용</v>
          </cell>
        </row>
        <row r="764">
          <cell r="A764">
            <v>22264525</v>
          </cell>
          <cell r="B764" t="str">
            <v>##앤 보니 추가 장비_여성용</v>
          </cell>
        </row>
        <row r="765">
          <cell r="A765">
            <v>22264526</v>
          </cell>
          <cell r="B765" t="str">
            <v>##필리 추가 장비_남성용</v>
          </cell>
        </row>
        <row r="766">
          <cell r="A766">
            <v>22264801</v>
          </cell>
          <cell r="B766" t="str">
            <v>불멸의 해적단 전투복</v>
          </cell>
        </row>
        <row r="767">
          <cell r="A767">
            <v>22264802</v>
          </cell>
          <cell r="B767" t="str">
            <v>불멸의 해적단 사수복_여성용</v>
          </cell>
        </row>
        <row r="768">
          <cell r="A768">
            <v>22264803</v>
          </cell>
          <cell r="B768" t="str">
            <v>환상 섬의 예복</v>
          </cell>
        </row>
        <row r="769">
          <cell r="A769">
            <v>22264804</v>
          </cell>
          <cell r="B769" t="str">
            <v>환상 섬의 드레스_여성용</v>
          </cell>
        </row>
        <row r="770">
          <cell r="A770">
            <v>22264805</v>
          </cell>
          <cell r="B770" t="str">
            <v>바다 기사단 단장복</v>
          </cell>
        </row>
        <row r="771">
          <cell r="A771">
            <v>22264806</v>
          </cell>
          <cell r="B771" t="str">
            <v>바다 기사단 간부복_여성용</v>
          </cell>
        </row>
        <row r="772">
          <cell r="A772">
            <v>22264807</v>
          </cell>
          <cell r="B772" t="str">
            <v>비술의 제복_남성용</v>
          </cell>
        </row>
        <row r="773">
          <cell r="A773">
            <v>22264808</v>
          </cell>
          <cell r="B773" t="str">
            <v>비술의 항해사복_여성용</v>
          </cell>
        </row>
        <row r="774">
          <cell r="A774">
            <v>22265001</v>
          </cell>
          <cell r="B774" t="str">
            <v>벤자밍의 의복_남성용</v>
          </cell>
        </row>
        <row r="775">
          <cell r="A775">
            <v>22265002</v>
          </cell>
          <cell r="B775" t="str">
            <v>브로케이드 저킨_남성용</v>
          </cell>
        </row>
        <row r="776">
          <cell r="A776">
            <v>22265003</v>
          </cell>
          <cell r="B776" t="str">
            <v>프레드릭의 코트_남성용</v>
          </cell>
        </row>
        <row r="777">
          <cell r="A777">
            <v>22265004</v>
          </cell>
          <cell r="B777" t="str">
            <v>랏바우트의 재킷_남성용</v>
          </cell>
        </row>
        <row r="778">
          <cell r="A778">
            <v>22265007</v>
          </cell>
          <cell r="B778" t="str">
            <v>야무르의 옐레크_남성용</v>
          </cell>
        </row>
        <row r="779">
          <cell r="A779">
            <v>22265008</v>
          </cell>
          <cell r="B779" t="str">
            <v>구디나의 의복_남성용</v>
          </cell>
        </row>
        <row r="780">
          <cell r="A780">
            <v>22265010</v>
          </cell>
          <cell r="B780" t="str">
            <v>아자르의 의복_남성용</v>
          </cell>
        </row>
        <row r="781">
          <cell r="A781">
            <v>22265011</v>
          </cell>
          <cell r="B781" t="str">
            <v>이시의 의복_남성용</v>
          </cell>
        </row>
        <row r="782">
          <cell r="A782">
            <v>22265012</v>
          </cell>
          <cell r="B782" t="str">
            <v>세이시치의 의복_남성용</v>
          </cell>
        </row>
        <row r="783">
          <cell r="A783">
            <v>22265013</v>
          </cell>
          <cell r="B783" t="str">
            <v>에미얄리의 의복_남성용</v>
          </cell>
        </row>
        <row r="784">
          <cell r="A784">
            <v>22265014</v>
          </cell>
          <cell r="B784" t="str">
            <v>청철의 의복_남성용</v>
          </cell>
        </row>
        <row r="785">
          <cell r="A785">
            <v>22265015</v>
          </cell>
          <cell r="B785" t="str">
            <v>파트리스의 의복_남성용</v>
          </cell>
        </row>
        <row r="786">
          <cell r="A786">
            <v>22265016</v>
          </cell>
          <cell r="B786" t="str">
            <v>무영의 의복_남성용</v>
          </cell>
        </row>
        <row r="787">
          <cell r="A787">
            <v>22265017</v>
          </cell>
          <cell r="B787" t="str">
            <v>설의 의복_여성용</v>
          </cell>
        </row>
        <row r="788">
          <cell r="A788">
            <v>22265018</v>
          </cell>
          <cell r="B788" t="str">
            <v>데브림의 의복_남성용</v>
          </cell>
        </row>
        <row r="789">
          <cell r="A789">
            <v>22265019</v>
          </cell>
          <cell r="B789" t="str">
            <v>티몬의 의복_남성용</v>
          </cell>
        </row>
        <row r="790">
          <cell r="A790">
            <v>22265020</v>
          </cell>
          <cell r="B790" t="str">
            <v>불카니코의 의복_남성용</v>
          </cell>
        </row>
        <row r="791">
          <cell r="A791">
            <v>22265021</v>
          </cell>
          <cell r="B791" t="str">
            <v>와만의 의복_남성용</v>
          </cell>
        </row>
        <row r="792">
          <cell r="A792">
            <v>22265022</v>
          </cell>
          <cell r="B792" t="str">
            <v>군투르의 의복_남성용</v>
          </cell>
        </row>
        <row r="793">
          <cell r="A793">
            <v>22265023</v>
          </cell>
          <cell r="B793" t="str">
            <v>시씬과크의 의복_남성용</v>
          </cell>
        </row>
        <row r="794">
          <cell r="A794">
            <v>22265024</v>
          </cell>
          <cell r="B794" t="str">
            <v>타마의 의복_남성용</v>
          </cell>
        </row>
        <row r="795">
          <cell r="A795">
            <v>22265025</v>
          </cell>
          <cell r="B795" t="str">
            <v>오나쓰의 의복_여성용</v>
          </cell>
        </row>
        <row r="796">
          <cell r="A796">
            <v>22265026</v>
          </cell>
          <cell r="B796" t="str">
            <v>아델리나의 의복_여성용</v>
          </cell>
        </row>
        <row r="797">
          <cell r="A797">
            <v>22265027</v>
          </cell>
          <cell r="B797" t="str">
            <v>완다의 의복_여성용</v>
          </cell>
        </row>
        <row r="798">
          <cell r="A798">
            <v>22265028</v>
          </cell>
          <cell r="B798" t="str">
            <v>예루마의 의복_여성용</v>
          </cell>
        </row>
        <row r="799">
          <cell r="A799">
            <v>22265029</v>
          </cell>
          <cell r="B799" t="str">
            <v>엘레느의 의복_여성용</v>
          </cell>
        </row>
        <row r="800">
          <cell r="A800">
            <v>22265030</v>
          </cell>
          <cell r="B800" t="str">
            <v>나탈리의 의복_여성용</v>
          </cell>
        </row>
        <row r="801">
          <cell r="A801">
            <v>22265031</v>
          </cell>
          <cell r="B801" t="str">
            <v>티티스의 의복_여성용</v>
          </cell>
        </row>
        <row r="802">
          <cell r="A802">
            <v>22265033</v>
          </cell>
          <cell r="B802" t="str">
            <v>스트라이프 드레스_여성용</v>
          </cell>
        </row>
        <row r="803">
          <cell r="A803">
            <v>22265034</v>
          </cell>
          <cell r="B803" t="str">
            <v>코르넬리아의 의복_여성용</v>
          </cell>
        </row>
        <row r="804">
          <cell r="A804">
            <v>22265035</v>
          </cell>
          <cell r="B804" t="str">
            <v>아이셀의 의복_여성용</v>
          </cell>
        </row>
        <row r="805">
          <cell r="A805">
            <v>22265036</v>
          </cell>
          <cell r="B805" t="str">
            <v>잔수의 의복_여성용</v>
          </cell>
        </row>
        <row r="806">
          <cell r="A806">
            <v>22265037</v>
          </cell>
          <cell r="B806" t="str">
            <v>루도의 의복_여성용</v>
          </cell>
        </row>
        <row r="807">
          <cell r="A807">
            <v>22265038</v>
          </cell>
          <cell r="B807" t="str">
            <v>아난드의 의복_여성용</v>
          </cell>
        </row>
        <row r="808">
          <cell r="A808">
            <v>22265039</v>
          </cell>
          <cell r="B808" t="str">
            <v>잉게보르크의 의복_여성용</v>
          </cell>
        </row>
        <row r="809">
          <cell r="A809">
            <v>22265040</v>
          </cell>
          <cell r="B809" t="str">
            <v>켈레벡의 의복_여성용</v>
          </cell>
        </row>
        <row r="810">
          <cell r="A810">
            <v>22265041</v>
          </cell>
          <cell r="B810" t="str">
            <v>울로리악의 의복_여성용</v>
          </cell>
        </row>
        <row r="811">
          <cell r="A811">
            <v>22265042</v>
          </cell>
          <cell r="B811" t="str">
            <v>리리안의 의복_여성용</v>
          </cell>
        </row>
        <row r="812">
          <cell r="A812">
            <v>22265043</v>
          </cell>
          <cell r="B812" t="str">
            <v>프릴 드레스_여성용</v>
          </cell>
        </row>
        <row r="813">
          <cell r="A813">
            <v>22265044</v>
          </cell>
          <cell r="B813" t="str">
            <v>플로라의 의복_여성용</v>
          </cell>
        </row>
        <row r="814">
          <cell r="A814">
            <v>22265046</v>
          </cell>
          <cell r="B814" t="str">
            <v>사라이의 엔타리_여성용</v>
          </cell>
        </row>
        <row r="815">
          <cell r="A815">
            <v>22265047</v>
          </cell>
          <cell r="B815" t="str">
            <v>하디의 의복_여성용</v>
          </cell>
        </row>
        <row r="816">
          <cell r="A816">
            <v>22265048</v>
          </cell>
          <cell r="B816" t="str">
            <v>베리사의 의복_여성용</v>
          </cell>
        </row>
        <row r="817">
          <cell r="A817">
            <v>22265049</v>
          </cell>
          <cell r="B817" t="str">
            <v>사파의 의복_여성용</v>
          </cell>
        </row>
        <row r="818">
          <cell r="A818">
            <v>22265050</v>
          </cell>
          <cell r="B818" t="str">
            <v>아멜리아의 의복_여성용</v>
          </cell>
        </row>
        <row r="819">
          <cell r="A819">
            <v>22265051</v>
          </cell>
          <cell r="B819" t="str">
            <v>이사벨의 의복_여성용</v>
          </cell>
        </row>
        <row r="820">
          <cell r="A820">
            <v>22265052</v>
          </cell>
          <cell r="B820" t="str">
            <v>쿤티의 의복_여성용</v>
          </cell>
        </row>
        <row r="821">
          <cell r="A821">
            <v>22265053</v>
          </cell>
          <cell r="B821" t="str">
            <v>하토라의 의복_여성용</v>
          </cell>
        </row>
        <row r="822">
          <cell r="A822">
            <v>22265054</v>
          </cell>
          <cell r="B822" t="str">
            <v>미화의 의복_여성용</v>
          </cell>
        </row>
        <row r="823">
          <cell r="A823">
            <v>22265055</v>
          </cell>
          <cell r="B823" t="str">
            <v>아냐의 의복_여성용</v>
          </cell>
        </row>
        <row r="824">
          <cell r="A824">
            <v>22265056</v>
          </cell>
          <cell r="B824" t="str">
            <v>지아나의 의복_여성용</v>
          </cell>
        </row>
        <row r="825">
          <cell r="A825">
            <v>22265057</v>
          </cell>
          <cell r="B825" t="str">
            <v>테레사의 의복_여성용</v>
          </cell>
        </row>
        <row r="826">
          <cell r="A826">
            <v>22265058</v>
          </cell>
          <cell r="B826" t="str">
            <v>뮤리네의 의복_여성용</v>
          </cell>
        </row>
        <row r="827">
          <cell r="A827">
            <v>22265059</v>
          </cell>
          <cell r="B827" t="str">
            <v>실비아의 의복_여성용</v>
          </cell>
        </row>
        <row r="828">
          <cell r="A828">
            <v>22265060</v>
          </cell>
          <cell r="B828" t="str">
            <v>아세네트의 의복_여성용</v>
          </cell>
        </row>
        <row r="829">
          <cell r="A829">
            <v>22265061</v>
          </cell>
          <cell r="B829" t="str">
            <v>제바히르의 의복_여성용</v>
          </cell>
        </row>
        <row r="830">
          <cell r="A830">
            <v>22265062</v>
          </cell>
          <cell r="B830" t="str">
            <v>엘리프의 의복_여성용</v>
          </cell>
        </row>
        <row r="831">
          <cell r="A831">
            <v>22265063</v>
          </cell>
          <cell r="B831" t="str">
            <v>가더의 의복_여성용</v>
          </cell>
        </row>
        <row r="832">
          <cell r="A832">
            <v>22265064</v>
          </cell>
          <cell r="B832" t="str">
            <v>인두마티의 의복_여성용</v>
          </cell>
        </row>
        <row r="833">
          <cell r="A833">
            <v>22265065</v>
          </cell>
          <cell r="B833" t="str">
            <v>말리날리의 의복_여성용</v>
          </cell>
        </row>
        <row r="834">
          <cell r="A834">
            <v>22265066</v>
          </cell>
          <cell r="B834" t="str">
            <v>상경의 의복_여성용</v>
          </cell>
        </row>
        <row r="835">
          <cell r="A835">
            <v>22265067</v>
          </cell>
          <cell r="B835" t="str">
            <v>청린의 의복_여성용</v>
          </cell>
        </row>
        <row r="836">
          <cell r="A836">
            <v>22265068</v>
          </cell>
          <cell r="B836" t="str">
            <v>가은정의 의복_여성용</v>
          </cell>
        </row>
        <row r="837">
          <cell r="A837">
            <v>22265069</v>
          </cell>
          <cell r="B837" t="str">
            <v>타츠마루의 의복_여성용</v>
          </cell>
        </row>
        <row r="838">
          <cell r="A838">
            <v>22265070</v>
          </cell>
          <cell r="B838" t="str">
            <v>치트랄리의 의복_여성용</v>
          </cell>
        </row>
        <row r="839">
          <cell r="A839">
            <v>22265071</v>
          </cell>
          <cell r="B839" t="str">
            <v>연희의 의복_여성용</v>
          </cell>
        </row>
        <row r="840">
          <cell r="A840">
            <v>22265072</v>
          </cell>
          <cell r="B840" t="str">
            <v>스틴의 의복_여성용</v>
          </cell>
        </row>
        <row r="841">
          <cell r="A841">
            <v>22265073</v>
          </cell>
          <cell r="B841" t="str">
            <v>자령의 의복_여성용</v>
          </cell>
        </row>
        <row r="842">
          <cell r="A842">
            <v>22265074</v>
          </cell>
          <cell r="B842" t="str">
            <v>클라우디아의 의복_여성용</v>
          </cell>
        </row>
        <row r="843">
          <cell r="A843">
            <v>22265075</v>
          </cell>
          <cell r="B843" t="str">
            <v>메레의 의복_여성용</v>
          </cell>
        </row>
        <row r="844">
          <cell r="A844">
            <v>22265076</v>
          </cell>
          <cell r="B844" t="str">
            <v>푸르나마의 의복_여성용</v>
          </cell>
        </row>
        <row r="845">
          <cell r="A845">
            <v>22265077</v>
          </cell>
          <cell r="B845" t="str">
            <v>수니타의 의복_여성용</v>
          </cell>
        </row>
        <row r="846">
          <cell r="A846">
            <v>22265078</v>
          </cell>
          <cell r="B846" t="str">
            <v>예바의 의복_여성용</v>
          </cell>
        </row>
        <row r="847">
          <cell r="A847">
            <v>22265079</v>
          </cell>
          <cell r="B847" t="str">
            <v>네일리의 의복_여성용</v>
          </cell>
        </row>
        <row r="848">
          <cell r="A848">
            <v>22265080</v>
          </cell>
          <cell r="B848" t="str">
            <v>타마야의 의복_여성용</v>
          </cell>
        </row>
        <row r="849">
          <cell r="A849">
            <v>22265081</v>
          </cell>
          <cell r="B849" t="str">
            <v>돌로리스의 의복_여성용</v>
          </cell>
        </row>
        <row r="850">
          <cell r="A850">
            <v>22265083</v>
          </cell>
          <cell r="B850" t="str">
            <v>니타의 의복_여성용</v>
          </cell>
        </row>
        <row r="851">
          <cell r="A851">
            <v>22265084</v>
          </cell>
          <cell r="B851" t="str">
            <v>루치아의 의복_여성용</v>
          </cell>
        </row>
        <row r="852">
          <cell r="A852">
            <v>22265085</v>
          </cell>
          <cell r="B852" t="str">
            <v>안나의 의복_여성용</v>
          </cell>
        </row>
        <row r="853">
          <cell r="A853">
            <v>22265086</v>
          </cell>
          <cell r="B853" t="str">
            <v>라디아의 의복_여성용</v>
          </cell>
        </row>
        <row r="854">
          <cell r="A854">
            <v>22265087</v>
          </cell>
          <cell r="B854" t="str">
            <v>마틸다의 의복_여성용</v>
          </cell>
        </row>
        <row r="855">
          <cell r="A855">
            <v>22265089</v>
          </cell>
          <cell r="B855" t="str">
            <v>아르드비의 의복_여성용</v>
          </cell>
        </row>
        <row r="856">
          <cell r="A856">
            <v>22265091</v>
          </cell>
          <cell r="B856" t="str">
            <v>남혜의 의복_여성용</v>
          </cell>
        </row>
        <row r="857">
          <cell r="A857">
            <v>22265092</v>
          </cell>
          <cell r="B857" t="str">
            <v>아니사의 의복_여성용</v>
          </cell>
        </row>
        <row r="858">
          <cell r="A858">
            <v>22271001</v>
          </cell>
          <cell r="B858" t="str">
            <v>경극 의상</v>
          </cell>
        </row>
        <row r="859">
          <cell r="A859">
            <v>22271004</v>
          </cell>
          <cell r="B859" t="str">
            <v>귀부인의 드레스</v>
          </cell>
        </row>
        <row r="860">
          <cell r="A860">
            <v>22271005</v>
          </cell>
          <cell r="B860" t="str">
            <v>바다 민족의 갑옷</v>
          </cell>
        </row>
        <row r="861">
          <cell r="A861">
            <v>22272001</v>
          </cell>
          <cell r="B861" t="str">
            <v>선녀의 무용복_여성용</v>
          </cell>
        </row>
        <row r="862">
          <cell r="A862">
            <v>22272003</v>
          </cell>
          <cell r="B862" t="str">
            <v>파이완 민족의상</v>
          </cell>
        </row>
        <row r="863">
          <cell r="A863">
            <v>22272005</v>
          </cell>
          <cell r="B863" t="str">
            <v>수습 대장장이의 갑옷</v>
          </cell>
        </row>
        <row r="864">
          <cell r="A864">
            <v>22273001</v>
          </cell>
          <cell r="B864" t="str">
            <v>관두의</v>
          </cell>
        </row>
        <row r="865">
          <cell r="A865">
            <v>22273004</v>
          </cell>
          <cell r="B865" t="str">
            <v>테오도라의 무용 의상_여성용</v>
          </cell>
        </row>
        <row r="866">
          <cell r="A866">
            <v>22273005</v>
          </cell>
          <cell r="B866" t="str">
            <v>빙하 선단의 갑옷</v>
          </cell>
        </row>
        <row r="867">
          <cell r="A867">
            <v>22273007</v>
          </cell>
          <cell r="B867" t="str">
            <v>붉은 산호섬의 경장</v>
          </cell>
        </row>
        <row r="868">
          <cell r="A868">
            <v>22273009</v>
          </cell>
          <cell r="B868" t="str">
            <v>상단 연합의 단복</v>
          </cell>
        </row>
        <row r="869">
          <cell r="A869">
            <v>22274001</v>
          </cell>
          <cell r="B869" t="str">
            <v>사자왕의 갑옷</v>
          </cell>
        </row>
        <row r="870">
          <cell r="A870">
            <v>22274005</v>
          </cell>
          <cell r="B870" t="str">
            <v>성왕 갑옷</v>
          </cell>
        </row>
        <row r="871">
          <cell r="A871">
            <v>22274009</v>
          </cell>
          <cell r="B871" t="str">
            <v>템플기사단장의 갑옷</v>
          </cell>
        </row>
        <row r="872">
          <cell r="A872">
            <v>22274013</v>
          </cell>
          <cell r="B872" t="str">
            <v>데메트리오스 1세의 갑옷</v>
          </cell>
        </row>
        <row r="873">
          <cell r="A873">
            <v>22274015</v>
          </cell>
          <cell r="B873" t="str">
            <v>에파미논다스의 갑옷</v>
          </cell>
        </row>
        <row r="874">
          <cell r="A874">
            <v>22274017</v>
          </cell>
          <cell r="B874" t="str">
            <v>북해 연합의 갑옷</v>
          </cell>
        </row>
        <row r="875">
          <cell r="A875">
            <v>22274019</v>
          </cell>
          <cell r="B875" t="str">
            <v>진주섬의 경장</v>
          </cell>
        </row>
        <row r="876">
          <cell r="A876">
            <v>22274021</v>
          </cell>
          <cell r="B876" t="str">
            <v>폭풍 선단의 단복</v>
          </cell>
        </row>
        <row r="877">
          <cell r="A877">
            <v>22283001</v>
          </cell>
          <cell r="B877" t="str">
            <v>달맞이 저고리_남성용</v>
          </cell>
        </row>
        <row r="878">
          <cell r="A878">
            <v>22283002</v>
          </cell>
          <cell r="B878" t="str">
            <v>달맞이 색동저고리_여성용</v>
          </cell>
        </row>
        <row r="879">
          <cell r="A879">
            <v>22311001</v>
          </cell>
          <cell r="B879" t="str">
            <v>바르부타</v>
          </cell>
        </row>
        <row r="880">
          <cell r="A880">
            <v>22311003</v>
          </cell>
          <cell r="B880" t="str">
            <v>진립</v>
          </cell>
        </row>
        <row r="881">
          <cell r="A881">
            <v>22311005</v>
          </cell>
          <cell r="B881" t="str">
            <v>레더 헬름</v>
          </cell>
        </row>
        <row r="882">
          <cell r="A882">
            <v>22311007</v>
          </cell>
          <cell r="B882" t="str">
            <v>갬비슨 코이프</v>
          </cell>
        </row>
        <row r="883">
          <cell r="A883">
            <v>22311009</v>
          </cell>
          <cell r="B883" t="str">
            <v>터번</v>
          </cell>
        </row>
        <row r="884">
          <cell r="A884">
            <v>22311011</v>
          </cell>
          <cell r="B884" t="str">
            <v>키파</v>
          </cell>
        </row>
        <row r="885">
          <cell r="A885">
            <v>22311013</v>
          </cell>
          <cell r="B885" t="str">
            <v>두건</v>
          </cell>
        </row>
        <row r="886">
          <cell r="A886">
            <v>22311015</v>
          </cell>
          <cell r="B886" t="str">
            <v>야우투</v>
          </cell>
        </row>
        <row r="887">
          <cell r="A887">
            <v>22311017</v>
          </cell>
          <cell r="B887" t="str">
            <v>스콜라 콘 햇</v>
          </cell>
        </row>
        <row r="888">
          <cell r="A888">
            <v>22311019</v>
          </cell>
          <cell r="B888" t="str">
            <v>감시자의 두건</v>
          </cell>
        </row>
        <row r="889">
          <cell r="A889">
            <v>22311021</v>
          </cell>
          <cell r="B889" t="str">
            <v>견습 모험가의 모자</v>
          </cell>
        </row>
        <row r="890">
          <cell r="A890">
            <v>22311023</v>
          </cell>
          <cell r="B890" t="str">
            <v>상단 용병의 두건</v>
          </cell>
        </row>
        <row r="891">
          <cell r="A891">
            <v>22311025</v>
          </cell>
          <cell r="B891" t="str">
            <v>밀라노식 투구</v>
          </cell>
        </row>
        <row r="892">
          <cell r="A892">
            <v>22311027</v>
          </cell>
          <cell r="B892" t="str">
            <v>버킷 헬름</v>
          </cell>
        </row>
        <row r="893">
          <cell r="A893">
            <v>22312001</v>
          </cell>
          <cell r="B893" t="str">
            <v>찰갑두회</v>
          </cell>
        </row>
        <row r="894">
          <cell r="A894">
            <v>22312003</v>
          </cell>
          <cell r="B894" t="str">
            <v>옴</v>
          </cell>
        </row>
        <row r="895">
          <cell r="A895">
            <v>22312005</v>
          </cell>
          <cell r="B895" t="str">
            <v>후드</v>
          </cell>
        </row>
        <row r="896">
          <cell r="A896">
            <v>22312007</v>
          </cell>
          <cell r="B896" t="str">
            <v>의사 모자</v>
          </cell>
        </row>
        <row r="897">
          <cell r="A897">
            <v>22312009</v>
          </cell>
          <cell r="B897" t="str">
            <v>패랭이_남성용</v>
          </cell>
        </row>
        <row r="898">
          <cell r="A898">
            <v>22312010</v>
          </cell>
          <cell r="B898" t="str">
            <v>배씨댕기_여성용</v>
          </cell>
        </row>
        <row r="899">
          <cell r="A899">
            <v>22312011</v>
          </cell>
          <cell r="B899" t="str">
            <v>텡콜록_남성용</v>
          </cell>
        </row>
        <row r="900">
          <cell r="A900">
            <v>22312012</v>
          </cell>
          <cell r="B900" t="str">
            <v>메이드 캡_여성용</v>
          </cell>
        </row>
        <row r="901">
          <cell r="A901">
            <v>22312013</v>
          </cell>
          <cell r="B901" t="str">
            <v>삿갓</v>
          </cell>
        </row>
        <row r="902">
          <cell r="A902">
            <v>22312014</v>
          </cell>
          <cell r="B902" t="str">
            <v>빈티지 베일_여성용</v>
          </cell>
        </row>
        <row r="903">
          <cell r="A903">
            <v>22312015</v>
          </cell>
          <cell r="B903" t="str">
            <v>하즈 터번</v>
          </cell>
        </row>
        <row r="904">
          <cell r="A904">
            <v>22312016</v>
          </cell>
          <cell r="B904" t="str">
            <v>프릴 헤어 밴드_여성용</v>
          </cell>
        </row>
        <row r="905">
          <cell r="A905">
            <v>22312017</v>
          </cell>
          <cell r="B905" t="str">
            <v>무역 상인의 모자</v>
          </cell>
        </row>
        <row r="906">
          <cell r="A906">
            <v>22312019</v>
          </cell>
          <cell r="B906" t="str">
            <v>모험 용병의 보호구</v>
          </cell>
        </row>
        <row r="907">
          <cell r="A907">
            <v>22312021</v>
          </cell>
          <cell r="B907" t="str">
            <v>몰락 귀족의 모자</v>
          </cell>
        </row>
        <row r="908">
          <cell r="A908">
            <v>22312023</v>
          </cell>
          <cell r="B908" t="str">
            <v>부족 전사의 투구</v>
          </cell>
        </row>
        <row r="909">
          <cell r="A909">
            <v>22312025</v>
          </cell>
          <cell r="B909" t="str">
            <v>에롤의 실험 투구</v>
          </cell>
        </row>
        <row r="910">
          <cell r="A910">
            <v>22312027</v>
          </cell>
          <cell r="B910" t="str">
            <v>상단 호위병의 투구</v>
          </cell>
        </row>
        <row r="911">
          <cell r="A911">
            <v>22323001</v>
          </cell>
          <cell r="B911" t="str">
            <v>뤽스 터번</v>
          </cell>
        </row>
        <row r="912">
          <cell r="A912">
            <v>22323003</v>
          </cell>
          <cell r="B912" t="str">
            <v>파수꾼의 트라이콘</v>
          </cell>
        </row>
        <row r="913">
          <cell r="A913">
            <v>22323005</v>
          </cell>
          <cell r="B913" t="str">
            <v>다리우스 3세의 투구</v>
          </cell>
        </row>
        <row r="914">
          <cell r="A914">
            <v>22323007</v>
          </cell>
          <cell r="B914" t="str">
            <v>비르카 라멜라 헬름</v>
          </cell>
        </row>
        <row r="915">
          <cell r="A915">
            <v>22323009</v>
          </cell>
          <cell r="B915" t="str">
            <v>제마아트의 뵈르크</v>
          </cell>
        </row>
        <row r="916">
          <cell r="A916">
            <v>22323011</v>
          </cell>
          <cell r="B916" t="str">
            <v>에스파다친의 모리온</v>
          </cell>
        </row>
        <row r="917">
          <cell r="A917">
            <v>22323013</v>
          </cell>
          <cell r="B917" t="str">
            <v>군용 베레</v>
          </cell>
        </row>
        <row r="918">
          <cell r="A918">
            <v>22323014</v>
          </cell>
          <cell r="B918" t="str">
            <v>전모_여성용</v>
          </cell>
        </row>
        <row r="919">
          <cell r="A919">
            <v>22323015</v>
          </cell>
          <cell r="B919" t="str">
            <v>바르바리 해적의 터번</v>
          </cell>
        </row>
        <row r="920">
          <cell r="A920">
            <v>22323017</v>
          </cell>
          <cell r="B920" t="str">
            <v>탑 햇</v>
          </cell>
        </row>
        <row r="921">
          <cell r="A921">
            <v>22323019</v>
          </cell>
          <cell r="B921" t="str">
            <v>호병포면주</v>
          </cell>
        </row>
        <row r="922">
          <cell r="A922">
            <v>22324001</v>
          </cell>
          <cell r="B922" t="str">
            <v>제사장의 아데_남성용</v>
          </cell>
        </row>
        <row r="923">
          <cell r="A923">
            <v>22324002</v>
          </cell>
          <cell r="B923" t="str">
            <v>제사장의 서클릿_여성용</v>
          </cell>
        </row>
        <row r="924">
          <cell r="A924">
            <v>22324003</v>
          </cell>
          <cell r="B924" t="str">
            <v>세크반의 터번_남성용</v>
          </cell>
        </row>
        <row r="925">
          <cell r="A925">
            <v>22324004</v>
          </cell>
          <cell r="B925" t="str">
            <v>아미나의 알라쇼_여성용</v>
          </cell>
        </row>
        <row r="926">
          <cell r="A926">
            <v>22324005</v>
          </cell>
          <cell r="B926" t="str">
            <v>시샤크 후사르자</v>
          </cell>
        </row>
        <row r="927">
          <cell r="A927">
            <v>22324007</v>
          </cell>
          <cell r="B927" t="str">
            <v>아유타야 무어끼어</v>
          </cell>
        </row>
        <row r="928">
          <cell r="A928">
            <v>22324009</v>
          </cell>
          <cell r="B928" t="str">
            <v>배서닛</v>
          </cell>
        </row>
        <row r="929">
          <cell r="A929">
            <v>22324011</v>
          </cell>
          <cell r="B929" t="str">
            <v>장관의 트라이콘</v>
          </cell>
        </row>
        <row r="930">
          <cell r="A930">
            <v>22324013</v>
          </cell>
          <cell r="B930" t="str">
            <v>투이가</v>
          </cell>
        </row>
        <row r="931">
          <cell r="A931">
            <v>22324015</v>
          </cell>
          <cell r="B931" t="str">
            <v>검은 남작의 트라이콘</v>
          </cell>
        </row>
        <row r="932">
          <cell r="A932">
            <v>22324017</v>
          </cell>
          <cell r="B932" t="str">
            <v>바이킹 헬름</v>
          </cell>
        </row>
        <row r="933">
          <cell r="A933">
            <v>22324019</v>
          </cell>
          <cell r="B933" t="str">
            <v>무스케테르의 샤포_남성용</v>
          </cell>
        </row>
        <row r="934">
          <cell r="A934">
            <v>22324020</v>
          </cell>
          <cell r="B934" t="str">
            <v>라 포맹의 샤포_여성용</v>
          </cell>
        </row>
        <row r="935">
          <cell r="A935">
            <v>22324021</v>
          </cell>
          <cell r="B935" t="str">
            <v>해적 부선장의 반다나</v>
          </cell>
        </row>
        <row r="936">
          <cell r="A936">
            <v>22324023</v>
          </cell>
          <cell r="B936" t="str">
            <v>듀얼리스트의 모자</v>
          </cell>
        </row>
        <row r="937">
          <cell r="A937">
            <v>22324025</v>
          </cell>
          <cell r="B937" t="str">
            <v>그리니치 헬름</v>
          </cell>
        </row>
        <row r="938">
          <cell r="A938">
            <v>22324027</v>
          </cell>
          <cell r="B938" t="str">
            <v>캐벌리어의 모자</v>
          </cell>
        </row>
        <row r="939">
          <cell r="A939">
            <v>22324029</v>
          </cell>
          <cell r="B939" t="str">
            <v>부카니에의 샤포</v>
          </cell>
        </row>
        <row r="940">
          <cell r="A940">
            <v>22324031</v>
          </cell>
          <cell r="B940" t="str">
            <v>조커의 투구</v>
          </cell>
        </row>
        <row r="941">
          <cell r="A941">
            <v>22324033</v>
          </cell>
          <cell r="B941" t="str">
            <v>카이사르의 투구</v>
          </cell>
        </row>
        <row r="942">
          <cell r="A942">
            <v>22324035</v>
          </cell>
          <cell r="B942" t="str">
            <v>아슬란 쿠드_남성용</v>
          </cell>
        </row>
        <row r="943">
          <cell r="A943">
            <v>22324036</v>
          </cell>
          <cell r="B943" t="str">
            <v>프리마 돈나 칠라타_여성용</v>
          </cell>
        </row>
        <row r="944">
          <cell r="A944">
            <v>22325001</v>
          </cell>
          <cell r="B944" t="str">
            <v>망령 제독의 트라이콘_남성용</v>
          </cell>
        </row>
        <row r="945">
          <cell r="A945">
            <v>22325003</v>
          </cell>
          <cell r="B945" t="str">
            <v>갑사죽립_남성용</v>
          </cell>
        </row>
        <row r="946">
          <cell r="A946">
            <v>22325005</v>
          </cell>
          <cell r="B946" t="str">
            <v>파라슈라마의 쉬르스트란_남성용</v>
          </cell>
        </row>
        <row r="947">
          <cell r="A947">
            <v>22325006</v>
          </cell>
          <cell r="B947" t="str">
            <v>파라슈라마의 쉬르스트란_여성용</v>
          </cell>
        </row>
        <row r="948">
          <cell r="A948">
            <v>22325007</v>
          </cell>
          <cell r="B948" t="str">
            <v>카르나의 쉬르스트란_남성용</v>
          </cell>
        </row>
        <row r="949">
          <cell r="A949">
            <v>22325009</v>
          </cell>
          <cell r="B949" t="str">
            <v>호지조두_남성용</v>
          </cell>
        </row>
        <row r="950">
          <cell r="A950">
            <v>22325010</v>
          </cell>
          <cell r="B950" t="str">
            <v>뇌신두_여성용</v>
          </cell>
        </row>
        <row r="951">
          <cell r="A951">
            <v>22325011</v>
          </cell>
          <cell r="B951" t="str">
            <v>베어스킨</v>
          </cell>
        </row>
        <row r="952">
          <cell r="A952">
            <v>22325013</v>
          </cell>
          <cell r="B952" t="str">
            <v>몬테라_남성용</v>
          </cell>
        </row>
        <row r="953">
          <cell r="A953">
            <v>22325015</v>
          </cell>
          <cell r="B953" t="str">
            <v>라마 수카라의 토미_남성용</v>
          </cell>
        </row>
        <row r="954">
          <cell r="A954">
            <v>22325017</v>
          </cell>
          <cell r="B954" t="str">
            <v>홀리 플레이트 헬름_남성용</v>
          </cell>
        </row>
        <row r="955">
          <cell r="A955">
            <v>22325019</v>
          </cell>
          <cell r="B955" t="str">
            <v>검은 수염의 트라이콘_남성용</v>
          </cell>
        </row>
        <row r="956">
          <cell r="A956">
            <v>22325021</v>
          </cell>
          <cell r="B956" t="str">
            <v>금의사모_남성용</v>
          </cell>
        </row>
        <row r="957">
          <cell r="A957">
            <v>22325023</v>
          </cell>
          <cell r="B957" t="str">
            <v>마르크스브뤼더의 후트_남성용</v>
          </cell>
        </row>
        <row r="958">
          <cell r="A958">
            <v>22325025</v>
          </cell>
          <cell r="B958" t="str">
            <v>성기사의 투구_남성용</v>
          </cell>
        </row>
        <row r="959">
          <cell r="A959">
            <v>22325027</v>
          </cell>
          <cell r="B959" t="str">
            <v>인드라지트의 반다나_남성용</v>
          </cell>
        </row>
        <row r="960">
          <cell r="A960">
            <v>22325029</v>
          </cell>
          <cell r="B960" t="str">
            <v>레타리우스의 헬름</v>
          </cell>
        </row>
        <row r="961">
          <cell r="A961">
            <v>22325031</v>
          </cell>
          <cell r="B961" t="str">
            <v>하이레딘의 카바치_남성용</v>
          </cell>
        </row>
        <row r="962">
          <cell r="A962">
            <v>22325033</v>
          </cell>
          <cell r="B962" t="str">
            <v>엘 드라케 헬름</v>
          </cell>
        </row>
        <row r="963">
          <cell r="A963">
            <v>22325035</v>
          </cell>
          <cell r="B963" t="str">
            <v>보야르의 실렘</v>
          </cell>
        </row>
        <row r="964">
          <cell r="A964">
            <v>22326001</v>
          </cell>
          <cell r="B964" t="str">
            <v>나타라자의 만달라_남성용</v>
          </cell>
        </row>
        <row r="965">
          <cell r="A965">
            <v>22326003</v>
          </cell>
          <cell r="B965" t="str">
            <v>아하디스의 쉬르스트란_남성용</v>
          </cell>
        </row>
        <row r="966">
          <cell r="A966">
            <v>22326005</v>
          </cell>
          <cell r="B966" t="str">
            <v>우이칠린 콰칼라래틀리_남성용</v>
          </cell>
        </row>
        <row r="967">
          <cell r="A967">
            <v>22326007</v>
          </cell>
          <cell r="B967" t="str">
            <v>페르디난트 2세의 아멧_남성용</v>
          </cell>
        </row>
        <row r="968">
          <cell r="A968">
            <v>22326009</v>
          </cell>
          <cell r="B968" t="str">
            <v>제육천마왕두_남성용</v>
          </cell>
        </row>
        <row r="969">
          <cell r="A969">
            <v>22326011</v>
          </cell>
          <cell r="B969" t="str">
            <v>토피 바자_남성용</v>
          </cell>
        </row>
        <row r="970">
          <cell r="A970">
            <v>22326013</v>
          </cell>
          <cell r="B970" t="str">
            <v>벨레스의 디아데마_남성용</v>
          </cell>
        </row>
        <row r="971">
          <cell r="A971">
            <v>22326015</v>
          </cell>
          <cell r="B971" t="str">
            <v>라지푸트 파그리_남성용</v>
          </cell>
        </row>
        <row r="972">
          <cell r="A972">
            <v>22326017</v>
          </cell>
          <cell r="B972" t="str">
            <v>롤랑의 카스크_남성용</v>
          </cell>
        </row>
        <row r="973">
          <cell r="A973">
            <v>22326019</v>
          </cell>
          <cell r="B973" t="str">
            <v>임페리얼 헬름_남성용</v>
          </cell>
        </row>
        <row r="974">
          <cell r="A974">
            <v>22326021</v>
          </cell>
          <cell r="B974" t="str">
            <v>선전무전속발관_남성용</v>
          </cell>
        </row>
        <row r="975">
          <cell r="A975">
            <v>22326022</v>
          </cell>
          <cell r="B975" t="str">
            <v>폐월수화화관_여성용</v>
          </cell>
        </row>
        <row r="976">
          <cell r="A976">
            <v>22326023</v>
          </cell>
          <cell r="B976" t="str">
            <v>모드레드의 헬름_남성용</v>
          </cell>
        </row>
        <row r="977">
          <cell r="A977">
            <v>22326025</v>
          </cell>
          <cell r="B977" t="str">
            <v>골든 드래곤 헬름_남성용</v>
          </cell>
        </row>
        <row r="978">
          <cell r="A978">
            <v>22326027</v>
          </cell>
          <cell r="B978" t="str">
            <v>어우락 몽꾹_남성용</v>
          </cell>
        </row>
        <row r="979">
          <cell r="A979">
            <v>22326029</v>
          </cell>
          <cell r="B979" t="str">
            <v>쿠 훌린의 헬름_남성용</v>
          </cell>
        </row>
        <row r="980">
          <cell r="A980">
            <v>22326031</v>
          </cell>
          <cell r="B980" t="str">
            <v>코르노 델디아볼로_남성용</v>
          </cell>
        </row>
        <row r="981">
          <cell r="A981">
            <v>22326033</v>
          </cell>
          <cell r="B981" t="str">
            <v>네메안 라이언_남성용</v>
          </cell>
        </row>
        <row r="982">
          <cell r="A982">
            <v>22326035</v>
          </cell>
          <cell r="B982" t="str">
            <v>야른삭사의 헬름_남성용</v>
          </cell>
        </row>
        <row r="983">
          <cell r="A983">
            <v>22333001</v>
          </cell>
          <cell r="B983" t="str">
            <v>이츠나코치틀리</v>
          </cell>
        </row>
        <row r="984">
          <cell r="A984">
            <v>22333003</v>
          </cell>
          <cell r="B984" t="str">
            <v>데니지의 터번</v>
          </cell>
        </row>
        <row r="985">
          <cell r="A985">
            <v>22333005</v>
          </cell>
          <cell r="B985" t="str">
            <v>세르블리에르</v>
          </cell>
        </row>
        <row r="986">
          <cell r="A986">
            <v>22333007</v>
          </cell>
          <cell r="B986" t="str">
            <v>비위크 터번</v>
          </cell>
        </row>
        <row r="987">
          <cell r="A987">
            <v>22333009</v>
          </cell>
          <cell r="B987" t="str">
            <v>철기면갑</v>
          </cell>
        </row>
        <row r="988">
          <cell r="A988">
            <v>22333011</v>
          </cell>
          <cell r="B988" t="str">
            <v>샤무아 레더 햇</v>
          </cell>
        </row>
        <row r="989">
          <cell r="A989">
            <v>22333013</v>
          </cell>
          <cell r="B989" t="str">
            <v>와치맨의 헤드밴드</v>
          </cell>
        </row>
        <row r="990">
          <cell r="A990">
            <v>22333015</v>
          </cell>
          <cell r="B990" t="str">
            <v>벨벳 보닛</v>
          </cell>
        </row>
        <row r="991">
          <cell r="A991">
            <v>22333017</v>
          </cell>
          <cell r="B991" t="str">
            <v>스컬캡</v>
          </cell>
        </row>
        <row r="992">
          <cell r="A992">
            <v>22333019</v>
          </cell>
          <cell r="B992" t="str">
            <v>청색포면주</v>
          </cell>
        </row>
        <row r="993">
          <cell r="A993">
            <v>22333021</v>
          </cell>
          <cell r="B993" t="str">
            <v>보스탄츠의 뵈르크</v>
          </cell>
        </row>
        <row r="994">
          <cell r="A994">
            <v>22333023</v>
          </cell>
          <cell r="B994" t="str">
            <v>켄투리 갈레아</v>
          </cell>
        </row>
        <row r="995">
          <cell r="A995">
            <v>22333025</v>
          </cell>
          <cell r="B995" t="str">
            <v>정자관_남성용</v>
          </cell>
        </row>
        <row r="996">
          <cell r="A996">
            <v>22333026</v>
          </cell>
          <cell r="B996" t="str">
            <v>여어잠_여성용</v>
          </cell>
        </row>
        <row r="997">
          <cell r="A997">
            <v>22333027</v>
          </cell>
          <cell r="B997" t="str">
            <v>가드맨 헬름</v>
          </cell>
        </row>
        <row r="998">
          <cell r="A998">
            <v>22333029</v>
          </cell>
          <cell r="B998" t="str">
            <v>트라이콘</v>
          </cell>
        </row>
        <row r="999">
          <cell r="A999">
            <v>22333031</v>
          </cell>
          <cell r="B999" t="str">
            <v>콰리의 야우투_남성용</v>
          </cell>
        </row>
        <row r="1000">
          <cell r="A1000">
            <v>22333032</v>
          </cell>
          <cell r="B1000" t="str">
            <v>와르미 몬테라_여성용</v>
          </cell>
        </row>
        <row r="1001">
          <cell r="A1001">
            <v>22333033</v>
          </cell>
          <cell r="B1001" t="str">
            <v>슬라빅 헬름</v>
          </cell>
        </row>
        <row r="1002">
          <cell r="A1002">
            <v>22333035</v>
          </cell>
          <cell r="B1002" t="str">
            <v>카울_남성용</v>
          </cell>
        </row>
        <row r="1003">
          <cell r="A1003">
            <v>22333036</v>
          </cell>
          <cell r="B1003" t="str">
            <v>윔플_여성용</v>
          </cell>
        </row>
        <row r="1004">
          <cell r="A1004">
            <v>22333037</v>
          </cell>
          <cell r="B1004" t="str">
            <v>가디언 헬름</v>
          </cell>
        </row>
        <row r="1005">
          <cell r="A1005">
            <v>22333039</v>
          </cell>
          <cell r="B1005" t="str">
            <v>사략 해적의 모자</v>
          </cell>
        </row>
        <row r="1006">
          <cell r="A1006">
            <v>22334001</v>
          </cell>
          <cell r="B1006" t="str">
            <v>페리위그 햇</v>
          </cell>
        </row>
        <row r="1007">
          <cell r="A1007">
            <v>22334003</v>
          </cell>
          <cell r="B1007" t="str">
            <v>카사도르의 플랫캡</v>
          </cell>
        </row>
        <row r="1008">
          <cell r="A1008">
            <v>22334005</v>
          </cell>
          <cell r="B1008" t="str">
            <v>근두</v>
          </cell>
        </row>
        <row r="1009">
          <cell r="A1009">
            <v>22334007</v>
          </cell>
          <cell r="B1009" t="str">
            <v>튜더 보닛</v>
          </cell>
        </row>
        <row r="1010">
          <cell r="A1010">
            <v>22334009</v>
          </cell>
          <cell r="B1010" t="str">
            <v>첨주</v>
          </cell>
        </row>
        <row r="1011">
          <cell r="A1011">
            <v>22334011</v>
          </cell>
          <cell r="B1011" t="str">
            <v>왕실 탐험가의 모자</v>
          </cell>
        </row>
        <row r="1012">
          <cell r="A1012">
            <v>22334013</v>
          </cell>
          <cell r="B1012" t="str">
            <v>터번 카스크_남성용</v>
          </cell>
        </row>
        <row r="1013">
          <cell r="A1013">
            <v>22334014</v>
          </cell>
          <cell r="B1013" t="str">
            <v>추축 상굴_여성용</v>
          </cell>
        </row>
        <row r="1014">
          <cell r="A1014">
            <v>22334015</v>
          </cell>
          <cell r="B1014" t="str">
            <v>슬라우치 햇</v>
          </cell>
        </row>
        <row r="1015">
          <cell r="A1015">
            <v>22334017</v>
          </cell>
          <cell r="B1015" t="str">
            <v>카르산의 트라이콘</v>
          </cell>
        </row>
        <row r="1016">
          <cell r="A1016">
            <v>22334019</v>
          </cell>
          <cell r="B1016" t="str">
            <v>어린주</v>
          </cell>
        </row>
        <row r="1017">
          <cell r="A1017">
            <v>22334021</v>
          </cell>
          <cell r="B1017" t="str">
            <v>제독의 바이콘</v>
          </cell>
        </row>
        <row r="1018">
          <cell r="A1018">
            <v>22334023</v>
          </cell>
          <cell r="B1018" t="str">
            <v>호국두무</v>
          </cell>
        </row>
        <row r="1019">
          <cell r="A1019">
            <v>22334025</v>
          </cell>
          <cell r="B1019" t="str">
            <v>쥬케토</v>
          </cell>
        </row>
        <row r="1020">
          <cell r="A1020">
            <v>22334027</v>
          </cell>
          <cell r="B1020" t="str">
            <v>익스큐셔너 헬름</v>
          </cell>
        </row>
        <row r="1021">
          <cell r="A1021">
            <v>22334029</v>
          </cell>
          <cell r="B1021" t="str">
            <v>우단전립</v>
          </cell>
        </row>
        <row r="1022">
          <cell r="A1022">
            <v>22334031</v>
          </cell>
          <cell r="B1022" t="str">
            <v>나르시스의 서클릿</v>
          </cell>
        </row>
        <row r="1023">
          <cell r="A1023">
            <v>22334033</v>
          </cell>
          <cell r="B1023" t="str">
            <v>요정의 투구</v>
          </cell>
        </row>
        <row r="1024">
          <cell r="A1024">
            <v>22334035</v>
          </cell>
          <cell r="B1024" t="str">
            <v>롤프가의 보닛_남성용</v>
          </cell>
        </row>
        <row r="1025">
          <cell r="A1025">
            <v>22334036</v>
          </cell>
          <cell r="B1025" t="str">
            <v>마토아카의 머리 장식_여성용</v>
          </cell>
        </row>
        <row r="1026">
          <cell r="A1026">
            <v>22334037</v>
          </cell>
          <cell r="B1026" t="str">
            <v>페르난도의 모자</v>
          </cell>
        </row>
        <row r="1027">
          <cell r="A1027">
            <v>22334039</v>
          </cell>
          <cell r="B1027" t="str">
            <v>명조 사모_남성용</v>
          </cell>
        </row>
        <row r="1028">
          <cell r="A1028">
            <v>22334040</v>
          </cell>
          <cell r="B1028" t="str">
            <v>엔데룬 터번_여성용</v>
          </cell>
        </row>
        <row r="1029">
          <cell r="A1029">
            <v>22335001</v>
          </cell>
          <cell r="B1029" t="str">
            <v>융복복건</v>
          </cell>
        </row>
        <row r="1030">
          <cell r="A1030">
            <v>22335003</v>
          </cell>
          <cell r="B1030" t="str">
            <v>검호의 심편립</v>
          </cell>
        </row>
        <row r="1031">
          <cell r="A1031">
            <v>22335005</v>
          </cell>
          <cell r="B1031" t="str">
            <v>콘도티에로의 엘모</v>
          </cell>
        </row>
        <row r="1032">
          <cell r="A1032">
            <v>22335007</v>
          </cell>
          <cell r="B1032" t="str">
            <v>참회왕의 크라운_남성용</v>
          </cell>
        </row>
        <row r="1033">
          <cell r="A1033">
            <v>22335009</v>
          </cell>
          <cell r="B1033" t="str">
            <v>반투간의 쿠피야_남성용</v>
          </cell>
        </row>
        <row r="1034">
          <cell r="A1034">
            <v>22335010</v>
          </cell>
          <cell r="B1034" t="str">
            <v>엘 레이 헬름_여성용</v>
          </cell>
        </row>
        <row r="1035">
          <cell r="A1035">
            <v>22335011</v>
          </cell>
          <cell r="B1035" t="str">
            <v>베이릭의 보크_남성용</v>
          </cell>
        </row>
        <row r="1036">
          <cell r="A1036">
            <v>22335013</v>
          </cell>
          <cell r="B1036" t="str">
            <v>후사르의 샤코</v>
          </cell>
        </row>
        <row r="1037">
          <cell r="A1037">
            <v>22335015</v>
          </cell>
          <cell r="B1037" t="str">
            <v>바니르 서클릿</v>
          </cell>
        </row>
        <row r="1038">
          <cell r="A1038">
            <v>22335017</v>
          </cell>
          <cell r="B1038" t="str">
            <v>내금위장의 주립</v>
          </cell>
        </row>
        <row r="1039">
          <cell r="A1039">
            <v>22335019</v>
          </cell>
          <cell r="B1039" t="str">
            <v>아킬레우스의 투구</v>
          </cell>
        </row>
        <row r="1040">
          <cell r="A1040">
            <v>22335021</v>
          </cell>
          <cell r="B1040" t="str">
            <v>신기영철모</v>
          </cell>
        </row>
        <row r="1041">
          <cell r="A1041">
            <v>22335023</v>
          </cell>
          <cell r="B1041" t="str">
            <v>틀링기트 헬름_남성용</v>
          </cell>
        </row>
        <row r="1042">
          <cell r="A1042">
            <v>22335025</v>
          </cell>
          <cell r="B1042" t="str">
            <v>난발두_남성용</v>
          </cell>
        </row>
        <row r="1043">
          <cell r="A1043">
            <v>22335027</v>
          </cell>
          <cell r="B1043" t="str">
            <v>노블레스 헬름_남성용</v>
          </cell>
        </row>
        <row r="1044">
          <cell r="A1044">
            <v>22335029</v>
          </cell>
          <cell r="B1044" t="str">
            <v>타키티무 마스크_남성용</v>
          </cell>
        </row>
        <row r="1045">
          <cell r="A1045">
            <v>22335031</v>
          </cell>
          <cell r="B1045" t="str">
            <v>카누니의 터번_남성용</v>
          </cell>
        </row>
        <row r="1046">
          <cell r="A1046">
            <v>22335032</v>
          </cell>
          <cell r="B1046" t="str">
            <v>귈바하르의 보크_여성용</v>
          </cell>
        </row>
        <row r="1047">
          <cell r="A1047">
            <v>22335033</v>
          </cell>
          <cell r="B1047" t="str">
            <v>봉황문두무_남성용</v>
          </cell>
        </row>
        <row r="1048">
          <cell r="A1048">
            <v>22335035</v>
          </cell>
          <cell r="B1048" t="str">
            <v>음봄보의 선물_남성용</v>
          </cell>
        </row>
        <row r="1049">
          <cell r="A1049">
            <v>22335037</v>
          </cell>
          <cell r="B1049" t="str">
            <v>틀라토아니 콰칼라래틀리_남성용</v>
          </cell>
        </row>
        <row r="1050">
          <cell r="A1050">
            <v>22335038</v>
          </cell>
          <cell r="B1050" t="str">
            <v>시와틀라토아니 콰칼라래틀리_여성용</v>
          </cell>
        </row>
        <row r="1051">
          <cell r="A1051">
            <v>22335039</v>
          </cell>
          <cell r="B1051" t="str">
            <v>비장군의 결건_남성용</v>
          </cell>
        </row>
        <row r="1052">
          <cell r="A1052">
            <v>22336001</v>
          </cell>
          <cell r="B1052" t="str">
            <v>오군의 이보리_남성용</v>
          </cell>
        </row>
        <row r="1053">
          <cell r="A1053">
            <v>22336003</v>
          </cell>
          <cell r="B1053" t="str">
            <v>아시리아 미트라_남성용</v>
          </cell>
        </row>
        <row r="1054">
          <cell r="A1054">
            <v>22336005</v>
          </cell>
          <cell r="B1054" t="str">
            <v>레오나르도의 헬름_남성용</v>
          </cell>
        </row>
        <row r="1055">
          <cell r="A1055">
            <v>22336007</v>
          </cell>
          <cell r="B1055" t="str">
            <v>라술룰라의 터번_남성용</v>
          </cell>
        </row>
        <row r="1056">
          <cell r="A1056">
            <v>22336009</v>
          </cell>
          <cell r="B1056" t="str">
            <v>용봉문투구_남성용</v>
          </cell>
        </row>
        <row r="1057">
          <cell r="A1057">
            <v>22336011</v>
          </cell>
          <cell r="B1057" t="str">
            <v>마레샬의 바이콘_남성용</v>
          </cell>
        </row>
        <row r="1058">
          <cell r="A1058">
            <v>22336013</v>
          </cell>
          <cell r="B1058" t="str">
            <v>니자므 제디드의 터번_남성용</v>
          </cell>
        </row>
        <row r="1059">
          <cell r="A1059">
            <v>22336015</v>
          </cell>
          <cell r="B1059" t="str">
            <v>대월 황제의 익선관_남성용</v>
          </cell>
        </row>
        <row r="1060">
          <cell r="A1060">
            <v>22336017</v>
          </cell>
          <cell r="B1060" t="str">
            <v>삼절 흑립_남성용</v>
          </cell>
        </row>
        <row r="1061">
          <cell r="A1061">
            <v>22336018</v>
          </cell>
          <cell r="B1061" t="str">
            <v>삼절 남바위_여성용</v>
          </cell>
        </row>
        <row r="1062">
          <cell r="A1062">
            <v>22336019</v>
          </cell>
          <cell r="B1062" t="str">
            <v>데르비쇼 바가라 쿠우다_남성용</v>
          </cell>
        </row>
        <row r="1063">
          <cell r="A1063">
            <v>22336021</v>
          </cell>
          <cell r="B1063" t="str">
            <v>드라군 헬멧_남성용</v>
          </cell>
        </row>
        <row r="1064">
          <cell r="A1064">
            <v>22336023</v>
          </cell>
          <cell r="B1064" t="str">
            <v>카라키아 포타에_남성용</v>
          </cell>
        </row>
        <row r="1065">
          <cell r="A1065">
            <v>22336025</v>
          </cell>
          <cell r="B1065" t="str">
            <v>인티 라우투_남성용</v>
          </cell>
        </row>
        <row r="1066">
          <cell r="A1066">
            <v>22336027</v>
          </cell>
          <cell r="B1066" t="str">
            <v>비라코챠의 추쿠_남성용</v>
          </cell>
        </row>
        <row r="1067">
          <cell r="A1067">
            <v>22336029</v>
          </cell>
          <cell r="B1067" t="str">
            <v>투탕카멘의 마스크_남성용</v>
          </cell>
        </row>
        <row r="1068">
          <cell r="A1068">
            <v>22336031</v>
          </cell>
          <cell r="B1068" t="str">
            <v>데가나위다의 구스토웨_남성용</v>
          </cell>
        </row>
        <row r="1069">
          <cell r="A1069">
            <v>22336033</v>
          </cell>
          <cell r="B1069" t="str">
            <v>군신두무_남성용</v>
          </cell>
        </row>
        <row r="1070">
          <cell r="A1070">
            <v>22336035</v>
          </cell>
          <cell r="B1070" t="str">
            <v>팔괘자수선건_남성용</v>
          </cell>
        </row>
        <row r="1071">
          <cell r="A1071">
            <v>22336037</v>
          </cell>
          <cell r="B1071" t="str">
            <v>에인헤리 헬름_남성용</v>
          </cell>
        </row>
        <row r="1072">
          <cell r="A1072">
            <v>22336038</v>
          </cell>
          <cell r="B1072" t="str">
            <v>발키리의 날개 투구_여성용</v>
          </cell>
        </row>
        <row r="1073">
          <cell r="A1073">
            <v>22336039</v>
          </cell>
          <cell r="B1073" t="str">
            <v>예모자의 이데리_남성용</v>
          </cell>
        </row>
        <row r="1074">
          <cell r="A1074">
            <v>22336041</v>
          </cell>
          <cell r="B1074" t="str">
            <v>트리스탄의 서클릿_남성용</v>
          </cell>
        </row>
        <row r="1075">
          <cell r="A1075">
            <v>22336042</v>
          </cell>
          <cell r="B1075" t="str">
            <v>이졸데의 서클릿_여성용</v>
          </cell>
        </row>
        <row r="1076">
          <cell r="A1076">
            <v>22336043</v>
          </cell>
          <cell r="B1076" t="str">
            <v>시아 터번_남성용</v>
          </cell>
        </row>
        <row r="1077">
          <cell r="A1077">
            <v>22343001</v>
          </cell>
          <cell r="B1077" t="str">
            <v>마세우알틴의 툭틀리</v>
          </cell>
        </row>
        <row r="1078">
          <cell r="A1078">
            <v>22343003</v>
          </cell>
          <cell r="B1078" t="str">
            <v>레더 후드_남성용</v>
          </cell>
        </row>
        <row r="1079">
          <cell r="A1079">
            <v>22343004</v>
          </cell>
          <cell r="B1079" t="str">
            <v>리넨 후드_여성용</v>
          </cell>
        </row>
        <row r="1080">
          <cell r="A1080">
            <v>22343005</v>
          </cell>
          <cell r="B1080" t="str">
            <v>보닛</v>
          </cell>
        </row>
        <row r="1081">
          <cell r="A1081">
            <v>22343007</v>
          </cell>
          <cell r="B1081" t="str">
            <v>콩키스타도르의 모리온</v>
          </cell>
        </row>
        <row r="1082">
          <cell r="A1082">
            <v>22343009</v>
          </cell>
          <cell r="B1082" t="str">
            <v>레기오나리우스의 갈레아</v>
          </cell>
        </row>
        <row r="1083">
          <cell r="A1083">
            <v>22343011</v>
          </cell>
          <cell r="B1083" t="str">
            <v>교역상의 햇</v>
          </cell>
        </row>
        <row r="1084">
          <cell r="A1084">
            <v>22343013</v>
          </cell>
          <cell r="B1084" t="str">
            <v>페즈_남성용</v>
          </cell>
        </row>
        <row r="1085">
          <cell r="A1085">
            <v>22343014</v>
          </cell>
          <cell r="B1085" t="str">
            <v>수녀의 베일_여성용</v>
          </cell>
        </row>
        <row r="1086">
          <cell r="A1086">
            <v>22343015</v>
          </cell>
          <cell r="B1086" t="str">
            <v>펠트 베레</v>
          </cell>
        </row>
        <row r="1087">
          <cell r="A1087">
            <v>22343017</v>
          </cell>
          <cell r="B1087" t="str">
            <v>아벤테일</v>
          </cell>
        </row>
        <row r="1088">
          <cell r="A1088">
            <v>22343019</v>
          </cell>
          <cell r="B1088" t="str">
            <v>샤포 아 베크</v>
          </cell>
        </row>
        <row r="1089">
          <cell r="A1089">
            <v>22343021</v>
          </cell>
          <cell r="B1089" t="str">
            <v>항해사의 햇</v>
          </cell>
        </row>
        <row r="1090">
          <cell r="A1090">
            <v>22343023</v>
          </cell>
          <cell r="B1090" t="str">
            <v>쿨라 쿠드</v>
          </cell>
        </row>
        <row r="1091">
          <cell r="A1091">
            <v>22343025</v>
          </cell>
          <cell r="B1091" t="str">
            <v>헌터 헤드밴드</v>
          </cell>
        </row>
        <row r="1092">
          <cell r="A1092">
            <v>22343027</v>
          </cell>
          <cell r="B1092" t="str">
            <v>용병의 헬름</v>
          </cell>
        </row>
        <row r="1093">
          <cell r="A1093">
            <v>22343029</v>
          </cell>
          <cell r="B1093" t="str">
            <v>플레이트 아멧</v>
          </cell>
        </row>
        <row r="1094">
          <cell r="A1094">
            <v>22343031</v>
          </cell>
          <cell r="B1094" t="str">
            <v>바이코켓</v>
          </cell>
        </row>
        <row r="1095">
          <cell r="A1095">
            <v>22343033</v>
          </cell>
          <cell r="B1095" t="str">
            <v>장인의 레더 헬멧</v>
          </cell>
        </row>
        <row r="1096">
          <cell r="A1096">
            <v>22343035</v>
          </cell>
          <cell r="B1096" t="str">
            <v>잉카 야우투_남성용</v>
          </cell>
        </row>
        <row r="1097">
          <cell r="A1097">
            <v>22343036</v>
          </cell>
          <cell r="B1097" t="str">
            <v>잉카 몬테라_여성용</v>
          </cell>
        </row>
        <row r="1098">
          <cell r="A1098">
            <v>22343037</v>
          </cell>
          <cell r="B1098" t="str">
            <v>드라군 헬름</v>
          </cell>
        </row>
        <row r="1099">
          <cell r="A1099">
            <v>22343039</v>
          </cell>
          <cell r="B1099" t="str">
            <v>훈장모_남성용</v>
          </cell>
        </row>
        <row r="1100">
          <cell r="A1100">
            <v>22343040</v>
          </cell>
          <cell r="B1100" t="str">
            <v>금제발잠_여성용</v>
          </cell>
        </row>
        <row r="1101">
          <cell r="A1101">
            <v>22344001</v>
          </cell>
          <cell r="B1101" t="str">
            <v>주항자의 후드</v>
          </cell>
        </row>
        <row r="1102">
          <cell r="A1102">
            <v>22344003</v>
          </cell>
          <cell r="B1102" t="str">
            <v>스콜라 캡_남성용</v>
          </cell>
        </row>
        <row r="1103">
          <cell r="A1103">
            <v>22344004</v>
          </cell>
          <cell r="B1103" t="str">
            <v>장금의 가리마_여성용</v>
          </cell>
        </row>
        <row r="1104">
          <cell r="A1104">
            <v>22344005</v>
          </cell>
          <cell r="B1104" t="str">
            <v>벨벳 콕트 햇</v>
          </cell>
        </row>
        <row r="1105">
          <cell r="A1105">
            <v>22344007</v>
          </cell>
          <cell r="B1105" t="str">
            <v>킵차크 투구</v>
          </cell>
        </row>
        <row r="1106">
          <cell r="A1106">
            <v>22344009</v>
          </cell>
          <cell r="B1106" t="str">
            <v>알렉산더 대왕의 투구</v>
          </cell>
        </row>
        <row r="1107">
          <cell r="A1107">
            <v>22344011</v>
          </cell>
          <cell r="B1107" t="str">
            <v>샤프롱_남성용</v>
          </cell>
        </row>
        <row r="1108">
          <cell r="A1108">
            <v>22344012</v>
          </cell>
          <cell r="B1108" t="str">
            <v>레겐트 코로나_여성용</v>
          </cell>
        </row>
        <row r="1109">
          <cell r="A1109">
            <v>22344013</v>
          </cell>
          <cell r="B1109" t="str">
            <v>파그리_남성용</v>
          </cell>
        </row>
        <row r="1110">
          <cell r="A1110">
            <v>22344014</v>
          </cell>
          <cell r="B1110" t="str">
            <v>사파비 터번_여성용</v>
          </cell>
        </row>
        <row r="1111">
          <cell r="A1111">
            <v>22344015</v>
          </cell>
          <cell r="B1111" t="str">
            <v>젠틀맨 바이콘</v>
          </cell>
        </row>
        <row r="1112">
          <cell r="A1112">
            <v>22344017</v>
          </cell>
          <cell r="B1112" t="str">
            <v>에롤즈 헬름</v>
          </cell>
        </row>
        <row r="1113">
          <cell r="A1113">
            <v>22344019</v>
          </cell>
          <cell r="B1113" t="str">
            <v>토마스의 탑 햇_남성용</v>
          </cell>
        </row>
        <row r="1114">
          <cell r="A1114">
            <v>22344020</v>
          </cell>
          <cell r="B1114" t="str">
            <v>미트라_여성용</v>
          </cell>
        </row>
        <row r="1115">
          <cell r="A1115">
            <v>22344021</v>
          </cell>
          <cell r="B1115" t="str">
            <v>아라비안 터번_남성용</v>
          </cell>
        </row>
        <row r="1116">
          <cell r="A1116">
            <v>22344022</v>
          </cell>
          <cell r="B1116" t="str">
            <v>아라비아 비단 베일_여성용</v>
          </cell>
        </row>
        <row r="1117">
          <cell r="A1117">
            <v>22344023</v>
          </cell>
          <cell r="B1117" t="str">
            <v>알튼 미페르</v>
          </cell>
        </row>
        <row r="1118">
          <cell r="A1118">
            <v>22344025</v>
          </cell>
          <cell r="B1118" t="str">
            <v>용병 단장의 헬름</v>
          </cell>
        </row>
        <row r="1119">
          <cell r="A1119">
            <v>22344027</v>
          </cell>
          <cell r="B1119" t="str">
            <v>브림 햇</v>
          </cell>
        </row>
        <row r="1120">
          <cell r="A1120">
            <v>22344029</v>
          </cell>
          <cell r="B1120" t="str">
            <v>골드 플레이트 아멧</v>
          </cell>
        </row>
        <row r="1121">
          <cell r="A1121">
            <v>22344031</v>
          </cell>
          <cell r="B1121" t="str">
            <v>앙상블 햇</v>
          </cell>
        </row>
        <row r="1122">
          <cell r="A1122">
            <v>22344033</v>
          </cell>
          <cell r="B1122" t="str">
            <v>영사의 바이콘</v>
          </cell>
        </row>
        <row r="1123">
          <cell r="A1123">
            <v>22344035</v>
          </cell>
          <cell r="B1123" t="str">
            <v>페타_남성용</v>
          </cell>
        </row>
        <row r="1124">
          <cell r="A1124">
            <v>22344036</v>
          </cell>
          <cell r="B1124" t="str">
            <v>마앙 티카_여성용</v>
          </cell>
        </row>
        <row r="1125">
          <cell r="A1125">
            <v>22344037</v>
          </cell>
          <cell r="B1125" t="str">
            <v>로키의 투구</v>
          </cell>
        </row>
        <row r="1126">
          <cell r="A1126">
            <v>22344039</v>
          </cell>
          <cell r="B1126" t="str">
            <v>거상의 흑립_남성용</v>
          </cell>
        </row>
        <row r="1127">
          <cell r="A1127">
            <v>22344040</v>
          </cell>
          <cell r="B1127" t="str">
            <v>명월 전모_여성용</v>
          </cell>
        </row>
        <row r="1128">
          <cell r="A1128">
            <v>22344041</v>
          </cell>
          <cell r="B1128" t="str">
            <v>르네상스 샤포_남성용</v>
          </cell>
        </row>
        <row r="1129">
          <cell r="A1129">
            <v>22344042</v>
          </cell>
          <cell r="B1129" t="str">
            <v>르네상스 샤포_여성용</v>
          </cell>
        </row>
        <row r="1130">
          <cell r="A1130">
            <v>22344043</v>
          </cell>
          <cell r="B1130" t="str">
            <v>로빈 후드의 바이코켓_남성용</v>
          </cell>
        </row>
        <row r="1131">
          <cell r="A1131">
            <v>22345001</v>
          </cell>
          <cell r="B1131" t="str">
            <v>욤스바이킹 헬름</v>
          </cell>
        </row>
        <row r="1132">
          <cell r="A1132">
            <v>22345003</v>
          </cell>
          <cell r="B1132" t="str">
            <v>엘리멘탈 후드</v>
          </cell>
        </row>
        <row r="1133">
          <cell r="A1133">
            <v>22345005</v>
          </cell>
          <cell r="B1133" t="str">
            <v>금상화복건</v>
          </cell>
        </row>
        <row r="1134">
          <cell r="A1134">
            <v>22345007</v>
          </cell>
          <cell r="B1134" t="str">
            <v>로얄 플레이트 헬름_남성용</v>
          </cell>
        </row>
        <row r="1135">
          <cell r="A1135">
            <v>22345009</v>
          </cell>
          <cell r="B1135" t="str">
            <v>만샵다르의 쿠드</v>
          </cell>
        </row>
        <row r="1136">
          <cell r="A1136">
            <v>22345010</v>
          </cell>
          <cell r="B1136" t="str">
            <v>만샵다르의 쿠드_여성용</v>
          </cell>
        </row>
        <row r="1137">
          <cell r="A1137">
            <v>22345011</v>
          </cell>
          <cell r="B1137" t="str">
            <v>조조의 금관_남성용</v>
          </cell>
        </row>
        <row r="1138">
          <cell r="A1138">
            <v>22345013</v>
          </cell>
          <cell r="B1138" t="str">
            <v>팰리스 펠트 햇_남성용</v>
          </cell>
        </row>
        <row r="1139">
          <cell r="A1139">
            <v>22345014</v>
          </cell>
          <cell r="B1139" t="str">
            <v>팰리스 크라운_여성용</v>
          </cell>
        </row>
        <row r="1140">
          <cell r="A1140">
            <v>22345015</v>
          </cell>
          <cell r="B1140" t="str">
            <v>바르바로사의 터번</v>
          </cell>
        </row>
        <row r="1141">
          <cell r="A1141">
            <v>22345017</v>
          </cell>
          <cell r="B1141" t="str">
            <v>무흐테솀 터번_남성용</v>
          </cell>
        </row>
        <row r="1142">
          <cell r="A1142">
            <v>22345019</v>
          </cell>
          <cell r="B1142" t="str">
            <v>로럴 리스</v>
          </cell>
        </row>
        <row r="1143">
          <cell r="A1143">
            <v>22345021</v>
          </cell>
          <cell r="B1143" t="str">
            <v>워 보닛_남성용</v>
          </cell>
        </row>
        <row r="1144">
          <cell r="A1144">
            <v>22345023</v>
          </cell>
          <cell r="B1144" t="str">
            <v>시쐬르 카스크_남성용</v>
          </cell>
        </row>
        <row r="1145">
          <cell r="A1145">
            <v>22345025</v>
          </cell>
          <cell r="B1145" t="str">
            <v>키리바시 헬름_남성용</v>
          </cell>
        </row>
        <row r="1146">
          <cell r="A1146">
            <v>22345027</v>
          </cell>
          <cell r="B1146" t="str">
            <v>해적 선장의 바이콘_남성용</v>
          </cell>
        </row>
        <row r="1147">
          <cell r="A1147">
            <v>22345029</v>
          </cell>
          <cell r="B1147" t="str">
            <v>우마 추쿠</v>
          </cell>
        </row>
        <row r="1148">
          <cell r="A1148">
            <v>22345031</v>
          </cell>
          <cell r="B1148" t="str">
            <v>파비앙 텡콜록_남성용</v>
          </cell>
        </row>
        <row r="1149">
          <cell r="A1149">
            <v>22345032</v>
          </cell>
          <cell r="B1149" t="str">
            <v>파비앙 텡쿨룩 탄둑_여성용</v>
          </cell>
        </row>
        <row r="1150">
          <cell r="A1150">
            <v>22345033</v>
          </cell>
          <cell r="B1150" t="str">
            <v>이마지겐족의 알라쇼_남성용</v>
          </cell>
        </row>
        <row r="1151">
          <cell r="A1151">
            <v>22345035</v>
          </cell>
          <cell r="B1151" t="str">
            <v>파디샤의 터번</v>
          </cell>
        </row>
        <row r="1152">
          <cell r="A1152">
            <v>22346001</v>
          </cell>
          <cell r="B1152" t="str">
            <v>가루다 톱_남성용</v>
          </cell>
        </row>
        <row r="1153">
          <cell r="A1153">
            <v>22346003</v>
          </cell>
          <cell r="B1153" t="str">
            <v>옥산진인 법보_남성용</v>
          </cell>
        </row>
        <row r="1154">
          <cell r="A1154">
            <v>22346005</v>
          </cell>
          <cell r="B1154" t="str">
            <v>야타가라스 일문자립_남성용</v>
          </cell>
        </row>
        <row r="1155">
          <cell r="A1155">
            <v>22346007</v>
          </cell>
          <cell r="B1155" t="str">
            <v>미다스왕의 크라노스_남성용</v>
          </cell>
        </row>
        <row r="1156">
          <cell r="A1156">
            <v>22346009</v>
          </cell>
          <cell r="B1156" t="str">
            <v>라바나 무쿼다_남성용</v>
          </cell>
        </row>
        <row r="1157">
          <cell r="A1157">
            <v>22346011</v>
          </cell>
          <cell r="B1157" t="str">
            <v>살라딘의 터번 카스크_남성용</v>
          </cell>
        </row>
        <row r="1158">
          <cell r="A1158">
            <v>22346013</v>
          </cell>
          <cell r="B1158" t="str">
            <v>쿠나슨 퀴나온_남성용</v>
          </cell>
        </row>
        <row r="1159">
          <cell r="A1159">
            <v>22346015</v>
          </cell>
          <cell r="B1159" t="str">
            <v>라마찬드라의 타즈_남성용</v>
          </cell>
        </row>
        <row r="1160">
          <cell r="A1160">
            <v>22346017</v>
          </cell>
          <cell r="B1160" t="str">
            <v>크라운 오브 레갈리아_남성용</v>
          </cell>
        </row>
        <row r="1161">
          <cell r="A1161">
            <v>22346019</v>
          </cell>
          <cell r="B1161" t="str">
            <v>제갈건_남성용</v>
          </cell>
        </row>
        <row r="1162">
          <cell r="A1162">
            <v>22346020</v>
          </cell>
          <cell r="B1162" t="str">
            <v>월영면포_여성용</v>
          </cell>
        </row>
        <row r="1163">
          <cell r="A1163">
            <v>22346021</v>
          </cell>
          <cell r="B1163" t="str">
            <v>바루나의 타즈_남성용</v>
          </cell>
        </row>
        <row r="1164">
          <cell r="A1164">
            <v>22346023</v>
          </cell>
          <cell r="B1164" t="str">
            <v>게오르기우스의 헬름_남성용</v>
          </cell>
        </row>
        <row r="1165">
          <cell r="A1165">
            <v>22346025</v>
          </cell>
          <cell r="B1165" t="str">
            <v>나바카이 헬름_남성용</v>
          </cell>
        </row>
        <row r="1166">
          <cell r="A1166">
            <v>22346027</v>
          </cell>
          <cell r="B1166" t="str">
            <v>아라미스의 샤포_남성용</v>
          </cell>
        </row>
        <row r="1167">
          <cell r="A1167">
            <v>22346029</v>
          </cell>
          <cell r="B1167" t="str">
            <v>자비단의 쿨라 쿠드_남성용</v>
          </cell>
        </row>
        <row r="1168">
          <cell r="A1168">
            <v>22346031</v>
          </cell>
          <cell r="B1168" t="str">
            <v>바쿠나와 무카_남성용</v>
          </cell>
        </row>
        <row r="1169">
          <cell r="A1169">
            <v>22346033</v>
          </cell>
          <cell r="B1169" t="str">
            <v>포세이돈의 크라운_남성용</v>
          </cell>
        </row>
        <row r="1170">
          <cell r="A1170">
            <v>22346035</v>
          </cell>
          <cell r="B1170" t="str">
            <v>메두사의 벨로_남성용</v>
          </cell>
        </row>
        <row r="1171">
          <cell r="A1171">
            <v>22353001</v>
          </cell>
          <cell r="B1171" t="str">
            <v>명조 관모</v>
          </cell>
        </row>
        <row r="1172">
          <cell r="A1172">
            <v>22353003</v>
          </cell>
          <cell r="B1172" t="str">
            <v>오토미 이츠나코치틀리</v>
          </cell>
        </row>
        <row r="1173">
          <cell r="A1173">
            <v>22364006</v>
          </cell>
          <cell r="B1173" t="str">
            <v>보육원장의 터번</v>
          </cell>
        </row>
        <row r="1174">
          <cell r="A1174">
            <v>22364014</v>
          </cell>
          <cell r="B1174" t="str">
            <v>정성공의 투구</v>
          </cell>
        </row>
        <row r="1175">
          <cell r="A1175">
            <v>22364023</v>
          </cell>
          <cell r="B1175" t="str">
            <v>고귀한 복수자의 두건</v>
          </cell>
        </row>
        <row r="1176">
          <cell r="A1176">
            <v>22364025</v>
          </cell>
          <cell r="B1176" t="str">
            <v>대해적의 트라이콘</v>
          </cell>
        </row>
        <row r="1177">
          <cell r="A1177">
            <v>22364801</v>
          </cell>
          <cell r="B1177" t="str">
            <v>불멸의 해적단 전투모</v>
          </cell>
        </row>
        <row r="1178">
          <cell r="A1178">
            <v>22364802</v>
          </cell>
          <cell r="B1178" t="str">
            <v>불멸의 해적단 탑햇_여성용</v>
          </cell>
        </row>
        <row r="1179">
          <cell r="A1179">
            <v>22364803</v>
          </cell>
          <cell r="B1179" t="str">
            <v>환상 섬의 모자</v>
          </cell>
        </row>
        <row r="1180">
          <cell r="A1180">
            <v>22364804</v>
          </cell>
          <cell r="B1180" t="str">
            <v>환상 섬의 고깔모_여성용</v>
          </cell>
        </row>
        <row r="1181">
          <cell r="A1181">
            <v>22364805</v>
          </cell>
          <cell r="B1181" t="str">
            <v>바다 기사단 단장모</v>
          </cell>
        </row>
        <row r="1182">
          <cell r="A1182">
            <v>22364806</v>
          </cell>
          <cell r="B1182" t="str">
            <v>바다 기사단 간부모_여성용</v>
          </cell>
        </row>
        <row r="1183">
          <cell r="A1183">
            <v>22364807</v>
          </cell>
          <cell r="B1183" t="str">
            <v>비술의 선장모_남성용</v>
          </cell>
        </row>
        <row r="1184">
          <cell r="A1184">
            <v>22364808</v>
          </cell>
          <cell r="B1184" t="str">
            <v>비술의 항해사모_여성용</v>
          </cell>
        </row>
        <row r="1185">
          <cell r="A1185">
            <v>22371001</v>
          </cell>
          <cell r="B1185" t="str">
            <v>신기한 투구 장식</v>
          </cell>
        </row>
        <row r="1186">
          <cell r="A1186">
            <v>22372001</v>
          </cell>
          <cell r="B1186" t="str">
            <v>검투사의 투구</v>
          </cell>
        </row>
        <row r="1187">
          <cell r="A1187">
            <v>22372003</v>
          </cell>
          <cell r="B1187" t="str">
            <v>전립</v>
          </cell>
        </row>
        <row r="1188">
          <cell r="A1188">
            <v>22372005</v>
          </cell>
          <cell r="B1188" t="str">
            <v>수습 대장장이의 투구</v>
          </cell>
        </row>
        <row r="1189">
          <cell r="A1189">
            <v>22373001</v>
          </cell>
          <cell r="B1189" t="str">
            <v>롤로의 투구</v>
          </cell>
        </row>
        <row r="1190">
          <cell r="A1190">
            <v>22373003</v>
          </cell>
          <cell r="B1190" t="str">
            <v>스키피오의 투구</v>
          </cell>
        </row>
        <row r="1191">
          <cell r="A1191">
            <v>22373005</v>
          </cell>
          <cell r="B1191" t="str">
            <v>신라 금관</v>
          </cell>
        </row>
        <row r="1192">
          <cell r="A1192">
            <v>22373007</v>
          </cell>
          <cell r="B1192" t="str">
            <v>아스맛족 머리 장식</v>
          </cell>
        </row>
        <row r="1193">
          <cell r="A1193">
            <v>22373009</v>
          </cell>
          <cell r="B1193" t="str">
            <v>카를대제의 왕관</v>
          </cell>
        </row>
        <row r="1194">
          <cell r="A1194">
            <v>22373011</v>
          </cell>
          <cell r="B1194" t="str">
            <v>아우렐리아누스의 투구</v>
          </cell>
        </row>
        <row r="1195">
          <cell r="A1195">
            <v>22373013</v>
          </cell>
          <cell r="B1195" t="str">
            <v>빙하 선단의 투구</v>
          </cell>
        </row>
        <row r="1196">
          <cell r="A1196">
            <v>22373015</v>
          </cell>
          <cell r="B1196" t="str">
            <v>붉은 산호섬의 보호구</v>
          </cell>
        </row>
        <row r="1197">
          <cell r="A1197">
            <v>22373017</v>
          </cell>
          <cell r="B1197" t="str">
            <v>상단 연합의 두건</v>
          </cell>
        </row>
        <row r="1198">
          <cell r="A1198">
            <v>22374001</v>
          </cell>
          <cell r="B1198" t="str">
            <v>샤르카의 머리 장식</v>
          </cell>
        </row>
        <row r="1199">
          <cell r="A1199">
            <v>22374003</v>
          </cell>
          <cell r="B1199" t="str">
            <v>북해 연합의 투구</v>
          </cell>
        </row>
        <row r="1200">
          <cell r="A1200">
            <v>22374005</v>
          </cell>
          <cell r="B1200" t="str">
            <v>진주섬의 투구</v>
          </cell>
        </row>
        <row r="1201">
          <cell r="A1201">
            <v>22374007</v>
          </cell>
          <cell r="B1201" t="str">
            <v>폭풍 선단의 두건</v>
          </cell>
        </row>
        <row r="1202">
          <cell r="A1202">
            <v>22375001</v>
          </cell>
          <cell r="B1202" t="str">
            <v>다리우스 1세의 투구</v>
          </cell>
        </row>
        <row r="1203">
          <cell r="A1203">
            <v>22375003</v>
          </cell>
          <cell r="B1203" t="str">
            <v>투그릴베그의 왕관</v>
          </cell>
        </row>
        <row r="1204">
          <cell r="A1204">
            <v>22384001</v>
          </cell>
          <cell r="B1204" t="str">
            <v>100일 축하의 모자</v>
          </cell>
        </row>
        <row r="1205">
          <cell r="A1205">
            <v>22421001</v>
          </cell>
          <cell r="B1205" t="str">
            <v>다불</v>
          </cell>
        </row>
        <row r="1206">
          <cell r="A1206">
            <v>22421002</v>
          </cell>
          <cell r="B1206" t="str">
            <v>차마람</v>
          </cell>
        </row>
        <row r="1207">
          <cell r="A1207">
            <v>22421003</v>
          </cell>
          <cell r="B1207" t="str">
            <v>트럼펫</v>
          </cell>
        </row>
        <row r="1208">
          <cell r="A1208">
            <v>22421004</v>
          </cell>
          <cell r="B1208" t="str">
            <v>차복</v>
          </cell>
        </row>
        <row r="1209">
          <cell r="A1209">
            <v>22421005</v>
          </cell>
          <cell r="B1209" t="str">
            <v>탱커드</v>
          </cell>
        </row>
        <row r="1210">
          <cell r="A1210">
            <v>22421006</v>
          </cell>
          <cell r="B1210" t="str">
            <v>염장육 자루</v>
          </cell>
        </row>
        <row r="1211">
          <cell r="A1211">
            <v>22421007</v>
          </cell>
          <cell r="B1211" t="str">
            <v>오거</v>
          </cell>
        </row>
        <row r="1212">
          <cell r="A1212">
            <v>22421008</v>
          </cell>
          <cell r="B1212" t="str">
            <v>바스트렌</v>
          </cell>
        </row>
        <row r="1213">
          <cell r="A1213">
            <v>22421009</v>
          </cell>
          <cell r="B1213" t="str">
            <v>침통</v>
          </cell>
        </row>
        <row r="1214">
          <cell r="A1214">
            <v>22421010</v>
          </cell>
          <cell r="B1214" t="str">
            <v>나자르 본주우</v>
          </cell>
        </row>
        <row r="1215">
          <cell r="A1215">
            <v>22422001</v>
          </cell>
          <cell r="B1215" t="str">
            <v>데스 휘슬</v>
          </cell>
        </row>
        <row r="1216">
          <cell r="A1216">
            <v>22422002</v>
          </cell>
          <cell r="B1216" t="str">
            <v>바톤</v>
          </cell>
        </row>
        <row r="1217">
          <cell r="A1217">
            <v>22422003</v>
          </cell>
          <cell r="B1217" t="str">
            <v>알가이타</v>
          </cell>
        </row>
        <row r="1218">
          <cell r="A1218">
            <v>22422004</v>
          </cell>
          <cell r="B1218" t="str">
            <v>아크라페나</v>
          </cell>
        </row>
        <row r="1219">
          <cell r="A1219">
            <v>22422005</v>
          </cell>
          <cell r="B1219" t="str">
            <v>브라가풀</v>
          </cell>
        </row>
        <row r="1220">
          <cell r="A1220">
            <v>22422006</v>
          </cell>
          <cell r="B1220" t="str">
            <v>두라 주머니</v>
          </cell>
        </row>
        <row r="1221">
          <cell r="A1221">
            <v>22422007</v>
          </cell>
          <cell r="B1221" t="str">
            <v>맬릿</v>
          </cell>
        </row>
        <row r="1222">
          <cell r="A1222">
            <v>22422008</v>
          </cell>
          <cell r="B1222" t="str">
            <v>내릴톱</v>
          </cell>
        </row>
        <row r="1223">
          <cell r="A1223">
            <v>22422009</v>
          </cell>
          <cell r="B1223" t="str">
            <v>칼루멧</v>
          </cell>
        </row>
        <row r="1224">
          <cell r="A1224">
            <v>22422010</v>
          </cell>
          <cell r="B1224" t="str">
            <v>헤이 마타우</v>
          </cell>
        </row>
        <row r="1225">
          <cell r="A1225">
            <v>22423001</v>
          </cell>
          <cell r="B1225" t="str">
            <v>나각</v>
          </cell>
        </row>
        <row r="1226">
          <cell r="A1226">
            <v>22423002</v>
          </cell>
          <cell r="B1226" t="str">
            <v>채배</v>
          </cell>
        </row>
        <row r="1227">
          <cell r="A1227">
            <v>22423003</v>
          </cell>
          <cell r="B1227" t="str">
            <v>태고</v>
          </cell>
        </row>
        <row r="1228">
          <cell r="A1228">
            <v>22423004</v>
          </cell>
          <cell r="B1228" t="str">
            <v>촙</v>
          </cell>
        </row>
        <row r="1229">
          <cell r="A1229">
            <v>22423005</v>
          </cell>
          <cell r="B1229" t="str">
            <v>계영배</v>
          </cell>
        </row>
        <row r="1230">
          <cell r="A1230">
            <v>22423006</v>
          </cell>
          <cell r="B1230" t="str">
            <v>병량환낭</v>
          </cell>
        </row>
        <row r="1231">
          <cell r="A1231">
            <v>22423007</v>
          </cell>
          <cell r="B1231" t="str">
            <v>몰</v>
          </cell>
        </row>
        <row r="1232">
          <cell r="A1232">
            <v>22423008</v>
          </cell>
          <cell r="B1232" t="str">
            <v>코핑 쏘우</v>
          </cell>
        </row>
        <row r="1233">
          <cell r="A1233">
            <v>22423009</v>
          </cell>
          <cell r="B1233" t="str">
            <v>본초강목</v>
          </cell>
        </row>
        <row r="1234">
          <cell r="A1234">
            <v>22423010</v>
          </cell>
          <cell r="B1234" t="str">
            <v>베그비시르</v>
          </cell>
        </row>
        <row r="1235">
          <cell r="A1235">
            <v>22424001</v>
          </cell>
          <cell r="B1235" t="str">
            <v>공</v>
          </cell>
        </row>
        <row r="1236">
          <cell r="A1236">
            <v>22424002</v>
          </cell>
          <cell r="B1236" t="str">
            <v>등채</v>
          </cell>
        </row>
        <row r="1237">
          <cell r="A1237">
            <v>22424003</v>
          </cell>
          <cell r="B1237" t="str">
            <v>갈레우스의 황금 뿔피리</v>
          </cell>
        </row>
        <row r="1238">
          <cell r="A1238">
            <v>22424004</v>
          </cell>
          <cell r="B1238" t="str">
            <v>음폼폰수오</v>
          </cell>
        </row>
        <row r="1239">
          <cell r="A1239">
            <v>22424005</v>
          </cell>
          <cell r="B1239" t="str">
            <v>리톤</v>
          </cell>
        </row>
        <row r="1240">
          <cell r="A1240">
            <v>22424006</v>
          </cell>
          <cell r="B1240" t="str">
            <v>광병낭</v>
          </cell>
        </row>
        <row r="1241">
          <cell r="A1241">
            <v>22424007</v>
          </cell>
          <cell r="B1241" t="str">
            <v>코킹 말렛</v>
          </cell>
        </row>
        <row r="1242">
          <cell r="A1242">
            <v>22424008</v>
          </cell>
          <cell r="B1242" t="str">
            <v>장인의 보우 쏘우</v>
          </cell>
        </row>
        <row r="1243">
          <cell r="A1243">
            <v>22424009</v>
          </cell>
          <cell r="B1243" t="str">
            <v>데어 그로센 분다르츠니</v>
          </cell>
        </row>
        <row r="1244">
          <cell r="A1244">
            <v>22424010</v>
          </cell>
          <cell r="B1244" t="str">
            <v>아사바이키신</v>
          </cell>
        </row>
        <row r="1245">
          <cell r="A1245">
            <v>22425001</v>
          </cell>
          <cell r="B1245" t="str">
            <v>우에우에틀</v>
          </cell>
        </row>
        <row r="1246">
          <cell r="A1246">
            <v>22425002</v>
          </cell>
          <cell r="B1246" t="str">
            <v>아가멤논의 스태프</v>
          </cell>
        </row>
        <row r="1247">
          <cell r="A1247">
            <v>22425003</v>
          </cell>
          <cell r="B1247" t="str">
            <v>걀라르호른</v>
          </cell>
        </row>
        <row r="1248">
          <cell r="A1248">
            <v>22425004</v>
          </cell>
          <cell r="B1248" t="str">
            <v>상방검</v>
          </cell>
        </row>
        <row r="1249">
          <cell r="A1249">
            <v>22425005</v>
          </cell>
          <cell r="B1249" t="str">
            <v>자미 잠</v>
          </cell>
        </row>
        <row r="1250">
          <cell r="A1250">
            <v>22425006</v>
          </cell>
          <cell r="B1250" t="str">
            <v>가란히르의 햄퍼</v>
          </cell>
        </row>
        <row r="1251">
          <cell r="A1251">
            <v>22425007</v>
          </cell>
          <cell r="B1251" t="str">
            <v>클라바우터만의 해머</v>
          </cell>
        </row>
        <row r="1252">
          <cell r="A1252">
            <v>22425008</v>
          </cell>
          <cell r="B1252" t="str">
            <v>아르고스의 프리오니</v>
          </cell>
        </row>
        <row r="1253">
          <cell r="A1253">
            <v>22425009</v>
          </cell>
          <cell r="B1253" t="str">
            <v>동의보감</v>
          </cell>
        </row>
        <row r="1254">
          <cell r="A1254">
            <v>22425010</v>
          </cell>
          <cell r="B1254" t="str">
            <v>만파식적</v>
          </cell>
        </row>
        <row r="1255">
          <cell r="A1255">
            <v>22426001</v>
          </cell>
          <cell r="B1255" t="str">
            <v>드레이크의 드럼</v>
          </cell>
        </row>
        <row r="1256">
          <cell r="A1256">
            <v>22426002</v>
          </cell>
          <cell r="B1256" t="str">
            <v>마 드 주스티스</v>
          </cell>
        </row>
        <row r="1257">
          <cell r="A1257">
            <v>22426003</v>
          </cell>
          <cell r="B1257" t="str">
            <v>판차잔야</v>
          </cell>
        </row>
        <row r="1258">
          <cell r="A1258">
            <v>22426004</v>
          </cell>
          <cell r="B1258" t="str">
            <v>다모클레스의 소드</v>
          </cell>
        </row>
        <row r="1259">
          <cell r="A1259">
            <v>22426005</v>
          </cell>
          <cell r="B1259" t="str">
            <v>프레스터 존의 메이져</v>
          </cell>
        </row>
        <row r="1260">
          <cell r="A1260">
            <v>22426006</v>
          </cell>
          <cell r="B1260" t="str">
            <v>이둔의 햄퍼</v>
          </cell>
        </row>
        <row r="1261">
          <cell r="A1261">
            <v>22426007</v>
          </cell>
          <cell r="B1261" t="str">
            <v>일마리넨의 해머</v>
          </cell>
        </row>
        <row r="1262">
          <cell r="A1262">
            <v>22426008</v>
          </cell>
          <cell r="B1262" t="str">
            <v>쿠페의 하오</v>
          </cell>
        </row>
        <row r="1263">
          <cell r="A1263">
            <v>22426009</v>
          </cell>
          <cell r="B1263" t="str">
            <v>제라히예튀르 하니예</v>
          </cell>
        </row>
        <row r="1264">
          <cell r="A1264">
            <v>22426010</v>
          </cell>
          <cell r="B1264" t="str">
            <v>샨카</v>
          </cell>
        </row>
        <row r="1265">
          <cell r="A1265">
            <v>22431001</v>
          </cell>
          <cell r="B1265" t="str">
            <v>사블리에</v>
          </cell>
        </row>
        <row r="1266">
          <cell r="A1266">
            <v>22431002</v>
          </cell>
          <cell r="B1266" t="str">
            <v>보타백</v>
          </cell>
        </row>
        <row r="1267">
          <cell r="A1267">
            <v>22431003</v>
          </cell>
          <cell r="B1267" t="str">
            <v>카잔</v>
          </cell>
        </row>
        <row r="1268">
          <cell r="A1268">
            <v>22432001</v>
          </cell>
          <cell r="B1268" t="str">
            <v>회중시계</v>
          </cell>
        </row>
        <row r="1269">
          <cell r="A1269">
            <v>22432002</v>
          </cell>
          <cell r="B1269" t="str">
            <v>호로</v>
          </cell>
        </row>
        <row r="1270">
          <cell r="A1270">
            <v>22432003</v>
          </cell>
          <cell r="B1270" t="str">
            <v>암포라</v>
          </cell>
        </row>
        <row r="1271">
          <cell r="A1271">
            <v>22433001</v>
          </cell>
          <cell r="B1271" t="str">
            <v>링 워치</v>
          </cell>
        </row>
        <row r="1272">
          <cell r="A1272">
            <v>22433002</v>
          </cell>
          <cell r="B1272" t="str">
            <v>크루엣</v>
          </cell>
        </row>
        <row r="1273">
          <cell r="A1273">
            <v>22433003</v>
          </cell>
          <cell r="B1273" t="str">
            <v>청화백자</v>
          </cell>
        </row>
        <row r="1274">
          <cell r="A1274">
            <v>22434001</v>
          </cell>
          <cell r="B1274" t="str">
            <v>포맨더 워치</v>
          </cell>
        </row>
        <row r="1275">
          <cell r="A1275">
            <v>22434002</v>
          </cell>
          <cell r="B1275" t="str">
            <v>마타라</v>
          </cell>
        </row>
        <row r="1276">
          <cell r="A1276">
            <v>22434003</v>
          </cell>
          <cell r="B1276" t="str">
            <v>알바렐로</v>
          </cell>
        </row>
        <row r="1277">
          <cell r="A1277">
            <v>22435001</v>
          </cell>
          <cell r="B1277" t="str">
            <v>에스페라 아르밀라</v>
          </cell>
        </row>
        <row r="1278">
          <cell r="A1278">
            <v>22435002</v>
          </cell>
          <cell r="B1278" t="str">
            <v>자라병</v>
          </cell>
        </row>
        <row r="1279">
          <cell r="A1279">
            <v>22435003</v>
          </cell>
          <cell r="B1279" t="str">
            <v>코르누코피아</v>
          </cell>
        </row>
        <row r="1280">
          <cell r="A1280">
            <v>22436001</v>
          </cell>
          <cell r="B1280" t="str">
            <v>크로노미터 H5</v>
          </cell>
        </row>
        <row r="1281">
          <cell r="A1281">
            <v>22436002</v>
          </cell>
          <cell r="B1281" t="str">
            <v>아샵파트라</v>
          </cell>
        </row>
        <row r="1282">
          <cell r="A1282">
            <v>22436003</v>
          </cell>
          <cell r="B1282" t="str">
            <v>니시가르쉬</v>
          </cell>
        </row>
        <row r="1283">
          <cell r="A1283">
            <v>22441001</v>
          </cell>
          <cell r="B1283" t="str">
            <v>루비 반지</v>
          </cell>
        </row>
        <row r="1284">
          <cell r="A1284">
            <v>22441002</v>
          </cell>
          <cell r="B1284" t="str">
            <v>비취계지</v>
          </cell>
        </row>
        <row r="1285">
          <cell r="A1285">
            <v>22441003</v>
          </cell>
          <cell r="B1285" t="str">
            <v>셀레니티스 반지</v>
          </cell>
        </row>
        <row r="1286">
          <cell r="A1286">
            <v>22441004</v>
          </cell>
          <cell r="B1286" t="str">
            <v>산호 반지</v>
          </cell>
        </row>
        <row r="1287">
          <cell r="A1287">
            <v>22441005</v>
          </cell>
          <cell r="B1287" t="str">
            <v>사파이어 반지</v>
          </cell>
        </row>
        <row r="1288">
          <cell r="A1288">
            <v>22441006</v>
          </cell>
          <cell r="B1288" t="str">
            <v>가닛 반지</v>
          </cell>
        </row>
        <row r="1289">
          <cell r="A1289">
            <v>22441007</v>
          </cell>
          <cell r="B1289" t="str">
            <v>줌루트 유주크</v>
          </cell>
        </row>
        <row r="1290">
          <cell r="A1290">
            <v>22441008</v>
          </cell>
          <cell r="B1290" t="str">
            <v>크리스탈 반지</v>
          </cell>
        </row>
        <row r="1291">
          <cell r="A1291">
            <v>22441009</v>
          </cell>
          <cell r="B1291" t="str">
            <v>토르말리 무다</v>
          </cell>
        </row>
        <row r="1292">
          <cell r="A1292">
            <v>22441010</v>
          </cell>
          <cell r="B1292" t="str">
            <v>오팔 반지</v>
          </cell>
        </row>
        <row r="1293">
          <cell r="A1293">
            <v>22441011</v>
          </cell>
          <cell r="B1293" t="str">
            <v>진주 반지</v>
          </cell>
        </row>
        <row r="1294">
          <cell r="A1294">
            <v>22441012</v>
          </cell>
          <cell r="B1294" t="str">
            <v>다이아몬드 반지</v>
          </cell>
        </row>
        <row r="1295">
          <cell r="A1295">
            <v>22441013</v>
          </cell>
          <cell r="B1295" t="str">
            <v>자수정 반지</v>
          </cell>
        </row>
        <row r="1296">
          <cell r="A1296">
            <v>22441014</v>
          </cell>
          <cell r="B1296" t="str">
            <v>알렉산드라이트 반지</v>
          </cell>
        </row>
        <row r="1297">
          <cell r="A1297">
            <v>22441015</v>
          </cell>
          <cell r="B1297" t="str">
            <v>호박 가락지</v>
          </cell>
        </row>
        <row r="1298">
          <cell r="A1298">
            <v>22441016</v>
          </cell>
          <cell r="B1298" t="str">
            <v>마노 반지</v>
          </cell>
        </row>
        <row r="1299">
          <cell r="A1299">
            <v>22441017</v>
          </cell>
          <cell r="B1299" t="str">
            <v>토파즈 반지</v>
          </cell>
        </row>
        <row r="1300">
          <cell r="A1300">
            <v>22441018</v>
          </cell>
          <cell r="B1300" t="str">
            <v>블랙펄 반지</v>
          </cell>
        </row>
        <row r="1301">
          <cell r="A1301">
            <v>22442001</v>
          </cell>
          <cell r="B1301" t="str">
            <v>루비 귀걸이</v>
          </cell>
        </row>
        <row r="1302">
          <cell r="A1302">
            <v>22442002</v>
          </cell>
          <cell r="B1302" t="str">
            <v>곡옥 부적</v>
          </cell>
        </row>
        <row r="1303">
          <cell r="A1303">
            <v>22442003</v>
          </cell>
          <cell r="B1303" t="str">
            <v>셀레니티스 귀걸이</v>
          </cell>
        </row>
        <row r="1304">
          <cell r="A1304">
            <v>22442004</v>
          </cell>
          <cell r="B1304" t="str">
            <v>산호이환</v>
          </cell>
        </row>
        <row r="1305">
          <cell r="A1305">
            <v>22442005</v>
          </cell>
          <cell r="B1305" t="str">
            <v>사파이어 귀걸이</v>
          </cell>
        </row>
        <row r="1306">
          <cell r="A1306">
            <v>22442006</v>
          </cell>
          <cell r="B1306" t="str">
            <v>가닛 귀걸이</v>
          </cell>
        </row>
        <row r="1307">
          <cell r="A1307">
            <v>22442007</v>
          </cell>
          <cell r="B1307" t="str">
            <v>에메랄드 귀걸이</v>
          </cell>
        </row>
        <row r="1308">
          <cell r="A1308">
            <v>22442008</v>
          </cell>
          <cell r="B1308" t="str">
            <v>크리스탈 귀걸이</v>
          </cell>
        </row>
        <row r="1309">
          <cell r="A1309">
            <v>22442009</v>
          </cell>
          <cell r="B1309" t="str">
            <v>토르말린 올벨</v>
          </cell>
        </row>
        <row r="1310">
          <cell r="A1310">
            <v>22442010</v>
          </cell>
          <cell r="B1310" t="str">
            <v>오팔 귀걸이</v>
          </cell>
        </row>
        <row r="1311">
          <cell r="A1311">
            <v>22442011</v>
          </cell>
          <cell r="B1311" t="str">
            <v>진주 귀걸이</v>
          </cell>
        </row>
        <row r="1312">
          <cell r="A1312">
            <v>22442012</v>
          </cell>
          <cell r="B1312" t="str">
            <v>다이아몬드 귀걸이</v>
          </cell>
        </row>
        <row r="1313">
          <cell r="A1313">
            <v>22442013</v>
          </cell>
          <cell r="B1313" t="str">
            <v>자수정 귀걸이</v>
          </cell>
        </row>
        <row r="1314">
          <cell r="A1314">
            <v>22442014</v>
          </cell>
          <cell r="B1314" t="str">
            <v>알렉산드라이트 세리가</v>
          </cell>
        </row>
        <row r="1315">
          <cell r="A1315">
            <v>22442015</v>
          </cell>
          <cell r="B1315" t="str">
            <v>금패 귀걸이</v>
          </cell>
        </row>
        <row r="1316">
          <cell r="A1316">
            <v>22442016</v>
          </cell>
          <cell r="B1316" t="str">
            <v>마노 귀걸이</v>
          </cell>
        </row>
        <row r="1317">
          <cell r="A1317">
            <v>22442017</v>
          </cell>
          <cell r="B1317" t="str">
            <v>토파즈 귀걸이</v>
          </cell>
        </row>
        <row r="1318">
          <cell r="A1318">
            <v>22442018</v>
          </cell>
          <cell r="B1318" t="str">
            <v>블랙펄 귀걸이</v>
          </cell>
        </row>
        <row r="1319">
          <cell r="A1319">
            <v>22443001</v>
          </cell>
          <cell r="B1319" t="str">
            <v>루비 목걸이</v>
          </cell>
        </row>
        <row r="1320">
          <cell r="A1320">
            <v>22443002</v>
          </cell>
          <cell r="B1320" t="str">
            <v>벽옥항연</v>
          </cell>
        </row>
        <row r="1321">
          <cell r="A1321">
            <v>22443003</v>
          </cell>
          <cell r="B1321" t="str">
            <v>셀레니티스 팔찌</v>
          </cell>
        </row>
        <row r="1322">
          <cell r="A1322">
            <v>22443004</v>
          </cell>
          <cell r="B1322" t="str">
            <v>산호 팔찌</v>
          </cell>
        </row>
        <row r="1323">
          <cell r="A1323">
            <v>22443005</v>
          </cell>
          <cell r="B1323" t="str">
            <v>사파이어 목걸이</v>
          </cell>
        </row>
        <row r="1324">
          <cell r="A1324">
            <v>22443006</v>
          </cell>
          <cell r="B1324" t="str">
            <v>가닛 팔찌</v>
          </cell>
        </row>
        <row r="1325">
          <cell r="A1325">
            <v>22443007</v>
          </cell>
          <cell r="B1325" t="str">
            <v>줌루트 빌레직</v>
          </cell>
        </row>
        <row r="1326">
          <cell r="A1326">
            <v>22443008</v>
          </cell>
          <cell r="B1326" t="str">
            <v>크리스탈 팔찌</v>
          </cell>
        </row>
        <row r="1327">
          <cell r="A1327">
            <v>22443009</v>
          </cell>
          <cell r="B1327" t="str">
            <v>토르말린 팔찌</v>
          </cell>
        </row>
        <row r="1328">
          <cell r="A1328">
            <v>22443010</v>
          </cell>
          <cell r="B1328" t="str">
            <v>오팔 팔찌</v>
          </cell>
        </row>
        <row r="1329">
          <cell r="A1329">
            <v>22443011</v>
          </cell>
          <cell r="B1329" t="str">
            <v>진주 목걸이</v>
          </cell>
        </row>
        <row r="1330">
          <cell r="A1330">
            <v>22443012</v>
          </cell>
          <cell r="B1330" t="str">
            <v>다이아몬드 목걸이</v>
          </cell>
        </row>
        <row r="1331">
          <cell r="A1331">
            <v>22443013</v>
          </cell>
          <cell r="B1331" t="str">
            <v>자수정 목걸이</v>
          </cell>
        </row>
        <row r="1332">
          <cell r="A1332">
            <v>22443014</v>
          </cell>
          <cell r="B1332" t="str">
            <v>묘안석 팔찌</v>
          </cell>
        </row>
        <row r="1333">
          <cell r="A1333">
            <v>22443015</v>
          </cell>
          <cell r="B1333" t="str">
            <v>페니키아 팔찌</v>
          </cell>
        </row>
        <row r="1334">
          <cell r="A1334">
            <v>22443016</v>
          </cell>
          <cell r="B1334" t="str">
            <v>마노 팔찌</v>
          </cell>
        </row>
        <row r="1335">
          <cell r="A1335">
            <v>22443017</v>
          </cell>
          <cell r="B1335" t="str">
            <v>토파즈 팔찌</v>
          </cell>
        </row>
        <row r="1336">
          <cell r="A1336">
            <v>22443018</v>
          </cell>
          <cell r="B1336" t="str">
            <v>블랙펄 팔찌</v>
          </cell>
        </row>
        <row r="1337">
          <cell r="A1337">
            <v>22444001</v>
          </cell>
          <cell r="B1337" t="str">
            <v>피전 블러드 링</v>
          </cell>
        </row>
        <row r="1338">
          <cell r="A1338">
            <v>22444002</v>
          </cell>
          <cell r="B1338" t="str">
            <v>포우나무 헤이 티키</v>
          </cell>
        </row>
        <row r="1339">
          <cell r="A1339">
            <v>22444003</v>
          </cell>
          <cell r="B1339" t="str">
            <v>마카라 칸간</v>
          </cell>
        </row>
        <row r="1340">
          <cell r="A1340">
            <v>22444004</v>
          </cell>
          <cell r="B1340" t="str">
            <v>산호호부</v>
          </cell>
        </row>
        <row r="1341">
          <cell r="A1341">
            <v>22444005</v>
          </cell>
          <cell r="B1341" t="str">
            <v>카롤루스의 탈리스만</v>
          </cell>
        </row>
        <row r="1342">
          <cell r="A1342">
            <v>22444006</v>
          </cell>
          <cell r="B1342" t="str">
            <v>앨먼딘 목걸이</v>
          </cell>
        </row>
        <row r="1343">
          <cell r="A1343">
            <v>22444007</v>
          </cell>
          <cell r="B1343" t="str">
            <v>미낙시 프라티마</v>
          </cell>
        </row>
        <row r="1344">
          <cell r="A1344">
            <v>22444008</v>
          </cell>
          <cell r="B1344" t="str">
            <v>크리스탈 피스트</v>
          </cell>
        </row>
        <row r="1345">
          <cell r="A1345">
            <v>22444009</v>
          </cell>
          <cell r="B1345" t="str">
            <v>빅토리안 브로치</v>
          </cell>
        </row>
        <row r="1346">
          <cell r="A1346">
            <v>22444010</v>
          </cell>
          <cell r="B1346" t="str">
            <v>포실 오팔</v>
          </cell>
        </row>
        <row r="1347">
          <cell r="A1347">
            <v>22444011</v>
          </cell>
          <cell r="B1347" t="str">
            <v>인어루</v>
          </cell>
        </row>
        <row r="1348">
          <cell r="A1348">
            <v>22444012</v>
          </cell>
          <cell r="B1348" t="str">
            <v>루이 드로앙의 선물</v>
          </cell>
        </row>
        <row r="1349">
          <cell r="A1349">
            <v>22444013</v>
          </cell>
          <cell r="B1349" t="str">
            <v>왐펌</v>
          </cell>
        </row>
        <row r="1350">
          <cell r="A1350">
            <v>22444014</v>
          </cell>
          <cell r="B1350" t="str">
            <v>호안석 목걸이</v>
          </cell>
        </row>
        <row r="1351">
          <cell r="A1351">
            <v>22444015</v>
          </cell>
          <cell r="B1351" t="str">
            <v>대삼작노리개</v>
          </cell>
        </row>
        <row r="1352">
          <cell r="A1352">
            <v>22444016</v>
          </cell>
          <cell r="B1352" t="str">
            <v>오닉스 목걸이</v>
          </cell>
        </row>
        <row r="1353">
          <cell r="A1353">
            <v>22444017</v>
          </cell>
          <cell r="B1353" t="str">
            <v>임페리얼 토파즈 반지</v>
          </cell>
        </row>
        <row r="1354">
          <cell r="A1354">
            <v>22444018</v>
          </cell>
          <cell r="B1354" t="str">
            <v>왕비의 목걸이</v>
          </cell>
        </row>
        <row r="1355">
          <cell r="A1355">
            <v>22445001</v>
          </cell>
          <cell r="B1355" t="str">
            <v>기말 링</v>
          </cell>
        </row>
        <row r="1356">
          <cell r="A1356">
            <v>22445002</v>
          </cell>
          <cell r="B1356" t="str">
            <v>금모곡옥</v>
          </cell>
        </row>
        <row r="1357">
          <cell r="A1357">
            <v>22445003</v>
          </cell>
          <cell r="B1357" t="str">
            <v>셀레네의 네클릿</v>
          </cell>
        </row>
        <row r="1358">
          <cell r="A1358">
            <v>22445004</v>
          </cell>
          <cell r="B1358" t="str">
            <v>골드 코랄 네클릿</v>
          </cell>
        </row>
        <row r="1359">
          <cell r="A1359">
            <v>22445005</v>
          </cell>
          <cell r="B1359" t="str">
            <v>호수의 여인의 네클릿</v>
          </cell>
        </row>
        <row r="1360">
          <cell r="A1360">
            <v>22445006</v>
          </cell>
          <cell r="B1360" t="str">
            <v>카벙클 이어링</v>
          </cell>
        </row>
        <row r="1361">
          <cell r="A1361">
            <v>22445007</v>
          </cell>
          <cell r="B1361" t="str">
            <v>정복자의 에메랄드 링</v>
          </cell>
        </row>
        <row r="1362">
          <cell r="A1362">
            <v>22445008</v>
          </cell>
          <cell r="B1362" t="str">
            <v>신라 수정 목걸이</v>
          </cell>
        </row>
        <row r="1363">
          <cell r="A1363">
            <v>22445009</v>
          </cell>
          <cell r="B1363" t="str">
            <v>니벨룽겐의 반지</v>
          </cell>
        </row>
        <row r="1364">
          <cell r="A1364">
            <v>22445010</v>
          </cell>
          <cell r="B1364" t="str">
            <v>오르파누스</v>
          </cell>
        </row>
        <row r="1365">
          <cell r="A1365">
            <v>22445011</v>
          </cell>
          <cell r="B1365" t="str">
            <v>클레오파트라의 이어링</v>
          </cell>
        </row>
        <row r="1366">
          <cell r="A1366">
            <v>22445012</v>
          </cell>
          <cell r="B1366" t="str">
            <v>타르바니에 블루 링</v>
          </cell>
        </row>
        <row r="1367">
          <cell r="A1367">
            <v>22445013</v>
          </cell>
          <cell r="B1367" t="str">
            <v>디오니소스 브로치</v>
          </cell>
        </row>
        <row r="1368">
          <cell r="A1368">
            <v>22445014</v>
          </cell>
          <cell r="B1368" t="str">
            <v>케투의 칸 키 발리</v>
          </cell>
        </row>
        <row r="1369">
          <cell r="A1369">
            <v>22445015</v>
          </cell>
          <cell r="B1369" t="str">
            <v>얀타르니 칼초</v>
          </cell>
        </row>
        <row r="1370">
          <cell r="A1370">
            <v>22445016</v>
          </cell>
          <cell r="B1370" t="str">
            <v>에로스의 칼피</v>
          </cell>
        </row>
        <row r="1371">
          <cell r="A1371">
            <v>22445017</v>
          </cell>
          <cell r="B1371" t="str">
            <v>차리나의 아제렐리예</v>
          </cell>
        </row>
        <row r="1372">
          <cell r="A1372">
            <v>22445018</v>
          </cell>
          <cell r="B1372" t="str">
            <v>퀸 오브 블랙펄</v>
          </cell>
        </row>
        <row r="1373">
          <cell r="A1373">
            <v>22446001</v>
          </cell>
          <cell r="B1373" t="str">
            <v>수리아의 가호</v>
          </cell>
        </row>
        <row r="1374">
          <cell r="A1374">
            <v>22446002</v>
          </cell>
          <cell r="B1374" t="str">
            <v>전국옥새</v>
          </cell>
        </row>
        <row r="1375">
          <cell r="A1375">
            <v>22446003</v>
          </cell>
          <cell r="B1375" t="str">
            <v>아르마의 빛</v>
          </cell>
        </row>
        <row r="1376">
          <cell r="A1376">
            <v>22446004</v>
          </cell>
          <cell r="B1376" t="str">
            <v>메두사의 피</v>
          </cell>
        </row>
        <row r="1377">
          <cell r="A1377">
            <v>22446005</v>
          </cell>
          <cell r="B1377" t="str">
            <v>하르모니아의 네클릿</v>
          </cell>
        </row>
        <row r="1378">
          <cell r="A1378">
            <v>22446006</v>
          </cell>
          <cell r="B1378" t="str">
            <v>키나리스 디아뎀</v>
          </cell>
        </row>
        <row r="1379">
          <cell r="A1379">
            <v>22446007</v>
          </cell>
          <cell r="B1379" t="str">
            <v>에메랄드 맨</v>
          </cell>
        </row>
        <row r="1380">
          <cell r="A1380">
            <v>22446008</v>
          </cell>
          <cell r="B1380" t="str">
            <v>참스톤</v>
          </cell>
        </row>
        <row r="1381">
          <cell r="A1381">
            <v>22446009</v>
          </cell>
          <cell r="B1381" t="str">
            <v>링구리움 이어링</v>
          </cell>
        </row>
        <row r="1382">
          <cell r="A1382">
            <v>22446010</v>
          </cell>
          <cell r="B1382" t="str">
            <v>보천석</v>
          </cell>
        </row>
        <row r="1383">
          <cell r="A1383">
            <v>22446011</v>
          </cell>
          <cell r="B1383" t="str">
            <v>앤 불린의 네클릿</v>
          </cell>
        </row>
        <row r="1384">
          <cell r="A1384">
            <v>22446012</v>
          </cell>
          <cell r="B1384" t="str">
            <v>코이누르</v>
          </cell>
        </row>
        <row r="1385">
          <cell r="A1385">
            <v>22446013</v>
          </cell>
          <cell r="B1385" t="str">
            <v>솔로몬의 시그넷 링</v>
          </cell>
        </row>
        <row r="1386">
          <cell r="A1386">
            <v>22446014</v>
          </cell>
          <cell r="B1386" t="str">
            <v>알라 앗 딘의 카아티문</v>
          </cell>
        </row>
        <row r="1387">
          <cell r="A1387">
            <v>22446015</v>
          </cell>
          <cell r="B1387" t="str">
            <v>브리싱가멘</v>
          </cell>
        </row>
        <row r="1388">
          <cell r="A1388">
            <v>22446016</v>
          </cell>
          <cell r="B1388" t="str">
            <v>사르마티아의 사도닉스</v>
          </cell>
        </row>
        <row r="1389">
          <cell r="A1389">
            <v>22446017</v>
          </cell>
          <cell r="B1389" t="str">
            <v>토파즈 스카라베</v>
          </cell>
        </row>
        <row r="1390">
          <cell r="A1390">
            <v>22446018</v>
          </cell>
          <cell r="B1390" t="str">
            <v>타네 테코테코</v>
          </cell>
        </row>
        <row r="1391">
          <cell r="A1391">
            <v>22471001</v>
          </cell>
          <cell r="B1391" t="str">
            <v>미스테카의 귀걸이</v>
          </cell>
        </row>
        <row r="1392">
          <cell r="A1392">
            <v>22472001</v>
          </cell>
          <cell r="B1392" t="str">
            <v>토크</v>
          </cell>
        </row>
        <row r="1393">
          <cell r="A1393">
            <v>22473001</v>
          </cell>
          <cell r="B1393" t="str">
            <v>신소부 여왕의 귀걸이</v>
          </cell>
        </row>
        <row r="1394">
          <cell r="A1394">
            <v>22473003</v>
          </cell>
          <cell r="B1394" t="str">
            <v>말린체의 목걸이</v>
          </cell>
        </row>
        <row r="1395">
          <cell r="A1395">
            <v>22473005</v>
          </cell>
          <cell r="B1395" t="str">
            <v>폴리크라테스의 반지</v>
          </cell>
        </row>
        <row r="1396">
          <cell r="A1396">
            <v>22473007</v>
          </cell>
          <cell r="B1396" t="str">
            <v>빙하 선단의 귀걸이</v>
          </cell>
        </row>
        <row r="1397">
          <cell r="A1397">
            <v>22473008</v>
          </cell>
          <cell r="B1397" t="str">
            <v>붉은 산호섬의 반지</v>
          </cell>
        </row>
        <row r="1398">
          <cell r="A1398">
            <v>22473009</v>
          </cell>
          <cell r="B1398" t="str">
            <v>상단 연합의 목걸이</v>
          </cell>
        </row>
        <row r="1399">
          <cell r="A1399">
            <v>22474001</v>
          </cell>
          <cell r="B1399" t="str">
            <v>칸슐왕의 팔찌</v>
          </cell>
        </row>
        <row r="1400">
          <cell r="A1400">
            <v>22474003</v>
          </cell>
          <cell r="B1400" t="str">
            <v>클레오파트라의 가슴 장식</v>
          </cell>
        </row>
        <row r="1401">
          <cell r="A1401">
            <v>22474005</v>
          </cell>
          <cell r="B1401" t="str">
            <v>북해 연합의 목걸이</v>
          </cell>
        </row>
        <row r="1402">
          <cell r="A1402">
            <v>22474006</v>
          </cell>
          <cell r="B1402" t="str">
            <v>진주섬의 반지</v>
          </cell>
        </row>
        <row r="1403">
          <cell r="A1403">
            <v>22474007</v>
          </cell>
          <cell r="B1403" t="str">
            <v>폭풍 선단의 시계</v>
          </cell>
        </row>
        <row r="1404">
          <cell r="A1404">
            <v>22475001</v>
          </cell>
          <cell r="B1404" t="str">
            <v>솔로몬의 반지</v>
          </cell>
        </row>
        <row r="1405">
          <cell r="A1405">
            <v>22511001</v>
          </cell>
          <cell r="B1405" t="str">
            <v>리넨 케이프</v>
          </cell>
        </row>
        <row r="1406">
          <cell r="A1406">
            <v>22511003</v>
          </cell>
          <cell r="B1406" t="str">
            <v>칼라 케이프</v>
          </cell>
        </row>
        <row r="1407">
          <cell r="A1407">
            <v>22511004</v>
          </cell>
          <cell r="B1407" t="str">
            <v>망토</v>
          </cell>
        </row>
        <row r="1408">
          <cell r="A1408">
            <v>22511007</v>
          </cell>
          <cell r="B1408" t="str">
            <v>응우옌 케이프</v>
          </cell>
        </row>
        <row r="1409">
          <cell r="A1409">
            <v>22511009</v>
          </cell>
          <cell r="B1409" t="str">
            <v>짐승가죽 망토</v>
          </cell>
        </row>
        <row r="1410">
          <cell r="A1410">
            <v>22511011</v>
          </cell>
          <cell r="B1410" t="str">
            <v>청산 망토</v>
          </cell>
        </row>
        <row r="1411">
          <cell r="A1411">
            <v>22511013</v>
          </cell>
          <cell r="B1411" t="str">
            <v>쓰개치마</v>
          </cell>
        </row>
        <row r="1412">
          <cell r="A1412">
            <v>22511015</v>
          </cell>
          <cell r="B1412" t="str">
            <v>폰초</v>
          </cell>
        </row>
        <row r="1413">
          <cell r="A1413">
            <v>22511017</v>
          </cell>
          <cell r="B1413" t="str">
            <v>슈카</v>
          </cell>
        </row>
        <row r="1414">
          <cell r="A1414">
            <v>22511019</v>
          </cell>
          <cell r="B1414" t="str">
            <v>주바토베 케이프</v>
          </cell>
        </row>
        <row r="1415">
          <cell r="A1415">
            <v>22511021</v>
          </cell>
          <cell r="B1415" t="str">
            <v>두파타</v>
          </cell>
        </row>
        <row r="1416">
          <cell r="A1416">
            <v>22512001</v>
          </cell>
          <cell r="B1416" t="str">
            <v>브로치 케이프</v>
          </cell>
        </row>
        <row r="1417">
          <cell r="A1417">
            <v>22512003</v>
          </cell>
          <cell r="B1417" t="str">
            <v>더블 케이프</v>
          </cell>
        </row>
        <row r="1418">
          <cell r="A1418">
            <v>22512005</v>
          </cell>
          <cell r="B1418" t="str">
            <v>벨벳 케이프</v>
          </cell>
        </row>
        <row r="1419">
          <cell r="A1419">
            <v>22512007</v>
          </cell>
          <cell r="B1419" t="str">
            <v>싸빠이</v>
          </cell>
        </row>
        <row r="1420">
          <cell r="A1420">
            <v>22512009</v>
          </cell>
          <cell r="B1420" t="str">
            <v>우직</v>
          </cell>
        </row>
        <row r="1421">
          <cell r="A1421">
            <v>22512011</v>
          </cell>
          <cell r="B1421" t="str">
            <v>적포</v>
          </cell>
        </row>
        <row r="1422">
          <cell r="A1422">
            <v>22512013</v>
          </cell>
          <cell r="B1422" t="str">
            <v>두루마기</v>
          </cell>
        </row>
        <row r="1423">
          <cell r="A1423">
            <v>22512015</v>
          </cell>
          <cell r="B1423" t="str">
            <v>여행자의 폰초</v>
          </cell>
        </row>
        <row r="1424">
          <cell r="A1424">
            <v>22512017</v>
          </cell>
          <cell r="B1424" t="str">
            <v>족장의 슈카</v>
          </cell>
        </row>
        <row r="1425">
          <cell r="A1425">
            <v>22512019</v>
          </cell>
          <cell r="B1425" t="str">
            <v>밤하늘</v>
          </cell>
        </row>
        <row r="1426">
          <cell r="A1426">
            <v>22512021</v>
          </cell>
          <cell r="B1426" t="str">
            <v>파시미나 케이프</v>
          </cell>
        </row>
        <row r="1427">
          <cell r="A1427">
            <v>22513001</v>
          </cell>
          <cell r="B1427" t="str">
            <v>엠브로이더리 케이프</v>
          </cell>
        </row>
        <row r="1428">
          <cell r="A1428">
            <v>22513003</v>
          </cell>
          <cell r="B1428" t="str">
            <v>가스팔의 망토</v>
          </cell>
        </row>
        <row r="1429">
          <cell r="A1429">
            <v>22513005</v>
          </cell>
          <cell r="B1429" t="str">
            <v>에스메랄다의 망토</v>
          </cell>
        </row>
        <row r="1430">
          <cell r="A1430">
            <v>22513007</v>
          </cell>
          <cell r="B1430" t="str">
            <v xml:space="preserve">하이드레인지아 케이프 </v>
          </cell>
        </row>
        <row r="1431">
          <cell r="A1431">
            <v>22513009</v>
          </cell>
          <cell r="B1431" t="str">
            <v>꽃무늬 우직</v>
          </cell>
        </row>
        <row r="1432">
          <cell r="A1432">
            <v>22513011</v>
          </cell>
          <cell r="B1432" t="str">
            <v>촉금</v>
          </cell>
        </row>
        <row r="1433">
          <cell r="A1433">
            <v>22513013</v>
          </cell>
          <cell r="B1433" t="str">
            <v>장옷</v>
          </cell>
        </row>
        <row r="1434">
          <cell r="A1434">
            <v>22513015</v>
          </cell>
          <cell r="B1434" t="str">
            <v>정령의 폰초</v>
          </cell>
        </row>
        <row r="1435">
          <cell r="A1435">
            <v>22513017</v>
          </cell>
          <cell r="B1435" t="str">
            <v>레드 슈카</v>
          </cell>
        </row>
        <row r="1436">
          <cell r="A1436">
            <v>22513019</v>
          </cell>
          <cell r="B1436" t="str">
            <v>왕가의 망토</v>
          </cell>
        </row>
        <row r="1437">
          <cell r="A1437">
            <v>22513021</v>
          </cell>
          <cell r="B1437" t="str">
            <v>페이즐리 티펫</v>
          </cell>
        </row>
        <row r="1438">
          <cell r="A1438">
            <v>22573001</v>
          </cell>
          <cell r="B1438" t="str">
            <v>빙하 선단의 망토</v>
          </cell>
        </row>
        <row r="1439">
          <cell r="A1439">
            <v>22573002</v>
          </cell>
          <cell r="B1439" t="str">
            <v>붉은 산호섬의 망토</v>
          </cell>
        </row>
        <row r="1440">
          <cell r="A1440">
            <v>22573003</v>
          </cell>
          <cell r="B1440" t="str">
            <v>상단 연합의 망토</v>
          </cell>
        </row>
        <row r="1441">
          <cell r="A1441">
            <v>22514001</v>
          </cell>
          <cell r="B1441" t="str">
            <v>쿠아우틀리 틸마틀리</v>
          </cell>
        </row>
        <row r="1442">
          <cell r="A1442">
            <v>22514003</v>
          </cell>
          <cell r="B1442" t="str">
            <v>무흐테솀 펠레린</v>
          </cell>
        </row>
        <row r="1443">
          <cell r="A1443">
            <v>22514005</v>
          </cell>
          <cell r="B1443" t="str">
            <v>쥬얼리 케이프</v>
          </cell>
        </row>
        <row r="1444">
          <cell r="A1444">
            <v>22514007</v>
          </cell>
          <cell r="B1444" t="str">
            <v>펠리스</v>
          </cell>
        </row>
        <row r="1445">
          <cell r="A1445">
            <v>22514009</v>
          </cell>
          <cell r="B1445" t="str">
            <v>메호바야 나킷카</v>
          </cell>
        </row>
        <row r="1446">
          <cell r="A1446">
            <v>22514011</v>
          </cell>
          <cell r="B1446" t="str">
            <v>마르티네스의 망토</v>
          </cell>
        </row>
        <row r="1447">
          <cell r="A1447">
            <v>22514013</v>
          </cell>
          <cell r="B1447" t="str">
            <v>레겐트 나킷카</v>
          </cell>
        </row>
        <row r="1448">
          <cell r="A1448">
            <v>22519024</v>
          </cell>
          <cell r="B1448" t="str">
            <v>대해적의 코트</v>
          </cell>
        </row>
        <row r="1449">
          <cell r="A1449">
            <v>22574001</v>
          </cell>
          <cell r="B1449" t="str">
            <v>북해 연합의 망토</v>
          </cell>
        </row>
        <row r="1450">
          <cell r="A1450">
            <v>22574002</v>
          </cell>
          <cell r="B1450" t="str">
            <v>진주섬의 망토</v>
          </cell>
        </row>
        <row r="1451">
          <cell r="A1451">
            <v>22574003</v>
          </cell>
          <cell r="B1451" t="str">
            <v>폭풍 선단의 망토</v>
          </cell>
        </row>
        <row r="1452">
          <cell r="A1452">
            <v>22564801</v>
          </cell>
          <cell r="B1452" t="str">
            <v>비술의 보석 망토</v>
          </cell>
        </row>
        <row r="1453">
          <cell r="A1453">
            <v>22564802</v>
          </cell>
          <cell r="B1453" t="str">
            <v>비술의 문양 망토</v>
          </cell>
        </row>
        <row r="1454">
          <cell r="A1454">
            <v>22611001</v>
          </cell>
          <cell r="B1454" t="str">
            <v>복면</v>
          </cell>
        </row>
        <row r="1455">
          <cell r="A1455">
            <v>22611002</v>
          </cell>
          <cell r="B1455" t="str">
            <v>안대</v>
          </cell>
        </row>
        <row r="1456">
          <cell r="A1456">
            <v>22611003</v>
          </cell>
          <cell r="B1456" t="str">
            <v>안경</v>
          </cell>
        </row>
        <row r="1457">
          <cell r="A1457">
            <v>22611004</v>
          </cell>
          <cell r="B1457" t="str">
            <v>요루바 가면</v>
          </cell>
        </row>
        <row r="1458">
          <cell r="A1458">
            <v>22611005</v>
          </cell>
          <cell r="B1458" t="str">
            <v>고대 이집트 눈화장</v>
          </cell>
        </row>
        <row r="1459">
          <cell r="A1459">
            <v>22611006</v>
          </cell>
          <cell r="B1459" t="str">
            <v>타 모코</v>
          </cell>
        </row>
        <row r="1460">
          <cell r="A1460">
            <v>22611007</v>
          </cell>
          <cell r="B1460" t="str">
            <v>밧줄 머리띠</v>
          </cell>
        </row>
        <row r="1461">
          <cell r="A1461">
            <v>22611008</v>
          </cell>
          <cell r="B1461" t="str">
            <v>코걸이</v>
          </cell>
        </row>
        <row r="1462">
          <cell r="A1462">
            <v>22611009</v>
          </cell>
          <cell r="B1462" t="str">
            <v>나뭇가지</v>
          </cell>
        </row>
        <row r="1463">
          <cell r="A1463">
            <v>22611010</v>
          </cell>
          <cell r="B1463" t="str">
            <v>머리붕대</v>
          </cell>
        </row>
        <row r="1464">
          <cell r="A1464">
            <v>22611011</v>
          </cell>
          <cell r="B1464" t="str">
            <v>에그토스트</v>
          </cell>
        </row>
        <row r="1465">
          <cell r="A1465">
            <v>22611012</v>
          </cell>
          <cell r="B1465" t="str">
            <v>붉은 장미</v>
          </cell>
        </row>
        <row r="1466">
          <cell r="A1466">
            <v>22611013</v>
          </cell>
          <cell r="B1466" t="str">
            <v>연지곤지</v>
          </cell>
        </row>
        <row r="1467">
          <cell r="A1467">
            <v>22612001</v>
          </cell>
          <cell r="B1467" t="str">
            <v>고대의 석가면</v>
          </cell>
        </row>
        <row r="1468">
          <cell r="A1468">
            <v>22612002</v>
          </cell>
          <cell r="B1468" t="str">
            <v>해적의 안대</v>
          </cell>
        </row>
        <row r="1469">
          <cell r="A1469">
            <v>22612003</v>
          </cell>
          <cell r="B1469" t="str">
            <v>히우테크틀리 가면</v>
          </cell>
        </row>
        <row r="1470">
          <cell r="A1470">
            <v>22612004</v>
          </cell>
          <cell r="B1470" t="str">
            <v>기린 가면</v>
          </cell>
        </row>
        <row r="1471">
          <cell r="A1471">
            <v>22612005</v>
          </cell>
          <cell r="B1471" t="str">
            <v>가부키 가면</v>
          </cell>
        </row>
        <row r="1472">
          <cell r="A1472">
            <v>22612006</v>
          </cell>
          <cell r="B1472" t="str">
            <v>북아메리카 선주민 화장</v>
          </cell>
        </row>
        <row r="1473">
          <cell r="A1473">
            <v>22612007</v>
          </cell>
          <cell r="B1473" t="str">
            <v>진주 머리장식</v>
          </cell>
        </row>
        <row r="1474">
          <cell r="A1474">
            <v>22612008</v>
          </cell>
          <cell r="B1474" t="str">
            <v>발명가의 안경</v>
          </cell>
        </row>
        <row r="1475">
          <cell r="A1475">
            <v>22612009</v>
          </cell>
          <cell r="B1475" t="str">
            <v>화전</v>
          </cell>
        </row>
        <row r="1476">
          <cell r="A1476">
            <v>22612010</v>
          </cell>
          <cell r="B1476" t="str">
            <v>파이프 담배</v>
          </cell>
        </row>
        <row r="1477">
          <cell r="A1477">
            <v>22612011</v>
          </cell>
          <cell r="B1477" t="str">
            <v>눈사람 장식</v>
          </cell>
        </row>
        <row r="1478">
          <cell r="A1478">
            <v>22612012</v>
          </cell>
          <cell r="B1478" t="str">
            <v>소용돌이 사탕</v>
          </cell>
        </row>
        <row r="1479">
          <cell r="A1479">
            <v>22612013</v>
          </cell>
          <cell r="B1479" t="str">
            <v>선주민 사냥꾼 화장</v>
          </cell>
        </row>
        <row r="1480">
          <cell r="A1480">
            <v>22612014</v>
          </cell>
          <cell r="B1480" t="str">
            <v>고양이 발자국</v>
          </cell>
        </row>
        <row r="1481">
          <cell r="A1481">
            <v>22612015</v>
          </cell>
          <cell r="B1481" t="str">
            <v>사랑의 편지</v>
          </cell>
        </row>
        <row r="1482">
          <cell r="A1482">
            <v>22612016</v>
          </cell>
          <cell r="B1482" t="str">
            <v>붕대 복면</v>
          </cell>
        </row>
        <row r="1483">
          <cell r="A1483">
            <v>22612017</v>
          </cell>
          <cell r="B1483" t="str">
            <v>붕대 안대</v>
          </cell>
        </row>
        <row r="1484">
          <cell r="A1484">
            <v>22612018</v>
          </cell>
          <cell r="B1484" t="str">
            <v>괴물의 흉터</v>
          </cell>
        </row>
        <row r="1485">
          <cell r="A1485">
            <v>22612019</v>
          </cell>
          <cell r="B1485" t="str">
            <v>크루제바 안대</v>
          </cell>
        </row>
        <row r="1486">
          <cell r="A1486">
            <v>22612020</v>
          </cell>
          <cell r="B1486" t="str">
            <v>루주 자국</v>
          </cell>
        </row>
        <row r="1487">
          <cell r="A1487">
            <v>22612021</v>
          </cell>
          <cell r="B1487" t="str">
            <v>하트 안경</v>
          </cell>
        </row>
        <row r="1488">
          <cell r="A1488">
            <v>22612022</v>
          </cell>
          <cell r="B1488" t="str">
            <v>수면 안대</v>
          </cell>
        </row>
        <row r="1489">
          <cell r="A1489">
            <v>22612023</v>
          </cell>
          <cell r="B1489" t="str">
            <v>미라 붕대</v>
          </cell>
        </row>
        <row r="1490">
          <cell r="A1490">
            <v>22612024</v>
          </cell>
          <cell r="B1490" t="str">
            <v>강아지 코 장식</v>
          </cell>
        </row>
        <row r="1491">
          <cell r="A1491">
            <v>22612025</v>
          </cell>
          <cell r="B1491" t="str">
            <v>피노키오 코 장식</v>
          </cell>
        </row>
        <row r="1492">
          <cell r="A1492">
            <v>22612026</v>
          </cell>
          <cell r="B1492" t="str">
            <v>고대 그리스 화장</v>
          </cell>
        </row>
        <row r="1493">
          <cell r="A1493">
            <v>22612027</v>
          </cell>
          <cell r="B1493" t="str">
            <v>루돌프 코 장식</v>
          </cell>
        </row>
        <row r="1494">
          <cell r="A1494">
            <v>22613001</v>
          </cell>
          <cell r="B1494" t="str">
            <v>면구</v>
          </cell>
        </row>
        <row r="1495">
          <cell r="A1495">
            <v>22613002</v>
          </cell>
          <cell r="B1495" t="str">
            <v>역병 의사 가면</v>
          </cell>
        </row>
        <row r="1496">
          <cell r="A1496">
            <v>22613003</v>
          </cell>
          <cell r="B1496" t="str">
            <v>오페라 가면</v>
          </cell>
        </row>
        <row r="1497">
          <cell r="A1497">
            <v>22613004</v>
          </cell>
          <cell r="B1497" t="str">
            <v>단안경</v>
          </cell>
        </row>
        <row r="1498">
          <cell r="A1498">
            <v>22613005</v>
          </cell>
          <cell r="B1498" t="str">
            <v>얼음 가면</v>
          </cell>
        </row>
        <row r="1499">
          <cell r="A1499">
            <v>22613006</v>
          </cell>
          <cell r="B1499" t="str">
            <v>초승달 머리띠</v>
          </cell>
        </row>
        <row r="1500">
          <cell r="A1500">
            <v>22613007</v>
          </cell>
          <cell r="B1500" t="str">
            <v>다이아몬드 가면</v>
          </cell>
        </row>
        <row r="1501">
          <cell r="A1501">
            <v>22613008</v>
          </cell>
          <cell r="B1501" t="str">
            <v>오리 입 장식</v>
          </cell>
        </row>
        <row r="1502">
          <cell r="A1502">
            <v>22613009</v>
          </cell>
          <cell r="B1502" t="str">
            <v>강시 부적</v>
          </cell>
        </row>
        <row r="1503">
          <cell r="A1503">
            <v>22613010</v>
          </cell>
          <cell r="B1503" t="str">
            <v>코주부 안경</v>
          </cell>
        </row>
        <row r="1504">
          <cell r="A1504">
            <v>22613011</v>
          </cell>
          <cell r="B1504" t="str">
            <v>해적의 장미 안대</v>
          </cell>
        </row>
        <row r="1505">
          <cell r="A1505">
            <v>22613012</v>
          </cell>
          <cell r="B1505" t="str">
            <v>유령의 가면</v>
          </cell>
        </row>
        <row r="1506">
          <cell r="A1506">
            <v>22613013</v>
          </cell>
          <cell r="B1506" t="str">
            <v>해적의 간식</v>
          </cell>
        </row>
        <row r="1507">
          <cell r="A1507">
            <v>22613014</v>
          </cell>
          <cell r="B1507" t="str">
            <v>오이 화장</v>
          </cell>
        </row>
        <row r="1508">
          <cell r="A1508">
            <v>22613015</v>
          </cell>
          <cell r="B1508" t="str">
            <v>맹수 가면</v>
          </cell>
        </row>
        <row r="1509">
          <cell r="A1509">
            <v>22613016</v>
          </cell>
          <cell r="B1509" t="str">
            <v>월계관</v>
          </cell>
        </row>
        <row r="1510">
          <cell r="A1510">
            <v>22613017</v>
          </cell>
          <cell r="B1510" t="str">
            <v>심안 화장</v>
          </cell>
        </row>
        <row r="1511">
          <cell r="A1511">
            <v>22613018</v>
          </cell>
          <cell r="B1511" t="str">
            <v>애착거미</v>
          </cell>
        </row>
        <row r="1512">
          <cell r="A1512">
            <v>22613019</v>
          </cell>
          <cell r="B1512" t="str">
            <v>각진 색안경</v>
          </cell>
        </row>
        <row r="1513">
          <cell r="A1513">
            <v>22613020</v>
          </cell>
          <cell r="B1513" t="str">
            <v>저팔계 장식</v>
          </cell>
        </row>
        <row r="1514">
          <cell r="A1514">
            <v>22613021</v>
          </cell>
          <cell r="B1514" t="str">
            <v>오데투의 가면</v>
          </cell>
        </row>
        <row r="1515">
          <cell r="A1515">
            <v>22613022</v>
          </cell>
          <cell r="B1515" t="str">
            <v>검은 베일</v>
          </cell>
        </row>
        <row r="1516">
          <cell r="A1516">
            <v>22613023</v>
          </cell>
          <cell r="B1516" t="str">
            <v>나스</v>
          </cell>
        </row>
        <row r="1517">
          <cell r="A1517">
            <v>22613024</v>
          </cell>
          <cell r="B1517" t="str">
            <v>광대 가면</v>
          </cell>
        </row>
        <row r="1518">
          <cell r="A1518">
            <v>22613025</v>
          </cell>
          <cell r="B1518" t="str">
            <v>괴도의 가면</v>
          </cell>
        </row>
        <row r="1519">
          <cell r="A1519">
            <v>22613026</v>
          </cell>
          <cell r="B1519" t="str">
            <v>격자무늬 가면</v>
          </cell>
        </row>
        <row r="1520">
          <cell r="A1520">
            <v>22613027</v>
          </cell>
          <cell r="B1520" t="str">
            <v>함진아비 가면</v>
          </cell>
        </row>
        <row r="1521">
          <cell r="A1521">
            <v>22613028</v>
          </cell>
          <cell r="B1521" t="str">
            <v>무희의 머리장식</v>
          </cell>
        </row>
        <row r="1522">
          <cell r="A1522">
            <v>22613029</v>
          </cell>
          <cell r="B1522" t="str">
            <v>고글</v>
          </cell>
        </row>
        <row r="1523">
          <cell r="A1523">
            <v>22613030</v>
          </cell>
          <cell r="B1523" t="str">
            <v>점술가의 별 머리장식</v>
          </cell>
        </row>
        <row r="1524">
          <cell r="A1524">
            <v>22613031</v>
          </cell>
          <cell r="B1524" t="str">
            <v>판금 가면</v>
          </cell>
        </row>
        <row r="1525">
          <cell r="A1525">
            <v>22613032</v>
          </cell>
          <cell r="B1525" t="str">
            <v>프릴 하트 안대</v>
          </cell>
        </row>
        <row r="1526">
          <cell r="A1526">
            <v>22613033</v>
          </cell>
          <cell r="B1526" t="str">
            <v>유리 가면</v>
          </cell>
        </row>
        <row r="1527">
          <cell r="A1527">
            <v>22613034</v>
          </cell>
          <cell r="B1527" t="str">
            <v>관심법의 안대</v>
          </cell>
        </row>
        <row r="1528">
          <cell r="A1528">
            <v>22613035</v>
          </cell>
          <cell r="B1528" t="str">
            <v>파피용 가면</v>
          </cell>
        </row>
        <row r="1529">
          <cell r="A1529">
            <v>22673007</v>
          </cell>
          <cell r="B1529" t="str">
            <v>빙하 선단의 가면</v>
          </cell>
        </row>
        <row r="1530">
          <cell r="A1530">
            <v>22673008</v>
          </cell>
          <cell r="B1530" t="str">
            <v>붉은 산호섬의 단안경</v>
          </cell>
        </row>
        <row r="1531">
          <cell r="A1531">
            <v>22673009</v>
          </cell>
          <cell r="B1531" t="str">
            <v>상단 연합의 머리띠</v>
          </cell>
        </row>
        <row r="1532">
          <cell r="A1532">
            <v>22614001</v>
          </cell>
          <cell r="B1532" t="str">
            <v>코스모 가면</v>
          </cell>
        </row>
        <row r="1533">
          <cell r="A1533">
            <v>22614002</v>
          </cell>
          <cell r="B1533" t="str">
            <v>양반탈</v>
          </cell>
        </row>
        <row r="1534">
          <cell r="A1534">
            <v>22614003</v>
          </cell>
          <cell r="B1534" t="str">
            <v>카니발 가면</v>
          </cell>
        </row>
        <row r="1535">
          <cell r="A1535">
            <v>22614004</v>
          </cell>
          <cell r="B1535" t="str">
            <v>가이 포크스 가면</v>
          </cell>
        </row>
        <row r="1536">
          <cell r="A1536">
            <v>22614005</v>
          </cell>
          <cell r="B1536" t="str">
            <v>하트 여왕의 가면</v>
          </cell>
        </row>
        <row r="1537">
          <cell r="A1537">
            <v>22614006</v>
          </cell>
          <cell r="B1537" t="str">
            <v>의적의 가면</v>
          </cell>
        </row>
        <row r="1538">
          <cell r="A1538">
            <v>22614007</v>
          </cell>
          <cell r="B1538" t="str">
            <v>요정의 머리장식</v>
          </cell>
        </row>
        <row r="1539">
          <cell r="A1539">
            <v>22614008</v>
          </cell>
          <cell r="B1539" t="str">
            <v>호루스의 눈화장</v>
          </cell>
        </row>
        <row r="1540">
          <cell r="A1540">
            <v>22614009</v>
          </cell>
          <cell r="B1540" t="str">
            <v>티키 가면</v>
          </cell>
        </row>
        <row r="1541">
          <cell r="A1541">
            <v>22614010</v>
          </cell>
          <cell r="B1541" t="str">
            <v>북청사자탈</v>
          </cell>
        </row>
        <row r="1542">
          <cell r="A1542">
            <v>22614011</v>
          </cell>
          <cell r="B1542" t="str">
            <v>한냐 가면</v>
          </cell>
        </row>
        <row r="1543">
          <cell r="A1543">
            <v>22614012</v>
          </cell>
          <cell r="B1543" t="str">
            <v>귀부인의 가면</v>
          </cell>
        </row>
        <row r="1544">
          <cell r="A1544">
            <v>22614013</v>
          </cell>
          <cell r="B1544" t="str">
            <v>왕의 가면</v>
          </cell>
        </row>
        <row r="1545">
          <cell r="A1545">
            <v>22614014</v>
          </cell>
          <cell r="B1545" t="str">
            <v>여왕의 가면</v>
          </cell>
        </row>
        <row r="1546">
          <cell r="A1546">
            <v>22614015</v>
          </cell>
          <cell r="B1546" t="str">
            <v>선주민 수호자의 가면</v>
          </cell>
        </row>
        <row r="1547">
          <cell r="A1547">
            <v>22614016</v>
          </cell>
          <cell r="B1547" t="str">
            <v>도하신의 가면</v>
          </cell>
        </row>
        <row r="1548">
          <cell r="A1548">
            <v>22614017</v>
          </cell>
          <cell r="B1548" t="str">
            <v>돌사자 가면</v>
          </cell>
        </row>
        <row r="1549">
          <cell r="A1549">
            <v>22614018</v>
          </cell>
          <cell r="B1549" t="str">
            <v>검무사의 안대</v>
          </cell>
        </row>
        <row r="1550">
          <cell r="A1550">
            <v>22614019</v>
          </cell>
          <cell r="B1550" t="str">
            <v>무도회 가면</v>
          </cell>
        </row>
        <row r="1551">
          <cell r="A1551">
            <v>22614020</v>
          </cell>
          <cell r="B1551" t="str">
            <v>무법자의 가죽 가면</v>
          </cell>
        </row>
        <row r="1552">
          <cell r="A1552">
            <v>22614021</v>
          </cell>
          <cell r="B1552" t="str">
            <v>베들라 가면</v>
          </cell>
        </row>
        <row r="1553">
          <cell r="A1553">
            <v>22614022</v>
          </cell>
          <cell r="B1553" t="str">
            <v>사안의 안대</v>
          </cell>
        </row>
        <row r="1554">
          <cell r="A1554">
            <v>22614023</v>
          </cell>
          <cell r="B1554" t="str">
            <v>거울 안대</v>
          </cell>
        </row>
        <row r="1555">
          <cell r="A1555">
            <v>22614024</v>
          </cell>
          <cell r="B1555" t="str">
            <v>모략꾼의 안대</v>
          </cell>
        </row>
        <row r="1556">
          <cell r="A1556">
            <v>22614025</v>
          </cell>
          <cell r="B1556" t="str">
            <v>드래곤 안대</v>
          </cell>
        </row>
        <row r="1557">
          <cell r="A1557">
            <v>22614026</v>
          </cell>
          <cell r="B1557" t="str">
            <v>장미 가면</v>
          </cell>
        </row>
        <row r="1558">
          <cell r="A1558">
            <v>22614027</v>
          </cell>
          <cell r="B1558" t="str">
            <v>증녀 가면</v>
          </cell>
        </row>
        <row r="1559">
          <cell r="A1559">
            <v>22614028</v>
          </cell>
          <cell r="B1559" t="str">
            <v>긴고아</v>
          </cell>
        </row>
        <row r="1560">
          <cell r="A1560">
            <v>22664801</v>
          </cell>
          <cell r="B1560" t="str">
            <v>비술의 장식</v>
          </cell>
        </row>
        <row r="1561">
          <cell r="A1561">
            <v>22664802</v>
          </cell>
          <cell r="B1561" t="str">
            <v>비술의 안경</v>
          </cell>
        </row>
        <row r="1562">
          <cell r="A1562">
            <v>22671001</v>
          </cell>
          <cell r="B1562" t="str">
            <v>재규어 전사의 가면</v>
          </cell>
        </row>
        <row r="1563">
          <cell r="A1563">
            <v>22673001</v>
          </cell>
          <cell r="B1563" t="str">
            <v>아그리피나의 머리 장식</v>
          </cell>
        </row>
        <row r="1564">
          <cell r="A1564">
            <v>22673003</v>
          </cell>
          <cell r="B1564" t="str">
            <v>요크</v>
          </cell>
        </row>
        <row r="1565">
          <cell r="A1565">
            <v>22673005</v>
          </cell>
          <cell r="B1565" t="str">
            <v>투탕카멘왕의 황금마스크</v>
          </cell>
        </row>
        <row r="1566">
          <cell r="A1566">
            <v>22674001</v>
          </cell>
          <cell r="B1566" t="str">
            <v>금 머리 장식</v>
          </cell>
        </row>
        <row r="1567">
          <cell r="A1567">
            <v>22674003</v>
          </cell>
          <cell r="B1567" t="str">
            <v>냐우의 가면</v>
          </cell>
        </row>
        <row r="1568">
          <cell r="A1568">
            <v>22674005</v>
          </cell>
          <cell r="B1568" t="str">
            <v>시민관</v>
          </cell>
        </row>
        <row r="1569">
          <cell r="A1569">
            <v>22674007</v>
          </cell>
          <cell r="B1569" t="str">
            <v>북해 연합의 가면</v>
          </cell>
        </row>
        <row r="1570">
          <cell r="A1570">
            <v>22674008</v>
          </cell>
          <cell r="B1570" t="str">
            <v>진주섬의 가면</v>
          </cell>
        </row>
        <row r="1571">
          <cell r="A1571">
            <v>22674009</v>
          </cell>
          <cell r="B1571" t="str">
            <v>폭풍 선단의 가면</v>
          </cell>
        </row>
        <row r="1572">
          <cell r="A1572">
            <v>22675001</v>
          </cell>
          <cell r="B1572" t="str">
            <v>바롱의 가면</v>
          </cell>
        </row>
        <row r="1573">
          <cell r="A1573">
            <v>22711001</v>
          </cell>
          <cell r="B1573" t="str">
            <v>낡은 스틸레토</v>
          </cell>
        </row>
        <row r="1574">
          <cell r="A1574">
            <v>22711002</v>
          </cell>
          <cell r="B1574" t="str">
            <v>낡은 휠락 피스톨</v>
          </cell>
        </row>
        <row r="1575">
          <cell r="A1575">
            <v>22711003</v>
          </cell>
          <cell r="B1575" t="str">
            <v>낡은 워 해머</v>
          </cell>
        </row>
        <row r="1576">
          <cell r="A1576">
            <v>22711004</v>
          </cell>
          <cell r="B1576" t="str">
            <v>낡은 샴쉬르</v>
          </cell>
        </row>
        <row r="1577">
          <cell r="A1577">
            <v>22711005</v>
          </cell>
          <cell r="B1577" t="str">
            <v>낡은 야유</v>
          </cell>
        </row>
        <row r="1578">
          <cell r="A1578">
            <v>22711006</v>
          </cell>
          <cell r="B1578" t="str">
            <v>낡은 츠바이헨더</v>
          </cell>
        </row>
        <row r="1579">
          <cell r="A1579">
            <v>22711007</v>
          </cell>
          <cell r="B1579" t="str">
            <v>낡은 크로스보우</v>
          </cell>
        </row>
        <row r="1580">
          <cell r="A1580">
            <v>22711008</v>
          </cell>
          <cell r="B1580" t="str">
            <v>낡은 아세가이</v>
          </cell>
        </row>
        <row r="1581">
          <cell r="A1581">
            <v>22711009</v>
          </cell>
          <cell r="B1581" t="str">
            <v>낡은 우타</v>
          </cell>
        </row>
        <row r="1582">
          <cell r="A1582">
            <v>22711010</v>
          </cell>
          <cell r="B1582" t="str">
            <v>낡은 토마호크</v>
          </cell>
        </row>
        <row r="1583">
          <cell r="A1583">
            <v>22711011</v>
          </cell>
          <cell r="B1583" t="str">
            <v>낡은 워 보우</v>
          </cell>
        </row>
        <row r="1584">
          <cell r="A1584">
            <v>22711012</v>
          </cell>
          <cell r="B1584" t="str">
            <v>낡은 마쿠아후이틀</v>
          </cell>
        </row>
        <row r="1585">
          <cell r="A1585">
            <v>22711013</v>
          </cell>
          <cell r="B1585" t="str">
            <v>낡은 차스카 추키</v>
          </cell>
        </row>
        <row r="1586">
          <cell r="A1586">
            <v>22711014</v>
          </cell>
          <cell r="B1586" t="str">
            <v>낡은 타바르</v>
          </cell>
        </row>
        <row r="1587">
          <cell r="A1587">
            <v>22711015</v>
          </cell>
          <cell r="B1587" t="str">
            <v>낡은 카만</v>
          </cell>
        </row>
        <row r="1588">
          <cell r="A1588">
            <v>22711016</v>
          </cell>
          <cell r="B1588" t="str">
            <v>낡은 캄피란</v>
          </cell>
        </row>
        <row r="1589">
          <cell r="A1589">
            <v>22711017</v>
          </cell>
          <cell r="B1589" t="str">
            <v>낡은 브딜</v>
          </cell>
        </row>
        <row r="1590">
          <cell r="A1590">
            <v>22711018</v>
          </cell>
          <cell r="B1590" t="str">
            <v>낡은 타도</v>
          </cell>
        </row>
        <row r="1591">
          <cell r="A1591">
            <v>22711019</v>
          </cell>
          <cell r="B1591" t="str">
            <v>낡은 철포</v>
          </cell>
        </row>
        <row r="1592">
          <cell r="A1592">
            <v>22711020</v>
          </cell>
          <cell r="B1592" t="str">
            <v>낡은 환도</v>
          </cell>
        </row>
        <row r="1593">
          <cell r="A1593">
            <v>22711021</v>
          </cell>
          <cell r="B1593" t="str">
            <v>낡은 각궁</v>
          </cell>
        </row>
        <row r="1594">
          <cell r="A1594">
            <v>22711022</v>
          </cell>
          <cell r="B1594" t="str">
            <v>낡은 장창</v>
          </cell>
        </row>
        <row r="1595">
          <cell r="A1595">
            <v>22711023</v>
          </cell>
          <cell r="B1595" t="str">
            <v>낡은 강노</v>
          </cell>
        </row>
        <row r="1596">
          <cell r="A1596">
            <v>22711024</v>
          </cell>
          <cell r="B1596" t="str">
            <v>낡은 에페</v>
          </cell>
        </row>
        <row r="1597">
          <cell r="A1597">
            <v>22711025</v>
          </cell>
          <cell r="B1597" t="str">
            <v>낡은 커틀라스</v>
          </cell>
        </row>
        <row r="1598">
          <cell r="A1598">
            <v>22711026</v>
          </cell>
          <cell r="B1598" t="str">
            <v>낡은 모닝스타</v>
          </cell>
        </row>
        <row r="1599">
          <cell r="A1599">
            <v>22711027</v>
          </cell>
          <cell r="B1599" t="str">
            <v>낡은 장창</v>
          </cell>
        </row>
        <row r="1600">
          <cell r="A1600">
            <v>22711028</v>
          </cell>
          <cell r="B1600" t="str">
            <v>낡은 단검</v>
          </cell>
        </row>
        <row r="1601">
          <cell r="A1601">
            <v>22711029</v>
          </cell>
          <cell r="B1601" t="str">
            <v>낡은 배틀 액스</v>
          </cell>
        </row>
        <row r="1602">
          <cell r="A1602">
            <v>22711030</v>
          </cell>
          <cell r="B1602" t="str">
            <v>낡은 쌍도끼</v>
          </cell>
        </row>
        <row r="1603">
          <cell r="A1603">
            <v>22711031</v>
          </cell>
          <cell r="B1603" t="str">
            <v>낡은 레이피어</v>
          </cell>
        </row>
        <row r="1604">
          <cell r="A1604">
            <v>22711032</v>
          </cell>
          <cell r="B1604" t="str">
            <v>낡은 아쿼버스</v>
          </cell>
        </row>
        <row r="1605">
          <cell r="A1605">
            <v>22711033</v>
          </cell>
          <cell r="B1605" t="str">
            <v>낡은 플린트락 피스톨</v>
          </cell>
        </row>
        <row r="1606">
          <cell r="A1606">
            <v>22711034</v>
          </cell>
          <cell r="B1606" t="str">
            <v>낡은 테포즈토필리</v>
          </cell>
        </row>
        <row r="1607">
          <cell r="A1607">
            <v>22711035</v>
          </cell>
          <cell r="B1607" t="str">
            <v>나무 지팡이</v>
          </cell>
        </row>
        <row r="1608">
          <cell r="A1608">
            <v>22721001</v>
          </cell>
          <cell r="B1608" t="str">
            <v>낡은 튜닉</v>
          </cell>
        </row>
        <row r="1609">
          <cell r="A1609">
            <v>22721003</v>
          </cell>
          <cell r="B1609" t="str">
            <v>낡은 히르카</v>
          </cell>
        </row>
        <row r="1610">
          <cell r="A1610">
            <v>22721005</v>
          </cell>
          <cell r="B1610" t="str">
            <v>낡은 브레스트 플레이트</v>
          </cell>
        </row>
        <row r="1611">
          <cell r="A1611">
            <v>22721007</v>
          </cell>
          <cell r="B1611" t="str">
            <v>낡은 줄루족의 의복_남성용</v>
          </cell>
        </row>
        <row r="1612">
          <cell r="A1612">
            <v>22721008</v>
          </cell>
          <cell r="B1612" t="str">
            <v>낡은 에나구아_여성용</v>
          </cell>
        </row>
        <row r="1613">
          <cell r="A1613">
            <v>22721009</v>
          </cell>
          <cell r="B1613" t="str">
            <v>낡은 사냥꾼의 튜닉_남성용</v>
          </cell>
        </row>
        <row r="1614">
          <cell r="A1614">
            <v>22721010</v>
          </cell>
          <cell r="B1614" t="str">
            <v>낡은 튜닉 드레스_여성용</v>
          </cell>
        </row>
        <row r="1615">
          <cell r="A1615">
            <v>22721011</v>
          </cell>
          <cell r="B1615" t="str">
            <v>낡은 막스틀라틀_남성용</v>
          </cell>
        </row>
        <row r="1616">
          <cell r="A1616">
            <v>22721012</v>
          </cell>
          <cell r="B1616" t="str">
            <v>낡은 우이필_여성용</v>
          </cell>
        </row>
        <row r="1617">
          <cell r="A1617">
            <v>22721013</v>
          </cell>
          <cell r="B1617" t="str">
            <v>낡은 자마_남성용</v>
          </cell>
        </row>
        <row r="1618">
          <cell r="A1618">
            <v>22721014</v>
          </cell>
          <cell r="B1618" t="str">
            <v>낡은 포샤크_여성용</v>
          </cell>
        </row>
        <row r="1619">
          <cell r="A1619">
            <v>22721015</v>
          </cell>
          <cell r="B1619" t="str">
            <v>낡은 사롱_남성용</v>
          </cell>
        </row>
        <row r="1620">
          <cell r="A1620">
            <v>22721016</v>
          </cell>
          <cell r="B1620" t="str">
            <v>낡은 크바야_여성용</v>
          </cell>
        </row>
        <row r="1621">
          <cell r="A1621">
            <v>22721017</v>
          </cell>
          <cell r="B1621" t="str">
            <v>낡은 법피</v>
          </cell>
        </row>
        <row r="1622">
          <cell r="A1622">
            <v>22721019</v>
          </cell>
          <cell r="B1622" t="str">
            <v>낡은 학창의_남성용</v>
          </cell>
        </row>
        <row r="1623">
          <cell r="A1623">
            <v>22721020</v>
          </cell>
          <cell r="B1623" t="str">
            <v>낡은 치마저고리_여성용</v>
          </cell>
        </row>
        <row r="1624">
          <cell r="A1624">
            <v>22721021</v>
          </cell>
          <cell r="B1624" t="str">
            <v>낡은 찰갑</v>
          </cell>
        </row>
        <row r="1625">
          <cell r="A1625">
            <v>22721023</v>
          </cell>
          <cell r="B1625" t="str">
            <v>낡은 어대구족</v>
          </cell>
        </row>
        <row r="1626">
          <cell r="A1626">
            <v>22721025</v>
          </cell>
          <cell r="B1626" t="str">
            <v>낡은 수도복_남성용</v>
          </cell>
        </row>
        <row r="1627">
          <cell r="A1627">
            <v>22721026</v>
          </cell>
          <cell r="B1627" t="str">
            <v>낡은 수녀복_여성용</v>
          </cell>
        </row>
        <row r="1628">
          <cell r="A1628">
            <v>22721027</v>
          </cell>
          <cell r="B1628" t="str">
            <v>낡은 가사_남성용</v>
          </cell>
        </row>
        <row r="1629">
          <cell r="A1629">
            <v>22721029</v>
          </cell>
          <cell r="B1629" t="str">
            <v>낡은 여행복_남성용</v>
          </cell>
        </row>
        <row r="1630">
          <cell r="A1630">
            <v>22721030</v>
          </cell>
          <cell r="B1630" t="str">
            <v>낡은 가죽 포수복_여성용</v>
          </cell>
        </row>
        <row r="1631">
          <cell r="A1631">
            <v>22721031</v>
          </cell>
          <cell r="B1631" t="str">
            <v>낡은 선원복_남성용</v>
          </cell>
        </row>
        <row r="1632">
          <cell r="A1632">
            <v>22721032</v>
          </cell>
          <cell r="B1632" t="str">
            <v>낡은 에이프런 드레스_여성용</v>
          </cell>
        </row>
        <row r="1633">
          <cell r="A1633">
            <v>22731001</v>
          </cell>
          <cell r="B1633" t="str">
            <v>낡은 터번</v>
          </cell>
        </row>
        <row r="1634">
          <cell r="A1634">
            <v>22731003</v>
          </cell>
          <cell r="B1634" t="str">
            <v>낡은 마앙 티카_여성용</v>
          </cell>
        </row>
        <row r="1635">
          <cell r="A1635">
            <v>22731004</v>
          </cell>
          <cell r="B1635" t="str">
            <v>낡은 수녀의 베일_여성용</v>
          </cell>
        </row>
        <row r="1636">
          <cell r="A1636">
            <v>22910001</v>
          </cell>
          <cell r="B1636" t="str">
            <v>#Lv1_공용</v>
          </cell>
        </row>
        <row r="1637">
          <cell r="A1637">
            <v>22910002</v>
          </cell>
          <cell r="B1637" t="str">
            <v>#Lv2_공용</v>
          </cell>
        </row>
        <row r="1638">
          <cell r="A1638">
            <v>22910003</v>
          </cell>
          <cell r="B1638" t="str">
            <v>#Lv3_공용</v>
          </cell>
        </row>
        <row r="1639">
          <cell r="A1639">
            <v>22910004</v>
          </cell>
          <cell r="B1639" t="str">
            <v>#Lv4_공용</v>
          </cell>
        </row>
        <row r="1640">
          <cell r="A1640">
            <v>22910005</v>
          </cell>
          <cell r="B1640" t="str">
            <v>#Lv5_공용</v>
          </cell>
        </row>
        <row r="1641">
          <cell r="A1641">
            <v>22910006</v>
          </cell>
          <cell r="B1641" t="str">
            <v>#Lv6_공용</v>
          </cell>
        </row>
        <row r="1642">
          <cell r="A1642">
            <v>22910007</v>
          </cell>
          <cell r="B1642" t="str">
            <v>#Lv7_공용</v>
          </cell>
        </row>
        <row r="1643">
          <cell r="A1643">
            <v>22910008</v>
          </cell>
          <cell r="B1643" t="str">
            <v>#Lv8_공용</v>
          </cell>
        </row>
        <row r="1644">
          <cell r="A1644">
            <v>22910009</v>
          </cell>
          <cell r="B1644" t="str">
            <v>#Lv9_공용</v>
          </cell>
        </row>
        <row r="1645">
          <cell r="A1645">
            <v>22910010</v>
          </cell>
          <cell r="B1645" t="str">
            <v>#Lv10_공용</v>
          </cell>
        </row>
        <row r="1646">
          <cell r="A1646">
            <v>22910011</v>
          </cell>
          <cell r="B1646" t="str">
            <v>#Lv11_공용</v>
          </cell>
        </row>
        <row r="1647">
          <cell r="A1647">
            <v>22910012</v>
          </cell>
          <cell r="B1647" t="str">
            <v>#Lv12_공용</v>
          </cell>
        </row>
        <row r="1648">
          <cell r="A1648">
            <v>22910013</v>
          </cell>
          <cell r="B1648" t="str">
            <v>#Lv13_공용</v>
          </cell>
        </row>
        <row r="1649">
          <cell r="A1649">
            <v>22910014</v>
          </cell>
          <cell r="B1649" t="str">
            <v>#Lv14_공용</v>
          </cell>
        </row>
        <row r="1650">
          <cell r="A1650">
            <v>22910015</v>
          </cell>
          <cell r="B1650" t="str">
            <v>#Lv15_공용</v>
          </cell>
        </row>
        <row r="1651">
          <cell r="A1651">
            <v>22910016</v>
          </cell>
          <cell r="B1651" t="str">
            <v>#Lv16_공용</v>
          </cell>
        </row>
        <row r="1652">
          <cell r="A1652">
            <v>22910017</v>
          </cell>
          <cell r="B1652" t="str">
            <v>#Lv17_공용</v>
          </cell>
        </row>
        <row r="1653">
          <cell r="A1653">
            <v>22910018</v>
          </cell>
          <cell r="B1653" t="str">
            <v>#Lv18_공용</v>
          </cell>
        </row>
        <row r="1654">
          <cell r="A1654">
            <v>22910019</v>
          </cell>
          <cell r="B1654" t="str">
            <v>#Lv19_공용</v>
          </cell>
        </row>
        <row r="1655">
          <cell r="A1655">
            <v>22910020</v>
          </cell>
          <cell r="B1655" t="str">
            <v>#Lv20_공용</v>
          </cell>
        </row>
        <row r="1656">
          <cell r="A1656">
            <v>22910021</v>
          </cell>
          <cell r="B1656" t="str">
            <v>#Lv21_공용</v>
          </cell>
        </row>
        <row r="1657">
          <cell r="A1657">
            <v>22910022</v>
          </cell>
          <cell r="B1657" t="str">
            <v>#Lv22_공용</v>
          </cell>
        </row>
        <row r="1658">
          <cell r="A1658">
            <v>22910023</v>
          </cell>
          <cell r="B1658" t="str">
            <v>#Lv23_공용</v>
          </cell>
        </row>
        <row r="1659">
          <cell r="A1659">
            <v>22910024</v>
          </cell>
          <cell r="B1659" t="str">
            <v>#Lv24_공용</v>
          </cell>
        </row>
        <row r="1660">
          <cell r="A1660">
            <v>22910025</v>
          </cell>
          <cell r="B1660" t="str">
            <v>#Lv25_공용</v>
          </cell>
        </row>
        <row r="1661">
          <cell r="A1661">
            <v>22910026</v>
          </cell>
          <cell r="B1661" t="str">
            <v>#Lv26_공용</v>
          </cell>
        </row>
        <row r="1662">
          <cell r="A1662">
            <v>22910027</v>
          </cell>
          <cell r="B1662" t="str">
            <v>#Lv27_공용</v>
          </cell>
        </row>
        <row r="1663">
          <cell r="A1663">
            <v>22910028</v>
          </cell>
          <cell r="B1663" t="str">
            <v>#Lv28_공용</v>
          </cell>
        </row>
        <row r="1664">
          <cell r="A1664">
            <v>22910029</v>
          </cell>
          <cell r="B1664" t="str">
            <v>#Lv29_공용</v>
          </cell>
        </row>
        <row r="1665">
          <cell r="A1665">
            <v>22910030</v>
          </cell>
          <cell r="B1665" t="str">
            <v>#Lv30_공용</v>
          </cell>
        </row>
        <row r="1666">
          <cell r="A1666">
            <v>22910031</v>
          </cell>
          <cell r="B1666" t="str">
            <v>#Lv31_공용</v>
          </cell>
        </row>
        <row r="1667">
          <cell r="A1667">
            <v>22910032</v>
          </cell>
          <cell r="B1667" t="str">
            <v>#Lv32_공용</v>
          </cell>
        </row>
        <row r="1668">
          <cell r="A1668">
            <v>22910033</v>
          </cell>
          <cell r="B1668" t="str">
            <v>#Lv33_공용</v>
          </cell>
        </row>
        <row r="1669">
          <cell r="A1669">
            <v>22910034</v>
          </cell>
          <cell r="B1669" t="str">
            <v>#Lv34_공용</v>
          </cell>
        </row>
        <row r="1670">
          <cell r="A1670">
            <v>22910035</v>
          </cell>
          <cell r="B1670" t="str">
            <v>#Lv35_공용</v>
          </cell>
        </row>
        <row r="1671">
          <cell r="A1671">
            <v>22910036</v>
          </cell>
          <cell r="B1671" t="str">
            <v>#Lv36_공용</v>
          </cell>
        </row>
        <row r="1672">
          <cell r="A1672">
            <v>22910037</v>
          </cell>
          <cell r="B1672" t="str">
            <v>#Lv37_공용</v>
          </cell>
        </row>
        <row r="1673">
          <cell r="A1673">
            <v>22910038</v>
          </cell>
          <cell r="B1673" t="str">
            <v>#Lv38_공용</v>
          </cell>
        </row>
        <row r="1674">
          <cell r="A1674">
            <v>22910039</v>
          </cell>
          <cell r="B1674" t="str">
            <v>#Lv39_공용</v>
          </cell>
        </row>
        <row r="1675">
          <cell r="A1675">
            <v>22910040</v>
          </cell>
          <cell r="B1675" t="str">
            <v>#Lv40_공용</v>
          </cell>
        </row>
        <row r="1676">
          <cell r="A1676">
            <v>22910041</v>
          </cell>
          <cell r="B1676" t="str">
            <v>#Lv41_공용</v>
          </cell>
        </row>
        <row r="1677">
          <cell r="A1677">
            <v>22910042</v>
          </cell>
          <cell r="B1677" t="str">
            <v>#Lv42_공용</v>
          </cell>
        </row>
        <row r="1678">
          <cell r="A1678">
            <v>22910043</v>
          </cell>
          <cell r="B1678" t="str">
            <v>#Lv43_공용</v>
          </cell>
        </row>
        <row r="1679">
          <cell r="A1679">
            <v>22910044</v>
          </cell>
          <cell r="B1679" t="str">
            <v>#Lv44_공용</v>
          </cell>
        </row>
        <row r="1680">
          <cell r="A1680">
            <v>22910045</v>
          </cell>
          <cell r="B1680" t="str">
            <v>#Lv45_공용</v>
          </cell>
        </row>
        <row r="1681">
          <cell r="A1681">
            <v>22910046</v>
          </cell>
          <cell r="B1681" t="str">
            <v>#Lv46_공용</v>
          </cell>
        </row>
        <row r="1682">
          <cell r="A1682">
            <v>22910047</v>
          </cell>
          <cell r="B1682" t="str">
            <v>#Lv47_공용</v>
          </cell>
        </row>
        <row r="1683">
          <cell r="A1683">
            <v>22910048</v>
          </cell>
          <cell r="B1683" t="str">
            <v>#Lv48_공용</v>
          </cell>
        </row>
        <row r="1684">
          <cell r="A1684">
            <v>22910049</v>
          </cell>
          <cell r="B1684" t="str">
            <v>#Lv49_공용</v>
          </cell>
        </row>
        <row r="1685">
          <cell r="A1685">
            <v>22910050</v>
          </cell>
          <cell r="B1685" t="str">
            <v>#Lv50_공용</v>
          </cell>
        </row>
        <row r="1686">
          <cell r="A1686">
            <v>22910051</v>
          </cell>
          <cell r="B1686" t="str">
            <v>#Lv51_공용</v>
          </cell>
        </row>
        <row r="1687">
          <cell r="A1687">
            <v>22910052</v>
          </cell>
          <cell r="B1687" t="str">
            <v>#Lv52_공용</v>
          </cell>
        </row>
        <row r="1688">
          <cell r="A1688">
            <v>22910053</v>
          </cell>
          <cell r="B1688" t="str">
            <v>#Lv53_공용</v>
          </cell>
        </row>
        <row r="1689">
          <cell r="A1689">
            <v>22910054</v>
          </cell>
          <cell r="B1689" t="str">
            <v>#Lv54_공용</v>
          </cell>
        </row>
        <row r="1690">
          <cell r="A1690">
            <v>22910055</v>
          </cell>
          <cell r="B1690" t="str">
            <v>#Lv55_공용</v>
          </cell>
        </row>
        <row r="1691">
          <cell r="A1691">
            <v>22910056</v>
          </cell>
          <cell r="B1691" t="str">
            <v>#Lv56_공용</v>
          </cell>
        </row>
        <row r="1692">
          <cell r="A1692">
            <v>22910057</v>
          </cell>
          <cell r="B1692" t="str">
            <v>#Lv57_공용</v>
          </cell>
        </row>
        <row r="1693">
          <cell r="A1693">
            <v>22910058</v>
          </cell>
          <cell r="B1693" t="str">
            <v>#Lv58_공용</v>
          </cell>
        </row>
        <row r="1694">
          <cell r="A1694">
            <v>22910059</v>
          </cell>
          <cell r="B1694" t="str">
            <v>#Lv59_공용</v>
          </cell>
        </row>
        <row r="1695">
          <cell r="A1695">
            <v>22910060</v>
          </cell>
          <cell r="B1695" t="str">
            <v>#Lv60_공용</v>
          </cell>
        </row>
        <row r="1696">
          <cell r="A1696">
            <v>22910061</v>
          </cell>
          <cell r="B1696" t="str">
            <v>#Lv61_공용</v>
          </cell>
        </row>
        <row r="1697">
          <cell r="A1697">
            <v>22910062</v>
          </cell>
          <cell r="B1697" t="str">
            <v>#Lv62_공용</v>
          </cell>
        </row>
        <row r="1698">
          <cell r="A1698">
            <v>22910063</v>
          </cell>
          <cell r="B1698" t="str">
            <v>#Lv63_공용</v>
          </cell>
        </row>
        <row r="1699">
          <cell r="A1699">
            <v>22910064</v>
          </cell>
          <cell r="B1699" t="str">
            <v>#Lv64_공용</v>
          </cell>
        </row>
        <row r="1700">
          <cell r="A1700">
            <v>22910065</v>
          </cell>
          <cell r="B1700" t="str">
            <v>#Lv65_공용</v>
          </cell>
        </row>
        <row r="1701">
          <cell r="A1701">
            <v>22910066</v>
          </cell>
          <cell r="B1701" t="str">
            <v>#Lv66_공용</v>
          </cell>
        </row>
        <row r="1702">
          <cell r="A1702">
            <v>22910067</v>
          </cell>
          <cell r="B1702" t="str">
            <v>#Lv67_공용</v>
          </cell>
        </row>
        <row r="1703">
          <cell r="A1703">
            <v>22910068</v>
          </cell>
          <cell r="B1703" t="str">
            <v>#Lv68_공용</v>
          </cell>
        </row>
        <row r="1704">
          <cell r="A1704">
            <v>22910069</v>
          </cell>
          <cell r="B1704" t="str">
            <v>#Lv69_공용</v>
          </cell>
        </row>
        <row r="1705">
          <cell r="A1705">
            <v>22910070</v>
          </cell>
          <cell r="B1705" t="str">
            <v>#Lv70_공용</v>
          </cell>
        </row>
        <row r="1706">
          <cell r="A1706">
            <v>22910071</v>
          </cell>
          <cell r="B1706" t="str">
            <v>#Lv71_공용</v>
          </cell>
        </row>
        <row r="1707">
          <cell r="A1707">
            <v>22910072</v>
          </cell>
          <cell r="B1707" t="str">
            <v>#Lv72_공용</v>
          </cell>
        </row>
        <row r="1708">
          <cell r="A1708">
            <v>22910073</v>
          </cell>
          <cell r="B1708" t="str">
            <v>#Lv73_공용</v>
          </cell>
        </row>
        <row r="1709">
          <cell r="A1709">
            <v>22910074</v>
          </cell>
          <cell r="B1709" t="str">
            <v>#Lv74_공용</v>
          </cell>
        </row>
        <row r="1710">
          <cell r="A1710">
            <v>22910075</v>
          </cell>
          <cell r="B1710" t="str">
            <v>#Lv75_공용</v>
          </cell>
        </row>
        <row r="1711">
          <cell r="A1711">
            <v>22910076</v>
          </cell>
          <cell r="B1711" t="str">
            <v>#Lv76_공용</v>
          </cell>
        </row>
        <row r="1712">
          <cell r="A1712">
            <v>22910077</v>
          </cell>
          <cell r="B1712" t="str">
            <v>#Lv77_공용</v>
          </cell>
        </row>
        <row r="1713">
          <cell r="A1713">
            <v>22910078</v>
          </cell>
          <cell r="B1713" t="str">
            <v>#Lv78_공용</v>
          </cell>
        </row>
        <row r="1714">
          <cell r="A1714">
            <v>22910079</v>
          </cell>
          <cell r="B1714" t="str">
            <v>#Lv79_공용</v>
          </cell>
        </row>
        <row r="1715">
          <cell r="A1715">
            <v>22910080</v>
          </cell>
          <cell r="B1715" t="str">
            <v>#Lv80_공용</v>
          </cell>
        </row>
        <row r="1716">
          <cell r="A1716">
            <v>22910081</v>
          </cell>
          <cell r="B1716" t="str">
            <v>#Lv81_공용</v>
          </cell>
        </row>
        <row r="1717">
          <cell r="A1717">
            <v>22910082</v>
          </cell>
          <cell r="B1717" t="str">
            <v>#Lv82_공용</v>
          </cell>
        </row>
        <row r="1718">
          <cell r="A1718">
            <v>22910083</v>
          </cell>
          <cell r="B1718" t="str">
            <v>#Lv83_공용</v>
          </cell>
        </row>
        <row r="1719">
          <cell r="A1719">
            <v>22910084</v>
          </cell>
          <cell r="B1719" t="str">
            <v>#Lv84_공용</v>
          </cell>
        </row>
        <row r="1720">
          <cell r="A1720">
            <v>22910085</v>
          </cell>
          <cell r="B1720" t="str">
            <v>#Lv85_공용</v>
          </cell>
        </row>
        <row r="1721">
          <cell r="A1721">
            <v>22910086</v>
          </cell>
          <cell r="B1721" t="str">
            <v>#Lv86_공용</v>
          </cell>
        </row>
        <row r="1722">
          <cell r="A1722">
            <v>22910087</v>
          </cell>
          <cell r="B1722" t="str">
            <v>#Lv87_공용</v>
          </cell>
        </row>
        <row r="1723">
          <cell r="A1723">
            <v>22910088</v>
          </cell>
          <cell r="B1723" t="str">
            <v>#Lv88_공용</v>
          </cell>
        </row>
        <row r="1724">
          <cell r="A1724">
            <v>22910089</v>
          </cell>
          <cell r="B1724" t="str">
            <v>#Lv89_공용</v>
          </cell>
        </row>
        <row r="1725">
          <cell r="A1725">
            <v>22910090</v>
          </cell>
          <cell r="B1725" t="str">
            <v>#Lv90_공용</v>
          </cell>
        </row>
        <row r="1726">
          <cell r="A1726">
            <v>22910091</v>
          </cell>
          <cell r="B1726" t="str">
            <v>#Lv91_공용</v>
          </cell>
        </row>
        <row r="1727">
          <cell r="A1727">
            <v>22910092</v>
          </cell>
          <cell r="B1727" t="str">
            <v>#Lv92_공용</v>
          </cell>
        </row>
        <row r="1728">
          <cell r="A1728">
            <v>22910093</v>
          </cell>
          <cell r="B1728" t="str">
            <v>#Lv93_공용</v>
          </cell>
        </row>
        <row r="1729">
          <cell r="A1729">
            <v>22910094</v>
          </cell>
          <cell r="B1729" t="str">
            <v>#Lv94_공용</v>
          </cell>
        </row>
        <row r="1730">
          <cell r="A1730">
            <v>22910095</v>
          </cell>
          <cell r="B1730" t="str">
            <v>#Lv95_공용</v>
          </cell>
        </row>
        <row r="1731">
          <cell r="A1731">
            <v>22910096</v>
          </cell>
          <cell r="B1731" t="str">
            <v>#Lv96_공용</v>
          </cell>
        </row>
        <row r="1732">
          <cell r="A1732">
            <v>22910097</v>
          </cell>
          <cell r="B1732" t="str">
            <v>#Lv97_공용</v>
          </cell>
        </row>
        <row r="1733">
          <cell r="A1733">
            <v>22910098</v>
          </cell>
          <cell r="B1733" t="str">
            <v>#Lv98_공용</v>
          </cell>
        </row>
        <row r="1734">
          <cell r="A1734">
            <v>22910099</v>
          </cell>
          <cell r="B1734" t="str">
            <v>#Lv99_공용</v>
          </cell>
        </row>
        <row r="1735">
          <cell r="A1735">
            <v>22910100</v>
          </cell>
          <cell r="B1735" t="str">
            <v>#Lv1_엘리트 전용</v>
          </cell>
        </row>
        <row r="1736">
          <cell r="A1736">
            <v>22910101</v>
          </cell>
          <cell r="B1736" t="str">
            <v>#Lv2_엘리트 전용</v>
          </cell>
        </row>
        <row r="1737">
          <cell r="A1737">
            <v>22910102</v>
          </cell>
          <cell r="B1737" t="str">
            <v>#Lv3_엘리트 전용</v>
          </cell>
        </row>
        <row r="1738">
          <cell r="A1738">
            <v>22910103</v>
          </cell>
          <cell r="B1738" t="str">
            <v>#Lv4_엘리트 전용</v>
          </cell>
        </row>
        <row r="1739">
          <cell r="A1739">
            <v>22910104</v>
          </cell>
          <cell r="B1739" t="str">
            <v>#Lv5_엘리트 전용</v>
          </cell>
        </row>
        <row r="1740">
          <cell r="A1740">
            <v>22910105</v>
          </cell>
          <cell r="B1740" t="str">
            <v>#Lv6_엘리트 전용</v>
          </cell>
        </row>
        <row r="1741">
          <cell r="A1741">
            <v>22910106</v>
          </cell>
          <cell r="B1741" t="str">
            <v>#Lv7_엘리트 전용</v>
          </cell>
        </row>
        <row r="1742">
          <cell r="A1742">
            <v>22910107</v>
          </cell>
          <cell r="B1742" t="str">
            <v>#Lv8_엘리트 전용</v>
          </cell>
        </row>
        <row r="1743">
          <cell r="A1743">
            <v>22910108</v>
          </cell>
          <cell r="B1743" t="str">
            <v>#Lv9_엘리트 전용</v>
          </cell>
        </row>
        <row r="1744">
          <cell r="A1744">
            <v>22910109</v>
          </cell>
          <cell r="B1744" t="str">
            <v>#Lv10_엘리트 전용</v>
          </cell>
        </row>
        <row r="1745">
          <cell r="A1745">
            <v>22910110</v>
          </cell>
          <cell r="B1745" t="str">
            <v>#Lv11_엘리트 전용</v>
          </cell>
        </row>
        <row r="1746">
          <cell r="A1746">
            <v>22910111</v>
          </cell>
          <cell r="B1746" t="str">
            <v>#Lv12_엘리트 전용</v>
          </cell>
        </row>
        <row r="1747">
          <cell r="A1747">
            <v>22910112</v>
          </cell>
          <cell r="B1747" t="str">
            <v>#Lv13_엘리트 전용</v>
          </cell>
        </row>
        <row r="1748">
          <cell r="A1748">
            <v>22910113</v>
          </cell>
          <cell r="B1748" t="str">
            <v>#Lv14_엘리트 전용</v>
          </cell>
        </row>
        <row r="1749">
          <cell r="A1749">
            <v>22910114</v>
          </cell>
          <cell r="B1749" t="str">
            <v>#Lv15_엘리트 전용</v>
          </cell>
        </row>
        <row r="1750">
          <cell r="A1750">
            <v>22910115</v>
          </cell>
          <cell r="B1750" t="str">
            <v>#Lv16_엘리트 전용</v>
          </cell>
        </row>
        <row r="1751">
          <cell r="A1751">
            <v>22910116</v>
          </cell>
          <cell r="B1751" t="str">
            <v>#Lv17_엘리트 전용</v>
          </cell>
        </row>
        <row r="1752">
          <cell r="A1752">
            <v>22910117</v>
          </cell>
          <cell r="B1752" t="str">
            <v>#Lv18_엘리트 전용</v>
          </cell>
        </row>
        <row r="1753">
          <cell r="A1753">
            <v>22910118</v>
          </cell>
          <cell r="B1753" t="str">
            <v>#Lv19_엘리트 전용</v>
          </cell>
        </row>
        <row r="1754">
          <cell r="A1754">
            <v>22910119</v>
          </cell>
          <cell r="B1754" t="str">
            <v>#Lv20_엘리트 전용</v>
          </cell>
        </row>
        <row r="1755">
          <cell r="A1755">
            <v>22910120</v>
          </cell>
          <cell r="B1755" t="str">
            <v>#Lv21_엘리트 전용</v>
          </cell>
        </row>
        <row r="1756">
          <cell r="A1756">
            <v>22910121</v>
          </cell>
          <cell r="B1756" t="str">
            <v>#Lv22_엘리트 전용</v>
          </cell>
        </row>
        <row r="1757">
          <cell r="A1757">
            <v>22910122</v>
          </cell>
          <cell r="B1757" t="str">
            <v>#Lv23_엘리트 전용</v>
          </cell>
        </row>
        <row r="1758">
          <cell r="A1758">
            <v>22910123</v>
          </cell>
          <cell r="B1758" t="str">
            <v>#Lv24_엘리트 전용</v>
          </cell>
        </row>
        <row r="1759">
          <cell r="A1759">
            <v>22910124</v>
          </cell>
          <cell r="B1759" t="str">
            <v>#Lv25_엘리트 전용</v>
          </cell>
        </row>
        <row r="1760">
          <cell r="A1760">
            <v>22910125</v>
          </cell>
          <cell r="B1760" t="str">
            <v>#Lv26_엘리트 전용</v>
          </cell>
        </row>
        <row r="1761">
          <cell r="A1761">
            <v>22910126</v>
          </cell>
          <cell r="B1761" t="str">
            <v>#Lv27_엘리트 전용</v>
          </cell>
        </row>
        <row r="1762">
          <cell r="A1762">
            <v>22910127</v>
          </cell>
          <cell r="B1762" t="str">
            <v>#Lv28_엘리트 전용</v>
          </cell>
        </row>
        <row r="1763">
          <cell r="A1763">
            <v>22910128</v>
          </cell>
          <cell r="B1763" t="str">
            <v>#Lv29_엘리트 전용</v>
          </cell>
        </row>
        <row r="1764">
          <cell r="A1764">
            <v>22910129</v>
          </cell>
          <cell r="B1764" t="str">
            <v>#Lv30_엘리트 전용</v>
          </cell>
        </row>
        <row r="1765">
          <cell r="A1765">
            <v>22910130</v>
          </cell>
          <cell r="B1765" t="str">
            <v>#Lv31_엘리트 전용</v>
          </cell>
        </row>
        <row r="1766">
          <cell r="A1766">
            <v>22910131</v>
          </cell>
          <cell r="B1766" t="str">
            <v>#Lv32_엘리트 전용</v>
          </cell>
        </row>
        <row r="1767">
          <cell r="A1767">
            <v>22910132</v>
          </cell>
          <cell r="B1767" t="str">
            <v>#Lv33_엘리트 전용</v>
          </cell>
        </row>
        <row r="1768">
          <cell r="A1768">
            <v>22910133</v>
          </cell>
          <cell r="B1768" t="str">
            <v>#Lv34_엘리트 전용</v>
          </cell>
        </row>
        <row r="1769">
          <cell r="A1769">
            <v>22910134</v>
          </cell>
          <cell r="B1769" t="str">
            <v>#Lv35_엘리트 전용</v>
          </cell>
        </row>
        <row r="1770">
          <cell r="A1770">
            <v>22910135</v>
          </cell>
          <cell r="B1770" t="str">
            <v>#Lv36_엘리트 전용</v>
          </cell>
        </row>
        <row r="1771">
          <cell r="A1771">
            <v>22910136</v>
          </cell>
          <cell r="B1771" t="str">
            <v>#Lv37_엘리트 전용</v>
          </cell>
        </row>
        <row r="1772">
          <cell r="A1772">
            <v>22910137</v>
          </cell>
          <cell r="B1772" t="str">
            <v>#Lv38_엘리트 전용</v>
          </cell>
        </row>
        <row r="1773">
          <cell r="A1773">
            <v>22910138</v>
          </cell>
          <cell r="B1773" t="str">
            <v>#Lv39_엘리트 전용</v>
          </cell>
        </row>
        <row r="1774">
          <cell r="A1774">
            <v>22910139</v>
          </cell>
          <cell r="B1774" t="str">
            <v>#Lv40_엘리트 전용</v>
          </cell>
        </row>
        <row r="1775">
          <cell r="A1775">
            <v>22910140</v>
          </cell>
          <cell r="B1775" t="str">
            <v>#Lv41_엘리트 전용</v>
          </cell>
        </row>
        <row r="1776">
          <cell r="A1776">
            <v>22910141</v>
          </cell>
          <cell r="B1776" t="str">
            <v>#Lv42_엘리트 전용</v>
          </cell>
        </row>
        <row r="1777">
          <cell r="A1777">
            <v>22910142</v>
          </cell>
          <cell r="B1777" t="str">
            <v>#Lv43_엘리트 전용</v>
          </cell>
        </row>
        <row r="1778">
          <cell r="A1778">
            <v>22910143</v>
          </cell>
          <cell r="B1778" t="str">
            <v>#Lv44_엘리트 전용</v>
          </cell>
        </row>
        <row r="1779">
          <cell r="A1779">
            <v>22910144</v>
          </cell>
          <cell r="B1779" t="str">
            <v>#Lv45_엘리트 전용</v>
          </cell>
        </row>
        <row r="1780">
          <cell r="A1780">
            <v>22910145</v>
          </cell>
          <cell r="B1780" t="str">
            <v>#Lv46_엘리트 전용</v>
          </cell>
        </row>
        <row r="1781">
          <cell r="A1781">
            <v>22910146</v>
          </cell>
          <cell r="B1781" t="str">
            <v>#Lv47_엘리트 전용</v>
          </cell>
        </row>
        <row r="1782">
          <cell r="A1782">
            <v>22910147</v>
          </cell>
          <cell r="B1782" t="str">
            <v>#Lv48_엘리트 전용</v>
          </cell>
        </row>
        <row r="1783">
          <cell r="A1783">
            <v>22910148</v>
          </cell>
          <cell r="B1783" t="str">
            <v>#Lv49_엘리트 전용</v>
          </cell>
        </row>
        <row r="1784">
          <cell r="A1784">
            <v>22910149</v>
          </cell>
          <cell r="B1784" t="str">
            <v>#Lv50_엘리트 전용</v>
          </cell>
        </row>
        <row r="1785">
          <cell r="A1785">
            <v>22910150</v>
          </cell>
          <cell r="B1785" t="str">
            <v>#Lv51_엘리트 전용</v>
          </cell>
        </row>
        <row r="1786">
          <cell r="A1786">
            <v>22910151</v>
          </cell>
          <cell r="B1786" t="str">
            <v>#Lv52_엘리트 전용</v>
          </cell>
        </row>
        <row r="1787">
          <cell r="A1787">
            <v>22910152</v>
          </cell>
          <cell r="B1787" t="str">
            <v>#Lv53_엘리트 전용</v>
          </cell>
        </row>
        <row r="1788">
          <cell r="A1788">
            <v>22910153</v>
          </cell>
          <cell r="B1788" t="str">
            <v>#Lv54_엘리트 전용</v>
          </cell>
        </row>
        <row r="1789">
          <cell r="A1789">
            <v>22910154</v>
          </cell>
          <cell r="B1789" t="str">
            <v>#Lv55_엘리트 전용</v>
          </cell>
        </row>
        <row r="1790">
          <cell r="A1790">
            <v>22910155</v>
          </cell>
          <cell r="B1790" t="str">
            <v>#Lv56_엘리트 전용</v>
          </cell>
        </row>
        <row r="1791">
          <cell r="A1791">
            <v>22910156</v>
          </cell>
          <cell r="B1791" t="str">
            <v>#Lv57_엘리트 전용</v>
          </cell>
        </row>
        <row r="1792">
          <cell r="A1792">
            <v>22910157</v>
          </cell>
          <cell r="B1792" t="str">
            <v>#Lv58_엘리트 전용</v>
          </cell>
        </row>
        <row r="1793">
          <cell r="A1793">
            <v>22910158</v>
          </cell>
          <cell r="B1793" t="str">
            <v>#Lv59_엘리트 전용</v>
          </cell>
        </row>
        <row r="1794">
          <cell r="A1794">
            <v>22910159</v>
          </cell>
          <cell r="B1794" t="str">
            <v>#Lv60_엘리트 전용</v>
          </cell>
        </row>
        <row r="1795">
          <cell r="A1795">
            <v>22910160</v>
          </cell>
          <cell r="B1795" t="str">
            <v>#Lv61_엘리트 전용</v>
          </cell>
        </row>
        <row r="1796">
          <cell r="A1796">
            <v>22910161</v>
          </cell>
          <cell r="B1796" t="str">
            <v>#Lv62_엘리트 전용</v>
          </cell>
        </row>
        <row r="1797">
          <cell r="A1797">
            <v>22910162</v>
          </cell>
          <cell r="B1797" t="str">
            <v>#Lv63_엘리트 전용</v>
          </cell>
        </row>
        <row r="1798">
          <cell r="A1798">
            <v>22910163</v>
          </cell>
          <cell r="B1798" t="str">
            <v>#Lv64_엘리트 전용</v>
          </cell>
        </row>
        <row r="1799">
          <cell r="A1799">
            <v>22910164</v>
          </cell>
          <cell r="B1799" t="str">
            <v>#Lv65_엘리트 전용</v>
          </cell>
        </row>
        <row r="1800">
          <cell r="A1800">
            <v>22910165</v>
          </cell>
          <cell r="B1800" t="str">
            <v>#Lv66_엘리트 전용</v>
          </cell>
        </row>
        <row r="1801">
          <cell r="A1801">
            <v>22910166</v>
          </cell>
          <cell r="B1801" t="str">
            <v>#Lv67_엘리트 전용</v>
          </cell>
        </row>
        <row r="1802">
          <cell r="A1802">
            <v>22910167</v>
          </cell>
          <cell r="B1802" t="str">
            <v>#Lv68_엘리트 전용</v>
          </cell>
        </row>
        <row r="1803">
          <cell r="A1803">
            <v>22910168</v>
          </cell>
          <cell r="B1803" t="str">
            <v>#Lv69_엘리트 전용</v>
          </cell>
        </row>
        <row r="1804">
          <cell r="A1804">
            <v>22910169</v>
          </cell>
          <cell r="B1804" t="str">
            <v>#Lv70_엘리트 전용</v>
          </cell>
        </row>
        <row r="1805">
          <cell r="A1805">
            <v>22910170</v>
          </cell>
          <cell r="B1805" t="str">
            <v>#Lv71_엘리트 전용</v>
          </cell>
        </row>
        <row r="1806">
          <cell r="A1806">
            <v>22910171</v>
          </cell>
          <cell r="B1806" t="str">
            <v>#Lv72_엘리트 전용</v>
          </cell>
        </row>
        <row r="1807">
          <cell r="A1807">
            <v>22910172</v>
          </cell>
          <cell r="B1807" t="str">
            <v>#Lv73_엘리트 전용</v>
          </cell>
        </row>
        <row r="1808">
          <cell r="A1808">
            <v>22910173</v>
          </cell>
          <cell r="B1808" t="str">
            <v>#Lv74_엘리트 전용</v>
          </cell>
        </row>
        <row r="1809">
          <cell r="A1809">
            <v>22910174</v>
          </cell>
          <cell r="B1809" t="str">
            <v>#Lv75_엘리트 전용</v>
          </cell>
        </row>
        <row r="1810">
          <cell r="A1810">
            <v>22910175</v>
          </cell>
          <cell r="B1810" t="str">
            <v>#Lv76_엘리트 전용</v>
          </cell>
        </row>
        <row r="1811">
          <cell r="A1811">
            <v>22910176</v>
          </cell>
          <cell r="B1811" t="str">
            <v>#Lv77_엘리트 전용</v>
          </cell>
        </row>
        <row r="1812">
          <cell r="A1812">
            <v>22910177</v>
          </cell>
          <cell r="B1812" t="str">
            <v>#Lv78_엘리트 전용</v>
          </cell>
        </row>
        <row r="1813">
          <cell r="A1813">
            <v>22910178</v>
          </cell>
          <cell r="B1813" t="str">
            <v>#Lv79_엘리트 전용</v>
          </cell>
        </row>
        <row r="1814">
          <cell r="A1814">
            <v>22910179</v>
          </cell>
          <cell r="B1814" t="str">
            <v>#Lv80_엘리트 전용</v>
          </cell>
        </row>
        <row r="1815">
          <cell r="A1815">
            <v>22910180</v>
          </cell>
          <cell r="B1815" t="str">
            <v>#Lv81_엘리트 전용</v>
          </cell>
        </row>
        <row r="1816">
          <cell r="A1816">
            <v>22910181</v>
          </cell>
          <cell r="B1816" t="str">
            <v>#Lv82_엘리트 전용</v>
          </cell>
        </row>
        <row r="1817">
          <cell r="A1817">
            <v>22910182</v>
          </cell>
          <cell r="B1817" t="str">
            <v>#Lv83_엘리트 전용</v>
          </cell>
        </row>
        <row r="1818">
          <cell r="A1818">
            <v>22910183</v>
          </cell>
          <cell r="B1818" t="str">
            <v>#Lv84_엘리트 전용</v>
          </cell>
        </row>
        <row r="1819">
          <cell r="A1819">
            <v>22910184</v>
          </cell>
          <cell r="B1819" t="str">
            <v>#Lv85_엘리트 전용</v>
          </cell>
        </row>
        <row r="1820">
          <cell r="A1820">
            <v>22910185</v>
          </cell>
          <cell r="B1820" t="str">
            <v>#Lv86_엘리트 전용</v>
          </cell>
        </row>
        <row r="1821">
          <cell r="A1821">
            <v>22910186</v>
          </cell>
          <cell r="B1821" t="str">
            <v>#Lv87_엘리트 전용</v>
          </cell>
        </row>
        <row r="1822">
          <cell r="A1822">
            <v>22910187</v>
          </cell>
          <cell r="B1822" t="str">
            <v>#Lv88_엘리트 전용</v>
          </cell>
        </row>
        <row r="1823">
          <cell r="A1823">
            <v>22910188</v>
          </cell>
          <cell r="B1823" t="str">
            <v>#Lv89_엘리트 전용</v>
          </cell>
        </row>
        <row r="1824">
          <cell r="A1824">
            <v>22910189</v>
          </cell>
          <cell r="B1824" t="str">
            <v>#Lv90_엘리트 전용</v>
          </cell>
        </row>
        <row r="1825">
          <cell r="A1825">
            <v>22910190</v>
          </cell>
          <cell r="B1825" t="str">
            <v>#Lv91_엘리트 전용</v>
          </cell>
        </row>
        <row r="1826">
          <cell r="A1826">
            <v>22910191</v>
          </cell>
          <cell r="B1826" t="str">
            <v>#Lv92_엘리트 전용</v>
          </cell>
        </row>
        <row r="1827">
          <cell r="A1827">
            <v>22910192</v>
          </cell>
          <cell r="B1827" t="str">
            <v>#Lv93_엘리트 전용</v>
          </cell>
        </row>
        <row r="1828">
          <cell r="A1828">
            <v>22910193</v>
          </cell>
          <cell r="B1828" t="str">
            <v>#Lv94_엘리트 전용</v>
          </cell>
        </row>
        <row r="1829">
          <cell r="A1829">
            <v>22910194</v>
          </cell>
          <cell r="B1829" t="str">
            <v>#Lv95_엘리트 전용</v>
          </cell>
        </row>
        <row r="1830">
          <cell r="A1830">
            <v>22910195</v>
          </cell>
          <cell r="B1830" t="str">
            <v>#Lv96_엘리트 전용</v>
          </cell>
        </row>
        <row r="1831">
          <cell r="A1831">
            <v>22910196</v>
          </cell>
          <cell r="B1831" t="str">
            <v>#Lv97_엘리트 전용</v>
          </cell>
        </row>
        <row r="1832">
          <cell r="A1832">
            <v>22910197</v>
          </cell>
          <cell r="B1832" t="str">
            <v>#Lv98_엘리트 전용</v>
          </cell>
        </row>
        <row r="1833">
          <cell r="A1833">
            <v>22910198</v>
          </cell>
          <cell r="B1833" t="str">
            <v>#Lv99_엘리트 전용</v>
          </cell>
        </row>
        <row r="1834">
          <cell r="A1834">
            <v>22910199</v>
          </cell>
          <cell r="B1834" t="str">
            <v>#Lv1_퀘스트용 2배</v>
          </cell>
        </row>
        <row r="1835">
          <cell r="A1835">
            <v>22910200</v>
          </cell>
          <cell r="B1835" t="str">
            <v>#Lv2_퀘스트용 2배</v>
          </cell>
        </row>
        <row r="1836">
          <cell r="A1836">
            <v>22910201</v>
          </cell>
          <cell r="B1836" t="str">
            <v>#Lv3_퀘스트용 2배</v>
          </cell>
        </row>
        <row r="1837">
          <cell r="A1837">
            <v>22910202</v>
          </cell>
          <cell r="B1837" t="str">
            <v>#Lv4_퀘스트용 2배</v>
          </cell>
        </row>
        <row r="1838">
          <cell r="A1838">
            <v>22910203</v>
          </cell>
          <cell r="B1838" t="str">
            <v>#Lv5_퀘스트용 2배</v>
          </cell>
        </row>
        <row r="1839">
          <cell r="A1839">
            <v>22910204</v>
          </cell>
          <cell r="B1839" t="str">
            <v>#Lv6_퀘스트용 2배</v>
          </cell>
        </row>
        <row r="1840">
          <cell r="A1840">
            <v>22910205</v>
          </cell>
          <cell r="B1840" t="str">
            <v>#Lv7_퀘스트용 2배</v>
          </cell>
        </row>
        <row r="1841">
          <cell r="A1841">
            <v>22910206</v>
          </cell>
          <cell r="B1841" t="str">
            <v>#Lv8_퀘스트용 2배</v>
          </cell>
        </row>
        <row r="1842">
          <cell r="A1842">
            <v>22910207</v>
          </cell>
          <cell r="B1842" t="str">
            <v>#Lv9_퀘스트용 2배</v>
          </cell>
        </row>
        <row r="1843">
          <cell r="A1843">
            <v>22910208</v>
          </cell>
          <cell r="B1843" t="str">
            <v>#Lv10_퀘스트용 2배</v>
          </cell>
        </row>
        <row r="1844">
          <cell r="A1844">
            <v>22910209</v>
          </cell>
          <cell r="B1844" t="str">
            <v>#Lv11_퀘스트용 2배</v>
          </cell>
        </row>
        <row r="1845">
          <cell r="A1845">
            <v>22910210</v>
          </cell>
          <cell r="B1845" t="str">
            <v>#Lv12_퀘스트용 2배</v>
          </cell>
        </row>
        <row r="1846">
          <cell r="A1846">
            <v>22910211</v>
          </cell>
          <cell r="B1846" t="str">
            <v>#Lv13_퀘스트용 2배</v>
          </cell>
        </row>
        <row r="1847">
          <cell r="A1847">
            <v>22910212</v>
          </cell>
          <cell r="B1847" t="str">
            <v>#Lv14_퀘스트용 2배</v>
          </cell>
        </row>
        <row r="1848">
          <cell r="A1848">
            <v>22910213</v>
          </cell>
          <cell r="B1848" t="str">
            <v>#Lv15_퀘스트용 2배</v>
          </cell>
        </row>
        <row r="1849">
          <cell r="A1849">
            <v>22910214</v>
          </cell>
          <cell r="B1849" t="str">
            <v>#Lv16_퀘스트용 2배</v>
          </cell>
        </row>
        <row r="1850">
          <cell r="A1850">
            <v>22910215</v>
          </cell>
          <cell r="B1850" t="str">
            <v>#Lv17_퀘스트용 2배</v>
          </cell>
        </row>
        <row r="1851">
          <cell r="A1851">
            <v>22910216</v>
          </cell>
          <cell r="B1851" t="str">
            <v>#Lv18_퀘스트용 2배</v>
          </cell>
        </row>
        <row r="1852">
          <cell r="A1852">
            <v>22910217</v>
          </cell>
          <cell r="B1852" t="str">
            <v>#Lv19_퀘스트용 2배</v>
          </cell>
        </row>
        <row r="1853">
          <cell r="A1853">
            <v>22910218</v>
          </cell>
          <cell r="B1853" t="str">
            <v>#Lv20_퀘스트용 2배</v>
          </cell>
        </row>
        <row r="1854">
          <cell r="A1854">
            <v>22910219</v>
          </cell>
          <cell r="B1854" t="str">
            <v>#Lv21_퀘스트용 2배</v>
          </cell>
        </row>
        <row r="1855">
          <cell r="A1855">
            <v>22910220</v>
          </cell>
          <cell r="B1855" t="str">
            <v>#Lv22_퀘스트용 2배</v>
          </cell>
        </row>
        <row r="1856">
          <cell r="A1856">
            <v>22910221</v>
          </cell>
          <cell r="B1856" t="str">
            <v>#Lv23_퀘스트용 2배</v>
          </cell>
        </row>
        <row r="1857">
          <cell r="A1857">
            <v>22910222</v>
          </cell>
          <cell r="B1857" t="str">
            <v>#Lv24_퀘스트용 2배</v>
          </cell>
        </row>
        <row r="1858">
          <cell r="A1858">
            <v>22910223</v>
          </cell>
          <cell r="B1858" t="str">
            <v>#Lv25_퀘스트용 2배</v>
          </cell>
        </row>
        <row r="1859">
          <cell r="A1859">
            <v>22910224</v>
          </cell>
          <cell r="B1859" t="str">
            <v>#Lv26_퀘스트용 2배</v>
          </cell>
        </row>
        <row r="1860">
          <cell r="A1860">
            <v>22910225</v>
          </cell>
          <cell r="B1860" t="str">
            <v>#Lv27_퀘스트용 2배</v>
          </cell>
        </row>
        <row r="1861">
          <cell r="A1861">
            <v>22910226</v>
          </cell>
          <cell r="B1861" t="str">
            <v>#Lv28_퀘스트용 2배</v>
          </cell>
        </row>
        <row r="1862">
          <cell r="A1862">
            <v>22910227</v>
          </cell>
          <cell r="B1862" t="str">
            <v>#Lv29_퀘스트용 2배</v>
          </cell>
        </row>
        <row r="1863">
          <cell r="A1863">
            <v>22910228</v>
          </cell>
          <cell r="B1863" t="str">
            <v>#Lv30_퀘스트용 2배</v>
          </cell>
        </row>
        <row r="1864">
          <cell r="A1864">
            <v>22910229</v>
          </cell>
          <cell r="B1864" t="str">
            <v>#Lv31_퀘스트용 2배</v>
          </cell>
        </row>
        <row r="1865">
          <cell r="A1865">
            <v>22910230</v>
          </cell>
          <cell r="B1865" t="str">
            <v>#Lv32_퀘스트용 2배</v>
          </cell>
        </row>
        <row r="1866">
          <cell r="A1866">
            <v>22910231</v>
          </cell>
          <cell r="B1866" t="str">
            <v>#Lv33_퀘스트용 2배</v>
          </cell>
        </row>
        <row r="1867">
          <cell r="A1867">
            <v>22910232</v>
          </cell>
          <cell r="B1867" t="str">
            <v>#Lv34_퀘스트용 2배</v>
          </cell>
        </row>
        <row r="1868">
          <cell r="A1868">
            <v>22910233</v>
          </cell>
          <cell r="B1868" t="str">
            <v>#Lv35_퀘스트용 2배</v>
          </cell>
        </row>
        <row r="1869">
          <cell r="A1869">
            <v>22910234</v>
          </cell>
          <cell r="B1869" t="str">
            <v>#Lv36_퀘스트용 2배</v>
          </cell>
        </row>
        <row r="1870">
          <cell r="A1870">
            <v>22910235</v>
          </cell>
          <cell r="B1870" t="str">
            <v>#Lv37_퀘스트용 2배</v>
          </cell>
        </row>
        <row r="1871">
          <cell r="A1871">
            <v>22910236</v>
          </cell>
          <cell r="B1871" t="str">
            <v>#Lv38_퀘스트용 2배</v>
          </cell>
        </row>
        <row r="1872">
          <cell r="A1872">
            <v>22910237</v>
          </cell>
          <cell r="B1872" t="str">
            <v>#Lv39_퀘스트용 2배</v>
          </cell>
        </row>
        <row r="1873">
          <cell r="A1873">
            <v>22910238</v>
          </cell>
          <cell r="B1873" t="str">
            <v>#Lv40_퀘스트용 2배</v>
          </cell>
        </row>
        <row r="1874">
          <cell r="A1874">
            <v>22910239</v>
          </cell>
          <cell r="B1874" t="str">
            <v>#Lv41_퀘스트용 2배</v>
          </cell>
        </row>
        <row r="1875">
          <cell r="A1875">
            <v>22910240</v>
          </cell>
          <cell r="B1875" t="str">
            <v>#Lv42_퀘스트용 2배</v>
          </cell>
        </row>
        <row r="1876">
          <cell r="A1876">
            <v>22910241</v>
          </cell>
          <cell r="B1876" t="str">
            <v>#Lv43_퀘스트용 2배</v>
          </cell>
        </row>
        <row r="1877">
          <cell r="A1877">
            <v>22910242</v>
          </cell>
          <cell r="B1877" t="str">
            <v>#Lv44_퀘스트용 2배</v>
          </cell>
        </row>
        <row r="1878">
          <cell r="A1878">
            <v>22910243</v>
          </cell>
          <cell r="B1878" t="str">
            <v>#Lv45_퀘스트용 2배</v>
          </cell>
        </row>
        <row r="1879">
          <cell r="A1879">
            <v>22910244</v>
          </cell>
          <cell r="B1879" t="str">
            <v>#Lv46_퀘스트용 2배</v>
          </cell>
        </row>
        <row r="1880">
          <cell r="A1880">
            <v>22910245</v>
          </cell>
          <cell r="B1880" t="str">
            <v>#Lv47_퀘스트용 2배</v>
          </cell>
        </row>
        <row r="1881">
          <cell r="A1881">
            <v>22910246</v>
          </cell>
          <cell r="B1881" t="str">
            <v>#Lv48_퀘스트용 2배</v>
          </cell>
        </row>
        <row r="1882">
          <cell r="A1882">
            <v>22910247</v>
          </cell>
          <cell r="B1882" t="str">
            <v>#Lv49_퀘스트용 2배</v>
          </cell>
        </row>
        <row r="1883">
          <cell r="A1883">
            <v>22910248</v>
          </cell>
          <cell r="B1883" t="str">
            <v>#Lv50_퀘스트용 2배</v>
          </cell>
        </row>
        <row r="1884">
          <cell r="A1884">
            <v>22910249</v>
          </cell>
          <cell r="B1884" t="str">
            <v>#Lv51_퀘스트용 2배</v>
          </cell>
        </row>
        <row r="1885">
          <cell r="A1885">
            <v>22910250</v>
          </cell>
          <cell r="B1885" t="str">
            <v>#Lv52_퀘스트용 2배</v>
          </cell>
        </row>
        <row r="1886">
          <cell r="A1886">
            <v>22910251</v>
          </cell>
          <cell r="B1886" t="str">
            <v>#Lv53_퀘스트용 2배</v>
          </cell>
        </row>
        <row r="1887">
          <cell r="A1887">
            <v>22910252</v>
          </cell>
          <cell r="B1887" t="str">
            <v>#Lv54_퀘스트용 2배</v>
          </cell>
        </row>
        <row r="1888">
          <cell r="A1888">
            <v>22910253</v>
          </cell>
          <cell r="B1888" t="str">
            <v>#Lv55_퀘스트용 2배</v>
          </cell>
        </row>
        <row r="1889">
          <cell r="A1889">
            <v>22910254</v>
          </cell>
          <cell r="B1889" t="str">
            <v>#Lv56_퀘스트용 2배</v>
          </cell>
        </row>
        <row r="1890">
          <cell r="A1890">
            <v>22910255</v>
          </cell>
          <cell r="B1890" t="str">
            <v>#Lv57_퀘스트용 2배</v>
          </cell>
        </row>
        <row r="1891">
          <cell r="A1891">
            <v>22910256</v>
          </cell>
          <cell r="B1891" t="str">
            <v>#Lv58_퀘스트용 2배</v>
          </cell>
        </row>
        <row r="1892">
          <cell r="A1892">
            <v>22910257</v>
          </cell>
          <cell r="B1892" t="str">
            <v>#Lv59_퀘스트용 2배</v>
          </cell>
        </row>
        <row r="1893">
          <cell r="A1893">
            <v>22910258</v>
          </cell>
          <cell r="B1893" t="str">
            <v>#Lv60_퀘스트용 2배</v>
          </cell>
        </row>
        <row r="1894">
          <cell r="A1894">
            <v>22910259</v>
          </cell>
          <cell r="B1894" t="str">
            <v>#Lv61_퀘스트용 2배</v>
          </cell>
        </row>
        <row r="1895">
          <cell r="A1895">
            <v>22910260</v>
          </cell>
          <cell r="B1895" t="str">
            <v>#Lv62_퀘스트용 2배</v>
          </cell>
        </row>
        <row r="1896">
          <cell r="A1896">
            <v>22910261</v>
          </cell>
          <cell r="B1896" t="str">
            <v>#Lv63_퀘스트용 2배</v>
          </cell>
        </row>
        <row r="1897">
          <cell r="A1897">
            <v>22910262</v>
          </cell>
          <cell r="B1897" t="str">
            <v>#Lv64_퀘스트용 2배</v>
          </cell>
        </row>
        <row r="1898">
          <cell r="A1898">
            <v>22910263</v>
          </cell>
          <cell r="B1898" t="str">
            <v>#Lv65_퀘스트용 2배</v>
          </cell>
        </row>
        <row r="1899">
          <cell r="A1899">
            <v>22910264</v>
          </cell>
          <cell r="B1899" t="str">
            <v>#Lv66_퀘스트용 2배</v>
          </cell>
        </row>
        <row r="1900">
          <cell r="A1900">
            <v>22910265</v>
          </cell>
          <cell r="B1900" t="str">
            <v>#Lv67_퀘스트용 2배</v>
          </cell>
        </row>
        <row r="1901">
          <cell r="A1901">
            <v>22910266</v>
          </cell>
          <cell r="B1901" t="str">
            <v>#Lv68_퀘스트용 2배</v>
          </cell>
        </row>
        <row r="1902">
          <cell r="A1902">
            <v>22910267</v>
          </cell>
          <cell r="B1902" t="str">
            <v>#Lv69_퀘스트용 2배</v>
          </cell>
        </row>
        <row r="1903">
          <cell r="A1903">
            <v>22910268</v>
          </cell>
          <cell r="B1903" t="str">
            <v>#Lv70_퀘스트용 2배</v>
          </cell>
        </row>
        <row r="1904">
          <cell r="A1904">
            <v>22910269</v>
          </cell>
          <cell r="B1904" t="str">
            <v>#Lv71_퀘스트용 2배</v>
          </cell>
        </row>
        <row r="1905">
          <cell r="A1905">
            <v>22910270</v>
          </cell>
          <cell r="B1905" t="str">
            <v>#Lv72_퀘스트용 2배</v>
          </cell>
        </row>
        <row r="1906">
          <cell r="A1906">
            <v>22910271</v>
          </cell>
          <cell r="B1906" t="str">
            <v>#Lv73_퀘스트용 2배</v>
          </cell>
        </row>
        <row r="1907">
          <cell r="A1907">
            <v>22910272</v>
          </cell>
          <cell r="B1907" t="str">
            <v>#Lv74_퀘스트용 2배</v>
          </cell>
        </row>
        <row r="1908">
          <cell r="A1908">
            <v>22910273</v>
          </cell>
          <cell r="B1908" t="str">
            <v>#Lv75_퀘스트용 2배</v>
          </cell>
        </row>
        <row r="1909">
          <cell r="A1909">
            <v>22910274</v>
          </cell>
          <cell r="B1909" t="str">
            <v>#Lv76_퀘스트용 2배</v>
          </cell>
        </row>
        <row r="1910">
          <cell r="A1910">
            <v>22910275</v>
          </cell>
          <cell r="B1910" t="str">
            <v>#Lv77_퀘스트용 2배</v>
          </cell>
        </row>
        <row r="1911">
          <cell r="A1911">
            <v>22910276</v>
          </cell>
          <cell r="B1911" t="str">
            <v>#Lv78_퀘스트용 2배</v>
          </cell>
        </row>
        <row r="1912">
          <cell r="A1912">
            <v>22910277</v>
          </cell>
          <cell r="B1912" t="str">
            <v>#Lv79_퀘스트용 2배</v>
          </cell>
        </row>
        <row r="1913">
          <cell r="A1913">
            <v>22910278</v>
          </cell>
          <cell r="B1913" t="str">
            <v>#Lv80_퀘스트용 2배</v>
          </cell>
        </row>
        <row r="1914">
          <cell r="A1914">
            <v>22910279</v>
          </cell>
          <cell r="B1914" t="str">
            <v>#Lv81_퀘스트용 2배</v>
          </cell>
        </row>
        <row r="1915">
          <cell r="A1915">
            <v>22910280</v>
          </cell>
          <cell r="B1915" t="str">
            <v>#Lv82_퀘스트용 2배</v>
          </cell>
        </row>
        <row r="1916">
          <cell r="A1916">
            <v>22910281</v>
          </cell>
          <cell r="B1916" t="str">
            <v>#Lv83_퀘스트용 2배</v>
          </cell>
        </row>
        <row r="1917">
          <cell r="A1917">
            <v>22910282</v>
          </cell>
          <cell r="B1917" t="str">
            <v>#Lv84_퀘스트용 2배</v>
          </cell>
        </row>
        <row r="1918">
          <cell r="A1918">
            <v>22910283</v>
          </cell>
          <cell r="B1918" t="str">
            <v>#Lv85_퀘스트용 2배</v>
          </cell>
        </row>
        <row r="1919">
          <cell r="A1919">
            <v>22910284</v>
          </cell>
          <cell r="B1919" t="str">
            <v>#Lv86_퀘스트용 2배</v>
          </cell>
        </row>
        <row r="1920">
          <cell r="A1920">
            <v>22910285</v>
          </cell>
          <cell r="B1920" t="str">
            <v>#Lv87_퀘스트용 2배</v>
          </cell>
        </row>
        <row r="1921">
          <cell r="A1921">
            <v>22910286</v>
          </cell>
          <cell r="B1921" t="str">
            <v>#Lv88_퀘스트용 2배</v>
          </cell>
        </row>
        <row r="1922">
          <cell r="A1922">
            <v>22910287</v>
          </cell>
          <cell r="B1922" t="str">
            <v>#Lv89_퀘스트용 2배</v>
          </cell>
        </row>
        <row r="1923">
          <cell r="A1923">
            <v>22910288</v>
          </cell>
          <cell r="B1923" t="str">
            <v>#Lv90_퀘스트용 2배</v>
          </cell>
        </row>
        <row r="1924">
          <cell r="A1924">
            <v>22910289</v>
          </cell>
          <cell r="B1924" t="str">
            <v>#Lv91_퀘스트용 2배</v>
          </cell>
        </row>
        <row r="1925">
          <cell r="A1925">
            <v>22910290</v>
          </cell>
          <cell r="B1925" t="str">
            <v>#Lv92_퀘스트용 2배</v>
          </cell>
        </row>
        <row r="1926">
          <cell r="A1926">
            <v>22910291</v>
          </cell>
          <cell r="B1926" t="str">
            <v>#Lv93_퀘스트용 2배</v>
          </cell>
        </row>
        <row r="1927">
          <cell r="A1927">
            <v>22910292</v>
          </cell>
          <cell r="B1927" t="str">
            <v>#Lv94_퀘스트용 2배</v>
          </cell>
        </row>
        <row r="1928">
          <cell r="A1928">
            <v>22910293</v>
          </cell>
          <cell r="B1928" t="str">
            <v>#Lv95_퀘스트용 2배</v>
          </cell>
        </row>
        <row r="1929">
          <cell r="A1929">
            <v>22910294</v>
          </cell>
          <cell r="B1929" t="str">
            <v>#Lv96_퀘스트용 2배</v>
          </cell>
        </row>
        <row r="1930">
          <cell r="A1930">
            <v>22910295</v>
          </cell>
          <cell r="B1930" t="str">
            <v>#Lv97_퀘스트용 2배</v>
          </cell>
        </row>
        <row r="1931">
          <cell r="A1931">
            <v>22910296</v>
          </cell>
          <cell r="B1931" t="str">
            <v>#Lv98_퀘스트용 2배</v>
          </cell>
        </row>
        <row r="1932">
          <cell r="A1932">
            <v>22910297</v>
          </cell>
          <cell r="B1932" t="str">
            <v>#Lv99_퀘스트용 2배</v>
          </cell>
        </row>
        <row r="1933">
          <cell r="A1933">
            <v>22910298</v>
          </cell>
          <cell r="B1933" t="str">
            <v>#Lv1_퀘스트용 3배</v>
          </cell>
        </row>
        <row r="1934">
          <cell r="A1934">
            <v>22910299</v>
          </cell>
          <cell r="B1934" t="str">
            <v>#Lv2_퀘스트용 3배</v>
          </cell>
        </row>
        <row r="1935">
          <cell r="A1935">
            <v>22910300</v>
          </cell>
          <cell r="B1935" t="str">
            <v>#Lv3_퀘스트용 3배</v>
          </cell>
        </row>
        <row r="1936">
          <cell r="A1936">
            <v>22910301</v>
          </cell>
          <cell r="B1936" t="str">
            <v>#Lv4_퀘스트용 3배</v>
          </cell>
        </row>
        <row r="1937">
          <cell r="A1937">
            <v>22910302</v>
          </cell>
          <cell r="B1937" t="str">
            <v>#Lv5_퀘스트용 3배</v>
          </cell>
        </row>
        <row r="1938">
          <cell r="A1938">
            <v>22910303</v>
          </cell>
          <cell r="B1938" t="str">
            <v>#Lv6_퀘스트용 3배</v>
          </cell>
        </row>
        <row r="1939">
          <cell r="A1939">
            <v>22910304</v>
          </cell>
          <cell r="B1939" t="str">
            <v>#Lv7_퀘스트용 3배</v>
          </cell>
        </row>
        <row r="1940">
          <cell r="A1940">
            <v>22910305</v>
          </cell>
          <cell r="B1940" t="str">
            <v>#Lv8_퀘스트용 3배</v>
          </cell>
        </row>
        <row r="1941">
          <cell r="A1941">
            <v>22910306</v>
          </cell>
          <cell r="B1941" t="str">
            <v>#Lv9_퀘스트용 3배</v>
          </cell>
        </row>
        <row r="1942">
          <cell r="A1942">
            <v>22910307</v>
          </cell>
          <cell r="B1942" t="str">
            <v>#Lv10_퀘스트용 3배</v>
          </cell>
        </row>
        <row r="1943">
          <cell r="A1943">
            <v>22910308</v>
          </cell>
          <cell r="B1943" t="str">
            <v>#Lv11_퀘스트용 3배</v>
          </cell>
        </row>
        <row r="1944">
          <cell r="A1944">
            <v>22910309</v>
          </cell>
          <cell r="B1944" t="str">
            <v>#Lv12_퀘스트용 3배</v>
          </cell>
        </row>
        <row r="1945">
          <cell r="A1945">
            <v>22910310</v>
          </cell>
          <cell r="B1945" t="str">
            <v>#Lv13_퀘스트용 3배</v>
          </cell>
        </row>
        <row r="1946">
          <cell r="A1946">
            <v>22910311</v>
          </cell>
          <cell r="B1946" t="str">
            <v>#Lv14_퀘스트용 3배</v>
          </cell>
        </row>
        <row r="1947">
          <cell r="A1947">
            <v>22910312</v>
          </cell>
          <cell r="B1947" t="str">
            <v>#Lv15_퀘스트용 3배</v>
          </cell>
        </row>
        <row r="1948">
          <cell r="A1948">
            <v>22910313</v>
          </cell>
          <cell r="B1948" t="str">
            <v>#Lv16_퀘스트용 3배</v>
          </cell>
        </row>
        <row r="1949">
          <cell r="A1949">
            <v>22910314</v>
          </cell>
          <cell r="B1949" t="str">
            <v>#Lv17_퀘스트용 3배</v>
          </cell>
        </row>
        <row r="1950">
          <cell r="A1950">
            <v>22910315</v>
          </cell>
          <cell r="B1950" t="str">
            <v>#Lv18_퀘스트용 3배</v>
          </cell>
        </row>
        <row r="1951">
          <cell r="A1951">
            <v>22910316</v>
          </cell>
          <cell r="B1951" t="str">
            <v>#Lv19_퀘스트용 3배</v>
          </cell>
        </row>
        <row r="1952">
          <cell r="A1952">
            <v>22910317</v>
          </cell>
          <cell r="B1952" t="str">
            <v>#Lv20_퀘스트용 3배</v>
          </cell>
        </row>
        <row r="1953">
          <cell r="A1953">
            <v>22910318</v>
          </cell>
          <cell r="B1953" t="str">
            <v>#Lv21_퀘스트용 3배</v>
          </cell>
        </row>
        <row r="1954">
          <cell r="A1954">
            <v>22910319</v>
          </cell>
          <cell r="B1954" t="str">
            <v>#Lv22_퀘스트용 3배</v>
          </cell>
        </row>
        <row r="1955">
          <cell r="A1955">
            <v>22910320</v>
          </cell>
          <cell r="B1955" t="str">
            <v>#Lv23_퀘스트용 3배</v>
          </cell>
        </row>
        <row r="1956">
          <cell r="A1956">
            <v>22910321</v>
          </cell>
          <cell r="B1956" t="str">
            <v>#Lv24_퀘스트용 3배</v>
          </cell>
        </row>
        <row r="1957">
          <cell r="A1957">
            <v>22910322</v>
          </cell>
          <cell r="B1957" t="str">
            <v>#Lv25_퀘스트용 3배</v>
          </cell>
        </row>
        <row r="1958">
          <cell r="A1958">
            <v>22910323</v>
          </cell>
          <cell r="B1958" t="str">
            <v>#Lv26_퀘스트용 3배</v>
          </cell>
        </row>
        <row r="1959">
          <cell r="A1959">
            <v>22910324</v>
          </cell>
          <cell r="B1959" t="str">
            <v>#Lv27_퀘스트용 3배</v>
          </cell>
        </row>
        <row r="1960">
          <cell r="A1960">
            <v>22910325</v>
          </cell>
          <cell r="B1960" t="str">
            <v>#Lv28_퀘스트용 3배</v>
          </cell>
        </row>
        <row r="1961">
          <cell r="A1961">
            <v>22910326</v>
          </cell>
          <cell r="B1961" t="str">
            <v>#Lv29_퀘스트용 3배</v>
          </cell>
        </row>
        <row r="1962">
          <cell r="A1962">
            <v>22910327</v>
          </cell>
          <cell r="B1962" t="str">
            <v>#Lv30_퀘스트용 3배</v>
          </cell>
        </row>
        <row r="1963">
          <cell r="A1963">
            <v>22910328</v>
          </cell>
          <cell r="B1963" t="str">
            <v>#Lv31_퀘스트용 3배</v>
          </cell>
        </row>
        <row r="1964">
          <cell r="A1964">
            <v>22910329</v>
          </cell>
          <cell r="B1964" t="str">
            <v>#Lv32_퀘스트용 3배</v>
          </cell>
        </row>
        <row r="1965">
          <cell r="A1965">
            <v>22910330</v>
          </cell>
          <cell r="B1965" t="str">
            <v>#Lv33_퀘스트용 3배</v>
          </cell>
        </row>
        <row r="1966">
          <cell r="A1966">
            <v>22910331</v>
          </cell>
          <cell r="B1966" t="str">
            <v>#Lv34_퀘스트용 3배</v>
          </cell>
        </row>
        <row r="1967">
          <cell r="A1967">
            <v>22910332</v>
          </cell>
          <cell r="B1967" t="str">
            <v>#Lv35_퀘스트용 3배</v>
          </cell>
        </row>
        <row r="1968">
          <cell r="A1968">
            <v>22910333</v>
          </cell>
          <cell r="B1968" t="str">
            <v>#Lv36_퀘스트용 3배</v>
          </cell>
        </row>
        <row r="1969">
          <cell r="A1969">
            <v>22910334</v>
          </cell>
          <cell r="B1969" t="str">
            <v>#Lv37_퀘스트용 3배</v>
          </cell>
        </row>
        <row r="1970">
          <cell r="A1970">
            <v>22910335</v>
          </cell>
          <cell r="B1970" t="str">
            <v>#Lv38_퀘스트용 3배</v>
          </cell>
        </row>
        <row r="1971">
          <cell r="A1971">
            <v>22910336</v>
          </cell>
          <cell r="B1971" t="str">
            <v>#Lv39_퀘스트용 3배</v>
          </cell>
        </row>
        <row r="1972">
          <cell r="A1972">
            <v>22910337</v>
          </cell>
          <cell r="B1972" t="str">
            <v>#Lv40_퀘스트용 3배</v>
          </cell>
        </row>
        <row r="1973">
          <cell r="A1973">
            <v>22910338</v>
          </cell>
          <cell r="B1973" t="str">
            <v>#Lv41_퀘스트용 3배</v>
          </cell>
        </row>
        <row r="1974">
          <cell r="A1974">
            <v>22910339</v>
          </cell>
          <cell r="B1974" t="str">
            <v>#Lv42_퀘스트용 3배</v>
          </cell>
        </row>
        <row r="1975">
          <cell r="A1975">
            <v>22910340</v>
          </cell>
          <cell r="B1975" t="str">
            <v>#Lv43_퀘스트용 3배</v>
          </cell>
        </row>
        <row r="1976">
          <cell r="A1976">
            <v>22910341</v>
          </cell>
          <cell r="B1976" t="str">
            <v>#Lv44_퀘스트용 3배</v>
          </cell>
        </row>
        <row r="1977">
          <cell r="A1977">
            <v>22910342</v>
          </cell>
          <cell r="B1977" t="str">
            <v>#Lv45_퀘스트용 3배</v>
          </cell>
        </row>
        <row r="1978">
          <cell r="A1978">
            <v>22910343</v>
          </cell>
          <cell r="B1978" t="str">
            <v>#Lv46_퀘스트용 3배</v>
          </cell>
        </row>
        <row r="1979">
          <cell r="A1979">
            <v>22910344</v>
          </cell>
          <cell r="B1979" t="str">
            <v>#Lv47_퀘스트용 3배</v>
          </cell>
        </row>
        <row r="1980">
          <cell r="A1980">
            <v>22910345</v>
          </cell>
          <cell r="B1980" t="str">
            <v>#Lv48_퀘스트용 3배</v>
          </cell>
        </row>
        <row r="1981">
          <cell r="A1981">
            <v>22910346</v>
          </cell>
          <cell r="B1981" t="str">
            <v>#Lv49_퀘스트용 3배</v>
          </cell>
        </row>
        <row r="1982">
          <cell r="A1982">
            <v>22910347</v>
          </cell>
          <cell r="B1982" t="str">
            <v>#Lv50_퀘스트용 3배</v>
          </cell>
        </row>
        <row r="1983">
          <cell r="A1983">
            <v>22910348</v>
          </cell>
          <cell r="B1983" t="str">
            <v>#Lv51_퀘스트용 3배</v>
          </cell>
        </row>
        <row r="1984">
          <cell r="A1984">
            <v>22910349</v>
          </cell>
          <cell r="B1984" t="str">
            <v>#Lv52_퀘스트용 3배</v>
          </cell>
        </row>
        <row r="1985">
          <cell r="A1985">
            <v>22910350</v>
          </cell>
          <cell r="B1985" t="str">
            <v>#Lv53_퀘스트용 3배</v>
          </cell>
        </row>
        <row r="1986">
          <cell r="A1986">
            <v>22910351</v>
          </cell>
          <cell r="B1986" t="str">
            <v>#Lv54_퀘스트용 3배</v>
          </cell>
        </row>
        <row r="1987">
          <cell r="A1987">
            <v>22910352</v>
          </cell>
          <cell r="B1987" t="str">
            <v>#Lv55_퀘스트용 3배</v>
          </cell>
        </row>
        <row r="1988">
          <cell r="A1988">
            <v>22910353</v>
          </cell>
          <cell r="B1988" t="str">
            <v>#Lv56_퀘스트용 3배</v>
          </cell>
        </row>
        <row r="1989">
          <cell r="A1989">
            <v>22910354</v>
          </cell>
          <cell r="B1989" t="str">
            <v>#Lv57_퀘스트용 3배</v>
          </cell>
        </row>
        <row r="1990">
          <cell r="A1990">
            <v>22910355</v>
          </cell>
          <cell r="B1990" t="str">
            <v>#Lv58_퀘스트용 3배</v>
          </cell>
        </row>
        <row r="1991">
          <cell r="A1991">
            <v>22910356</v>
          </cell>
          <cell r="B1991" t="str">
            <v>#Lv59_퀘스트용 3배</v>
          </cell>
        </row>
        <row r="1992">
          <cell r="A1992">
            <v>22910357</v>
          </cell>
          <cell r="B1992" t="str">
            <v>#Lv60_퀘스트용 3배</v>
          </cell>
        </row>
        <row r="1993">
          <cell r="A1993">
            <v>22910358</v>
          </cell>
          <cell r="B1993" t="str">
            <v>#Lv61_퀘스트용 3배</v>
          </cell>
        </row>
        <row r="1994">
          <cell r="A1994">
            <v>22910359</v>
          </cell>
          <cell r="B1994" t="str">
            <v>#Lv62_퀘스트용 3배</v>
          </cell>
        </row>
        <row r="1995">
          <cell r="A1995">
            <v>22910360</v>
          </cell>
          <cell r="B1995" t="str">
            <v>#Lv63_퀘스트용 3배</v>
          </cell>
        </row>
        <row r="1996">
          <cell r="A1996">
            <v>22910361</v>
          </cell>
          <cell r="B1996" t="str">
            <v>#Lv64_퀘스트용 3배</v>
          </cell>
        </row>
        <row r="1997">
          <cell r="A1997">
            <v>22910362</v>
          </cell>
          <cell r="B1997" t="str">
            <v>#Lv65_퀘스트용 3배</v>
          </cell>
        </row>
        <row r="1998">
          <cell r="A1998">
            <v>22910363</v>
          </cell>
          <cell r="B1998" t="str">
            <v>#Lv66_퀘스트용 3배</v>
          </cell>
        </row>
        <row r="1999">
          <cell r="A1999">
            <v>22910364</v>
          </cell>
          <cell r="B1999" t="str">
            <v>#Lv67_퀘스트용 3배</v>
          </cell>
        </row>
        <row r="2000">
          <cell r="A2000">
            <v>22910365</v>
          </cell>
          <cell r="B2000" t="str">
            <v>#Lv68_퀘스트용 3배</v>
          </cell>
        </row>
        <row r="2001">
          <cell r="A2001">
            <v>22910366</v>
          </cell>
          <cell r="B2001" t="str">
            <v>#Lv69_퀘스트용 3배</v>
          </cell>
        </row>
        <row r="2002">
          <cell r="A2002">
            <v>22910367</v>
          </cell>
          <cell r="B2002" t="str">
            <v>#Lv70_퀘스트용 3배</v>
          </cell>
        </row>
        <row r="2003">
          <cell r="A2003">
            <v>22910368</v>
          </cell>
          <cell r="B2003" t="str">
            <v>#Lv71_퀘스트용 3배</v>
          </cell>
        </row>
        <row r="2004">
          <cell r="A2004">
            <v>22910369</v>
          </cell>
          <cell r="B2004" t="str">
            <v>#Lv72_퀘스트용 3배</v>
          </cell>
        </row>
        <row r="2005">
          <cell r="A2005">
            <v>22910370</v>
          </cell>
          <cell r="B2005" t="str">
            <v>#Lv73_퀘스트용 3배</v>
          </cell>
        </row>
        <row r="2006">
          <cell r="A2006">
            <v>22910371</v>
          </cell>
          <cell r="B2006" t="str">
            <v>#Lv74_퀘스트용 3배</v>
          </cell>
        </row>
        <row r="2007">
          <cell r="A2007">
            <v>22910372</v>
          </cell>
          <cell r="B2007" t="str">
            <v>#Lv75_퀘스트용 3배</v>
          </cell>
        </row>
        <row r="2008">
          <cell r="A2008">
            <v>22910373</v>
          </cell>
          <cell r="B2008" t="str">
            <v>#Lv76_퀘스트용 3배</v>
          </cell>
        </row>
        <row r="2009">
          <cell r="A2009">
            <v>22910374</v>
          </cell>
          <cell r="B2009" t="str">
            <v>#Lv77_퀘스트용 3배</v>
          </cell>
        </row>
        <row r="2010">
          <cell r="A2010">
            <v>22910375</v>
          </cell>
          <cell r="B2010" t="str">
            <v>#Lv78_퀘스트용 3배</v>
          </cell>
        </row>
        <row r="2011">
          <cell r="A2011">
            <v>22910376</v>
          </cell>
          <cell r="B2011" t="str">
            <v>#Lv79_퀘스트용 3배</v>
          </cell>
        </row>
        <row r="2012">
          <cell r="A2012">
            <v>22910377</v>
          </cell>
          <cell r="B2012" t="str">
            <v>#Lv80_퀘스트용 3배</v>
          </cell>
        </row>
        <row r="2013">
          <cell r="A2013">
            <v>22910378</v>
          </cell>
          <cell r="B2013" t="str">
            <v>#Lv81_퀘스트용 3배</v>
          </cell>
        </row>
        <row r="2014">
          <cell r="A2014">
            <v>22910379</v>
          </cell>
          <cell r="B2014" t="str">
            <v>#Lv82_퀘스트용 3배</v>
          </cell>
        </row>
        <row r="2015">
          <cell r="A2015">
            <v>22910380</v>
          </cell>
          <cell r="B2015" t="str">
            <v>#Lv83_퀘스트용 3배</v>
          </cell>
        </row>
        <row r="2016">
          <cell r="A2016">
            <v>22910381</v>
          </cell>
          <cell r="B2016" t="str">
            <v>#Lv84_퀘스트용 3배</v>
          </cell>
        </row>
        <row r="2017">
          <cell r="A2017">
            <v>22910382</v>
          </cell>
          <cell r="B2017" t="str">
            <v>#Lv85_퀘스트용 3배</v>
          </cell>
        </row>
        <row r="2018">
          <cell r="A2018">
            <v>22910383</v>
          </cell>
          <cell r="B2018" t="str">
            <v>#Lv86_퀘스트용 3배</v>
          </cell>
        </row>
        <row r="2019">
          <cell r="A2019">
            <v>22910384</v>
          </cell>
          <cell r="B2019" t="str">
            <v>#Lv87_퀘스트용 3배</v>
          </cell>
        </row>
        <row r="2020">
          <cell r="A2020">
            <v>22910385</v>
          </cell>
          <cell r="B2020" t="str">
            <v>#Lv88_퀘스트용 3배</v>
          </cell>
        </row>
        <row r="2021">
          <cell r="A2021">
            <v>22910386</v>
          </cell>
          <cell r="B2021" t="str">
            <v>#Lv89_퀘스트용 3배</v>
          </cell>
        </row>
        <row r="2022">
          <cell r="A2022">
            <v>22910387</v>
          </cell>
          <cell r="B2022" t="str">
            <v>#Lv90_퀘스트용 3배</v>
          </cell>
        </row>
        <row r="2023">
          <cell r="A2023">
            <v>22910388</v>
          </cell>
          <cell r="B2023" t="str">
            <v>#Lv91_퀘스트용 3배</v>
          </cell>
        </row>
        <row r="2024">
          <cell r="A2024">
            <v>22910389</v>
          </cell>
          <cell r="B2024" t="str">
            <v>#Lv92_퀘스트용 3배</v>
          </cell>
        </row>
        <row r="2025">
          <cell r="A2025">
            <v>22910390</v>
          </cell>
          <cell r="B2025" t="str">
            <v>#Lv93_퀘스트용 3배</v>
          </cell>
        </row>
        <row r="2026">
          <cell r="A2026">
            <v>22910391</v>
          </cell>
          <cell r="B2026" t="str">
            <v>#Lv94_퀘스트용 3배</v>
          </cell>
        </row>
        <row r="2027">
          <cell r="A2027">
            <v>22910392</v>
          </cell>
          <cell r="B2027" t="str">
            <v>#Lv95_퀘스트용 3배</v>
          </cell>
        </row>
        <row r="2028">
          <cell r="A2028">
            <v>22910393</v>
          </cell>
          <cell r="B2028" t="str">
            <v>#Lv96_퀘스트용 3배</v>
          </cell>
        </row>
        <row r="2029">
          <cell r="A2029">
            <v>22910394</v>
          </cell>
          <cell r="B2029" t="str">
            <v>#Lv97_퀘스트용 3배</v>
          </cell>
        </row>
        <row r="2030">
          <cell r="A2030">
            <v>22910395</v>
          </cell>
          <cell r="B2030" t="str">
            <v>#Lv98_퀘스트용 3배</v>
          </cell>
        </row>
        <row r="2031">
          <cell r="A2031">
            <v>22910396</v>
          </cell>
          <cell r="B2031" t="str">
            <v>#Lv99_퀘스트용 3배</v>
          </cell>
        </row>
        <row r="2032">
          <cell r="A2032">
            <v>22910397</v>
          </cell>
          <cell r="B2032" t="str">
            <v>#Lv1_퀘스트용 4배</v>
          </cell>
        </row>
        <row r="2033">
          <cell r="A2033">
            <v>22910398</v>
          </cell>
          <cell r="B2033" t="str">
            <v>#Lv2_퀘스트용 4배</v>
          </cell>
        </row>
        <row r="2034">
          <cell r="A2034">
            <v>22910399</v>
          </cell>
          <cell r="B2034" t="str">
            <v>#Lv3_퀘스트용 4배</v>
          </cell>
        </row>
        <row r="2035">
          <cell r="A2035">
            <v>22910400</v>
          </cell>
          <cell r="B2035" t="str">
            <v>#Lv4_퀘스트용 4배</v>
          </cell>
        </row>
        <row r="2036">
          <cell r="A2036">
            <v>22910401</v>
          </cell>
          <cell r="B2036" t="str">
            <v>#Lv5_퀘스트용 4배</v>
          </cell>
        </row>
        <row r="2037">
          <cell r="A2037">
            <v>22910402</v>
          </cell>
          <cell r="B2037" t="str">
            <v>#Lv6_퀘스트용 4배</v>
          </cell>
        </row>
        <row r="2038">
          <cell r="A2038">
            <v>22910403</v>
          </cell>
          <cell r="B2038" t="str">
            <v>#Lv7_퀘스트용 4배</v>
          </cell>
        </row>
        <row r="2039">
          <cell r="A2039">
            <v>22910404</v>
          </cell>
          <cell r="B2039" t="str">
            <v>#Lv8_퀘스트용 4배</v>
          </cell>
        </row>
        <row r="2040">
          <cell r="A2040">
            <v>22910405</v>
          </cell>
          <cell r="B2040" t="str">
            <v>#Lv9_퀘스트용 4배</v>
          </cell>
        </row>
        <row r="2041">
          <cell r="A2041">
            <v>22910406</v>
          </cell>
          <cell r="B2041" t="str">
            <v>#Lv10_퀘스트용 4배</v>
          </cell>
        </row>
        <row r="2042">
          <cell r="A2042">
            <v>22910407</v>
          </cell>
          <cell r="B2042" t="str">
            <v>#Lv11_퀘스트용 4배</v>
          </cell>
        </row>
        <row r="2043">
          <cell r="A2043">
            <v>22910408</v>
          </cell>
          <cell r="B2043" t="str">
            <v>#Lv12_퀘스트용 4배</v>
          </cell>
        </row>
        <row r="2044">
          <cell r="A2044">
            <v>22910409</v>
          </cell>
          <cell r="B2044" t="str">
            <v>#Lv13_퀘스트용 4배</v>
          </cell>
        </row>
        <row r="2045">
          <cell r="A2045">
            <v>22910410</v>
          </cell>
          <cell r="B2045" t="str">
            <v>#Lv14_퀘스트용 4배</v>
          </cell>
        </row>
        <row r="2046">
          <cell r="A2046">
            <v>22910411</v>
          </cell>
          <cell r="B2046" t="str">
            <v>#Lv15_퀘스트용 4배</v>
          </cell>
        </row>
        <row r="2047">
          <cell r="A2047">
            <v>22910412</v>
          </cell>
          <cell r="B2047" t="str">
            <v>#Lv16_퀘스트용 4배</v>
          </cell>
        </row>
        <row r="2048">
          <cell r="A2048">
            <v>22910413</v>
          </cell>
          <cell r="B2048" t="str">
            <v>#Lv17_퀘스트용 4배</v>
          </cell>
        </row>
        <row r="2049">
          <cell r="A2049">
            <v>22910414</v>
          </cell>
          <cell r="B2049" t="str">
            <v>#Lv18_퀘스트용 4배</v>
          </cell>
        </row>
        <row r="2050">
          <cell r="A2050">
            <v>22910415</v>
          </cell>
          <cell r="B2050" t="str">
            <v>#Lv19_퀘스트용 4배</v>
          </cell>
        </row>
        <row r="2051">
          <cell r="A2051">
            <v>22910416</v>
          </cell>
          <cell r="B2051" t="str">
            <v>#Lv20_퀘스트용 4배</v>
          </cell>
        </row>
        <row r="2052">
          <cell r="A2052">
            <v>22910417</v>
          </cell>
          <cell r="B2052" t="str">
            <v>#Lv21_퀘스트용 4배</v>
          </cell>
        </row>
        <row r="2053">
          <cell r="A2053">
            <v>22910418</v>
          </cell>
          <cell r="B2053" t="str">
            <v>#Lv22_퀘스트용 4배</v>
          </cell>
        </row>
        <row r="2054">
          <cell r="A2054">
            <v>22910419</v>
          </cell>
          <cell r="B2054" t="str">
            <v>#Lv23_퀘스트용 4배</v>
          </cell>
        </row>
        <row r="2055">
          <cell r="A2055">
            <v>22910420</v>
          </cell>
          <cell r="B2055" t="str">
            <v>#Lv24_퀘스트용 4배</v>
          </cell>
        </row>
        <row r="2056">
          <cell r="A2056">
            <v>22910421</v>
          </cell>
          <cell r="B2056" t="str">
            <v>#Lv25_퀘스트용 4배</v>
          </cell>
        </row>
        <row r="2057">
          <cell r="A2057">
            <v>22910422</v>
          </cell>
          <cell r="B2057" t="str">
            <v>#Lv26_퀘스트용 4배</v>
          </cell>
        </row>
        <row r="2058">
          <cell r="A2058">
            <v>22910423</v>
          </cell>
          <cell r="B2058" t="str">
            <v>#Lv27_퀘스트용 4배</v>
          </cell>
        </row>
        <row r="2059">
          <cell r="A2059">
            <v>22910424</v>
          </cell>
          <cell r="B2059" t="str">
            <v>#Lv28_퀘스트용 4배</v>
          </cell>
        </row>
        <row r="2060">
          <cell r="A2060">
            <v>22910425</v>
          </cell>
          <cell r="B2060" t="str">
            <v>#Lv29_퀘스트용 4배</v>
          </cell>
        </row>
        <row r="2061">
          <cell r="A2061">
            <v>22910426</v>
          </cell>
          <cell r="B2061" t="str">
            <v>#Lv30_퀘스트용 4배</v>
          </cell>
        </row>
        <row r="2062">
          <cell r="A2062">
            <v>22910427</v>
          </cell>
          <cell r="B2062" t="str">
            <v>#Lv31_퀘스트용 4배</v>
          </cell>
        </row>
        <row r="2063">
          <cell r="A2063">
            <v>22910428</v>
          </cell>
          <cell r="B2063" t="str">
            <v>#Lv32_퀘스트용 4배</v>
          </cell>
        </row>
        <row r="2064">
          <cell r="A2064">
            <v>22910429</v>
          </cell>
          <cell r="B2064" t="str">
            <v>#Lv33_퀘스트용 4배</v>
          </cell>
        </row>
        <row r="2065">
          <cell r="A2065">
            <v>22910430</v>
          </cell>
          <cell r="B2065" t="str">
            <v>#Lv34_퀘스트용 4배</v>
          </cell>
        </row>
        <row r="2066">
          <cell r="A2066">
            <v>22910431</v>
          </cell>
          <cell r="B2066" t="str">
            <v>#Lv35_퀘스트용 4배</v>
          </cell>
        </row>
        <row r="2067">
          <cell r="A2067">
            <v>22910432</v>
          </cell>
          <cell r="B2067" t="str">
            <v>#Lv36_퀘스트용 4배</v>
          </cell>
        </row>
        <row r="2068">
          <cell r="A2068">
            <v>22910433</v>
          </cell>
          <cell r="B2068" t="str">
            <v>#Lv37_퀘스트용 4배</v>
          </cell>
        </row>
        <row r="2069">
          <cell r="A2069">
            <v>22910434</v>
          </cell>
          <cell r="B2069" t="str">
            <v>#Lv38_퀘스트용 4배</v>
          </cell>
        </row>
        <row r="2070">
          <cell r="A2070">
            <v>22910435</v>
          </cell>
          <cell r="B2070" t="str">
            <v>#Lv39_퀘스트용 4배</v>
          </cell>
        </row>
        <row r="2071">
          <cell r="A2071">
            <v>22910436</v>
          </cell>
          <cell r="B2071" t="str">
            <v>#Lv40_퀘스트용 4배</v>
          </cell>
        </row>
        <row r="2072">
          <cell r="A2072">
            <v>22910437</v>
          </cell>
          <cell r="B2072" t="str">
            <v>#Lv41_퀘스트용 4배</v>
          </cell>
        </row>
        <row r="2073">
          <cell r="A2073">
            <v>22910438</v>
          </cell>
          <cell r="B2073" t="str">
            <v>#Lv42_퀘스트용 4배</v>
          </cell>
        </row>
        <row r="2074">
          <cell r="A2074">
            <v>22910439</v>
          </cell>
          <cell r="B2074" t="str">
            <v>#Lv43_퀘스트용 4배</v>
          </cell>
        </row>
        <row r="2075">
          <cell r="A2075">
            <v>22910440</v>
          </cell>
          <cell r="B2075" t="str">
            <v>#Lv44_퀘스트용 4배</v>
          </cell>
        </row>
        <row r="2076">
          <cell r="A2076">
            <v>22910441</v>
          </cell>
          <cell r="B2076" t="str">
            <v>#Lv45_퀘스트용 4배</v>
          </cell>
        </row>
        <row r="2077">
          <cell r="A2077">
            <v>22910442</v>
          </cell>
          <cell r="B2077" t="str">
            <v>#Lv46_퀘스트용 4배</v>
          </cell>
        </row>
        <row r="2078">
          <cell r="A2078">
            <v>22910443</v>
          </cell>
          <cell r="B2078" t="str">
            <v>#Lv47_퀘스트용 4배</v>
          </cell>
        </row>
        <row r="2079">
          <cell r="A2079">
            <v>22910444</v>
          </cell>
          <cell r="B2079" t="str">
            <v>#Lv48_퀘스트용 4배</v>
          </cell>
        </row>
        <row r="2080">
          <cell r="A2080">
            <v>22910445</v>
          </cell>
          <cell r="B2080" t="str">
            <v>#Lv49_퀘스트용 4배</v>
          </cell>
        </row>
        <row r="2081">
          <cell r="A2081">
            <v>22910446</v>
          </cell>
          <cell r="B2081" t="str">
            <v>#Lv50_퀘스트용 4배</v>
          </cell>
        </row>
        <row r="2082">
          <cell r="A2082">
            <v>22910447</v>
          </cell>
          <cell r="B2082" t="str">
            <v>#Lv51_퀘스트용 4배</v>
          </cell>
        </row>
        <row r="2083">
          <cell r="A2083">
            <v>22910448</v>
          </cell>
          <cell r="B2083" t="str">
            <v>#Lv52_퀘스트용 4배</v>
          </cell>
        </row>
        <row r="2084">
          <cell r="A2084">
            <v>22910449</v>
          </cell>
          <cell r="B2084" t="str">
            <v>#Lv53_퀘스트용 4배</v>
          </cell>
        </row>
        <row r="2085">
          <cell r="A2085">
            <v>22910450</v>
          </cell>
          <cell r="B2085" t="str">
            <v>#Lv54_퀘스트용 4배</v>
          </cell>
        </row>
        <row r="2086">
          <cell r="A2086">
            <v>22910451</v>
          </cell>
          <cell r="B2086" t="str">
            <v>#Lv55_퀘스트용 4배</v>
          </cell>
        </row>
        <row r="2087">
          <cell r="A2087">
            <v>22910452</v>
          </cell>
          <cell r="B2087" t="str">
            <v>#Lv56_퀘스트용 4배</v>
          </cell>
        </row>
        <row r="2088">
          <cell r="A2088">
            <v>22910453</v>
          </cell>
          <cell r="B2088" t="str">
            <v>#Lv57_퀘스트용 4배</v>
          </cell>
        </row>
        <row r="2089">
          <cell r="A2089">
            <v>22910454</v>
          </cell>
          <cell r="B2089" t="str">
            <v>#Lv58_퀘스트용 4배</v>
          </cell>
        </row>
        <row r="2090">
          <cell r="A2090">
            <v>22910455</v>
          </cell>
          <cell r="B2090" t="str">
            <v>#Lv59_퀘스트용 4배</v>
          </cell>
        </row>
        <row r="2091">
          <cell r="A2091">
            <v>22910456</v>
          </cell>
          <cell r="B2091" t="str">
            <v>#Lv60_퀘스트용 4배</v>
          </cell>
        </row>
        <row r="2092">
          <cell r="A2092">
            <v>22910457</v>
          </cell>
          <cell r="B2092" t="str">
            <v>#Lv61_퀘스트용 4배</v>
          </cell>
        </row>
        <row r="2093">
          <cell r="A2093">
            <v>22910458</v>
          </cell>
          <cell r="B2093" t="str">
            <v>#Lv62_퀘스트용 4배</v>
          </cell>
        </row>
        <row r="2094">
          <cell r="A2094">
            <v>22910459</v>
          </cell>
          <cell r="B2094" t="str">
            <v>#Lv63_퀘스트용 4배</v>
          </cell>
        </row>
        <row r="2095">
          <cell r="A2095">
            <v>22910460</v>
          </cell>
          <cell r="B2095" t="str">
            <v>#Lv64_퀘스트용 4배</v>
          </cell>
        </row>
        <row r="2096">
          <cell r="A2096">
            <v>22910461</v>
          </cell>
          <cell r="B2096" t="str">
            <v>#Lv65_퀘스트용 4배</v>
          </cell>
        </row>
        <row r="2097">
          <cell r="A2097">
            <v>22910462</v>
          </cell>
          <cell r="B2097" t="str">
            <v>#Lv66_퀘스트용 4배</v>
          </cell>
        </row>
        <row r="2098">
          <cell r="A2098">
            <v>22910463</v>
          </cell>
          <cell r="B2098" t="str">
            <v>#Lv67_퀘스트용 4배</v>
          </cell>
        </row>
        <row r="2099">
          <cell r="A2099">
            <v>22910464</v>
          </cell>
          <cell r="B2099" t="str">
            <v>#Lv68_퀘스트용 4배</v>
          </cell>
        </row>
        <row r="2100">
          <cell r="A2100">
            <v>22910465</v>
          </cell>
          <cell r="B2100" t="str">
            <v>#Lv69_퀘스트용 4배</v>
          </cell>
        </row>
        <row r="2101">
          <cell r="A2101">
            <v>22910466</v>
          </cell>
          <cell r="B2101" t="str">
            <v>#Lv70_퀘스트용 4배</v>
          </cell>
        </row>
        <row r="2102">
          <cell r="A2102">
            <v>22910467</v>
          </cell>
          <cell r="B2102" t="str">
            <v>#Lv71_퀘스트용 4배</v>
          </cell>
        </row>
        <row r="2103">
          <cell r="A2103">
            <v>22910468</v>
          </cell>
          <cell r="B2103" t="str">
            <v>#Lv72_퀘스트용 4배</v>
          </cell>
        </row>
        <row r="2104">
          <cell r="A2104">
            <v>22910469</v>
          </cell>
          <cell r="B2104" t="str">
            <v>#Lv73_퀘스트용 4배</v>
          </cell>
        </row>
        <row r="2105">
          <cell r="A2105">
            <v>22910470</v>
          </cell>
          <cell r="B2105" t="str">
            <v>#Lv74_퀘스트용 4배</v>
          </cell>
        </row>
        <row r="2106">
          <cell r="A2106">
            <v>22910471</v>
          </cell>
          <cell r="B2106" t="str">
            <v>#Lv75_퀘스트용 4배</v>
          </cell>
        </row>
        <row r="2107">
          <cell r="A2107">
            <v>22910472</v>
          </cell>
          <cell r="B2107" t="str">
            <v>#Lv76_퀘스트용 4배</v>
          </cell>
        </row>
        <row r="2108">
          <cell r="A2108">
            <v>22910473</v>
          </cell>
          <cell r="B2108" t="str">
            <v>#Lv77_퀘스트용 4배</v>
          </cell>
        </row>
        <row r="2109">
          <cell r="A2109">
            <v>22910474</v>
          </cell>
          <cell r="B2109" t="str">
            <v>#Lv78_퀘스트용 4배</v>
          </cell>
        </row>
        <row r="2110">
          <cell r="A2110">
            <v>22910475</v>
          </cell>
          <cell r="B2110" t="str">
            <v>#Lv79_퀘스트용 4배</v>
          </cell>
        </row>
        <row r="2111">
          <cell r="A2111">
            <v>22910476</v>
          </cell>
          <cell r="B2111" t="str">
            <v>#Lv80_퀘스트용 4배</v>
          </cell>
        </row>
        <row r="2112">
          <cell r="A2112">
            <v>22910477</v>
          </cell>
          <cell r="B2112" t="str">
            <v>#Lv81_퀘스트용 4배</v>
          </cell>
        </row>
        <row r="2113">
          <cell r="A2113">
            <v>22910478</v>
          </cell>
          <cell r="B2113" t="str">
            <v>#Lv82_퀘스트용 4배</v>
          </cell>
        </row>
        <row r="2114">
          <cell r="A2114">
            <v>22910479</v>
          </cell>
          <cell r="B2114" t="str">
            <v>#Lv83_퀘스트용 4배</v>
          </cell>
        </row>
        <row r="2115">
          <cell r="A2115">
            <v>22910480</v>
          </cell>
          <cell r="B2115" t="str">
            <v>#Lv84_퀘스트용 4배</v>
          </cell>
        </row>
        <row r="2116">
          <cell r="A2116">
            <v>22910481</v>
          </cell>
          <cell r="B2116" t="str">
            <v>#Lv85_퀘스트용 4배</v>
          </cell>
        </row>
        <row r="2117">
          <cell r="A2117">
            <v>22910482</v>
          </cell>
          <cell r="B2117" t="str">
            <v>#Lv86_퀘스트용 4배</v>
          </cell>
        </row>
        <row r="2118">
          <cell r="A2118">
            <v>22910483</v>
          </cell>
          <cell r="B2118" t="str">
            <v>#Lv87_퀘스트용 4배</v>
          </cell>
        </row>
        <row r="2119">
          <cell r="A2119">
            <v>22910484</v>
          </cell>
          <cell r="B2119" t="str">
            <v>#Lv88_퀘스트용 4배</v>
          </cell>
        </row>
        <row r="2120">
          <cell r="A2120">
            <v>22910485</v>
          </cell>
          <cell r="B2120" t="str">
            <v>#Lv89_퀘스트용 4배</v>
          </cell>
        </row>
        <row r="2121">
          <cell r="A2121">
            <v>22910486</v>
          </cell>
          <cell r="B2121" t="str">
            <v>#Lv90_퀘스트용 4배</v>
          </cell>
        </row>
        <row r="2122">
          <cell r="A2122">
            <v>22910487</v>
          </cell>
          <cell r="B2122" t="str">
            <v>#Lv91_퀘스트용 4배</v>
          </cell>
        </row>
        <row r="2123">
          <cell r="A2123">
            <v>22910488</v>
          </cell>
          <cell r="B2123" t="str">
            <v>#Lv92_퀘스트용 4배</v>
          </cell>
        </row>
        <row r="2124">
          <cell r="A2124">
            <v>22910489</v>
          </cell>
          <cell r="B2124" t="str">
            <v>#Lv93_퀘스트용 4배</v>
          </cell>
        </row>
        <row r="2125">
          <cell r="A2125">
            <v>22910490</v>
          </cell>
          <cell r="B2125" t="str">
            <v>#Lv94_퀘스트용 4배</v>
          </cell>
        </row>
        <row r="2126">
          <cell r="A2126">
            <v>22910491</v>
          </cell>
          <cell r="B2126" t="str">
            <v>#Lv95_퀘스트용 4배</v>
          </cell>
        </row>
        <row r="2127">
          <cell r="A2127">
            <v>22910492</v>
          </cell>
          <cell r="B2127" t="str">
            <v>#Lv96_퀘스트용 4배</v>
          </cell>
        </row>
        <row r="2128">
          <cell r="A2128">
            <v>22910493</v>
          </cell>
          <cell r="B2128" t="str">
            <v>#Lv97_퀘스트용 4배</v>
          </cell>
        </row>
        <row r="2129">
          <cell r="A2129">
            <v>22910494</v>
          </cell>
          <cell r="B2129" t="str">
            <v>#Lv98_퀘스트용 4배</v>
          </cell>
        </row>
        <row r="2130">
          <cell r="A2130">
            <v>22910495</v>
          </cell>
          <cell r="B2130" t="str">
            <v>#Lv99_퀘스트용 4배</v>
          </cell>
        </row>
        <row r="2131">
          <cell r="A2131">
            <v>22910496</v>
          </cell>
          <cell r="B2131" t="str">
            <v>#Lv1_퀘스트용 5배</v>
          </cell>
        </row>
        <row r="2132">
          <cell r="A2132">
            <v>22910497</v>
          </cell>
          <cell r="B2132" t="str">
            <v>#Lv2_퀘스트용 5배</v>
          </cell>
        </row>
        <row r="2133">
          <cell r="A2133">
            <v>22910498</v>
          </cell>
          <cell r="B2133" t="str">
            <v>#Lv3_퀘스트용 5배</v>
          </cell>
        </row>
        <row r="2134">
          <cell r="A2134">
            <v>22910499</v>
          </cell>
          <cell r="B2134" t="str">
            <v>#Lv4_퀘스트용 5배</v>
          </cell>
        </row>
        <row r="2135">
          <cell r="A2135">
            <v>22910500</v>
          </cell>
          <cell r="B2135" t="str">
            <v>#Lv5_퀘스트용 5배</v>
          </cell>
        </row>
        <row r="2136">
          <cell r="A2136">
            <v>22910501</v>
          </cell>
          <cell r="B2136" t="str">
            <v>#Lv6_퀘스트용 5배</v>
          </cell>
        </row>
        <row r="2137">
          <cell r="A2137">
            <v>22910502</v>
          </cell>
          <cell r="B2137" t="str">
            <v>#Lv7_퀘스트용 5배</v>
          </cell>
        </row>
        <row r="2138">
          <cell r="A2138">
            <v>22910503</v>
          </cell>
          <cell r="B2138" t="str">
            <v>#Lv8_퀘스트용 5배</v>
          </cell>
        </row>
        <row r="2139">
          <cell r="A2139">
            <v>22910504</v>
          </cell>
          <cell r="B2139" t="str">
            <v>#Lv9_퀘스트용 5배</v>
          </cell>
        </row>
        <row r="2140">
          <cell r="A2140">
            <v>22910505</v>
          </cell>
          <cell r="B2140" t="str">
            <v>#Lv10_퀘스트용 5배</v>
          </cell>
        </row>
        <row r="2141">
          <cell r="A2141">
            <v>22910506</v>
          </cell>
          <cell r="B2141" t="str">
            <v>#Lv11_퀘스트용 5배</v>
          </cell>
        </row>
        <row r="2142">
          <cell r="A2142">
            <v>22910507</v>
          </cell>
          <cell r="B2142" t="str">
            <v>#Lv12_퀘스트용 5배</v>
          </cell>
        </row>
        <row r="2143">
          <cell r="A2143">
            <v>22910508</v>
          </cell>
          <cell r="B2143" t="str">
            <v>#Lv13_퀘스트용 5배</v>
          </cell>
        </row>
        <row r="2144">
          <cell r="A2144">
            <v>22910509</v>
          </cell>
          <cell r="B2144" t="str">
            <v>#Lv14_퀘스트용 5배</v>
          </cell>
        </row>
        <row r="2145">
          <cell r="A2145">
            <v>22910510</v>
          </cell>
          <cell r="B2145" t="str">
            <v>#Lv15_퀘스트용 5배</v>
          </cell>
        </row>
        <row r="2146">
          <cell r="A2146">
            <v>22910511</v>
          </cell>
          <cell r="B2146" t="str">
            <v>#Lv16_퀘스트용 5배</v>
          </cell>
        </row>
        <row r="2147">
          <cell r="A2147">
            <v>22910512</v>
          </cell>
          <cell r="B2147" t="str">
            <v>#Lv17_퀘스트용 5배</v>
          </cell>
        </row>
        <row r="2148">
          <cell r="A2148">
            <v>22910513</v>
          </cell>
          <cell r="B2148" t="str">
            <v>#Lv18_퀘스트용 5배</v>
          </cell>
        </row>
        <row r="2149">
          <cell r="A2149">
            <v>22910514</v>
          </cell>
          <cell r="B2149" t="str">
            <v>#Lv19_퀘스트용 5배</v>
          </cell>
        </row>
        <row r="2150">
          <cell r="A2150">
            <v>22910515</v>
          </cell>
          <cell r="B2150" t="str">
            <v>#Lv20_퀘스트용 5배</v>
          </cell>
        </row>
        <row r="2151">
          <cell r="A2151">
            <v>22910516</v>
          </cell>
          <cell r="B2151" t="str">
            <v>#Lv21_퀘스트용 5배</v>
          </cell>
        </row>
        <row r="2152">
          <cell r="A2152">
            <v>22910517</v>
          </cell>
          <cell r="B2152" t="str">
            <v>#Lv22_퀘스트용 5배</v>
          </cell>
        </row>
        <row r="2153">
          <cell r="A2153">
            <v>22910518</v>
          </cell>
          <cell r="B2153" t="str">
            <v>#Lv23_퀘스트용 5배</v>
          </cell>
        </row>
        <row r="2154">
          <cell r="A2154">
            <v>22910519</v>
          </cell>
          <cell r="B2154" t="str">
            <v>#Lv24_퀘스트용 5배</v>
          </cell>
        </row>
        <row r="2155">
          <cell r="A2155">
            <v>22910520</v>
          </cell>
          <cell r="B2155" t="str">
            <v>#Lv25_퀘스트용 5배</v>
          </cell>
        </row>
        <row r="2156">
          <cell r="A2156">
            <v>22910521</v>
          </cell>
          <cell r="B2156" t="str">
            <v>#Lv26_퀘스트용 5배</v>
          </cell>
        </row>
        <row r="2157">
          <cell r="A2157">
            <v>22910522</v>
          </cell>
          <cell r="B2157" t="str">
            <v>#Lv27_퀘스트용 5배</v>
          </cell>
        </row>
        <row r="2158">
          <cell r="A2158">
            <v>22910523</v>
          </cell>
          <cell r="B2158" t="str">
            <v>#Lv28_퀘스트용 5배</v>
          </cell>
        </row>
        <row r="2159">
          <cell r="A2159">
            <v>22910524</v>
          </cell>
          <cell r="B2159" t="str">
            <v>#Lv29_퀘스트용 5배</v>
          </cell>
        </row>
        <row r="2160">
          <cell r="A2160">
            <v>22910525</v>
          </cell>
          <cell r="B2160" t="str">
            <v>#Lv30_퀘스트용 5배</v>
          </cell>
        </row>
        <row r="2161">
          <cell r="A2161">
            <v>22910526</v>
          </cell>
          <cell r="B2161" t="str">
            <v>#Lv31_퀘스트용 5배</v>
          </cell>
        </row>
        <row r="2162">
          <cell r="A2162">
            <v>22910527</v>
          </cell>
          <cell r="B2162" t="str">
            <v>#Lv32_퀘스트용 5배</v>
          </cell>
        </row>
        <row r="2163">
          <cell r="A2163">
            <v>22910528</v>
          </cell>
          <cell r="B2163" t="str">
            <v>#Lv33_퀘스트용 5배</v>
          </cell>
        </row>
        <row r="2164">
          <cell r="A2164">
            <v>22910529</v>
          </cell>
          <cell r="B2164" t="str">
            <v>#Lv34_퀘스트용 5배</v>
          </cell>
        </row>
        <row r="2165">
          <cell r="A2165">
            <v>22910530</v>
          </cell>
          <cell r="B2165" t="str">
            <v>#Lv35_퀘스트용 5배</v>
          </cell>
        </row>
        <row r="2166">
          <cell r="A2166">
            <v>22910531</v>
          </cell>
          <cell r="B2166" t="str">
            <v>#Lv36_퀘스트용 5배</v>
          </cell>
        </row>
        <row r="2167">
          <cell r="A2167">
            <v>22910532</v>
          </cell>
          <cell r="B2167" t="str">
            <v>#Lv37_퀘스트용 5배</v>
          </cell>
        </row>
        <row r="2168">
          <cell r="A2168">
            <v>22910533</v>
          </cell>
          <cell r="B2168" t="str">
            <v>#Lv38_퀘스트용 5배</v>
          </cell>
        </row>
        <row r="2169">
          <cell r="A2169">
            <v>22910534</v>
          </cell>
          <cell r="B2169" t="str">
            <v>#Lv39_퀘스트용 5배</v>
          </cell>
        </row>
        <row r="2170">
          <cell r="A2170">
            <v>22910535</v>
          </cell>
          <cell r="B2170" t="str">
            <v>#Lv40_퀘스트용 5배</v>
          </cell>
        </row>
        <row r="2171">
          <cell r="A2171">
            <v>22910536</v>
          </cell>
          <cell r="B2171" t="str">
            <v>#Lv41_퀘스트용 5배</v>
          </cell>
        </row>
        <row r="2172">
          <cell r="A2172">
            <v>22910537</v>
          </cell>
          <cell r="B2172" t="str">
            <v>#Lv42_퀘스트용 5배</v>
          </cell>
        </row>
        <row r="2173">
          <cell r="A2173">
            <v>22910538</v>
          </cell>
          <cell r="B2173" t="str">
            <v>#Lv43_퀘스트용 5배</v>
          </cell>
        </row>
        <row r="2174">
          <cell r="A2174">
            <v>22910539</v>
          </cell>
          <cell r="B2174" t="str">
            <v>#Lv44_퀘스트용 5배</v>
          </cell>
        </row>
        <row r="2175">
          <cell r="A2175">
            <v>22910540</v>
          </cell>
          <cell r="B2175" t="str">
            <v>#Lv45_퀘스트용 5배</v>
          </cell>
        </row>
        <row r="2176">
          <cell r="A2176">
            <v>22910541</v>
          </cell>
          <cell r="B2176" t="str">
            <v>#Lv46_퀘스트용 5배</v>
          </cell>
        </row>
        <row r="2177">
          <cell r="A2177">
            <v>22910542</v>
          </cell>
          <cell r="B2177" t="str">
            <v>#Lv47_퀘스트용 5배</v>
          </cell>
        </row>
        <row r="2178">
          <cell r="A2178">
            <v>22910543</v>
          </cell>
          <cell r="B2178" t="str">
            <v>#Lv48_퀘스트용 5배</v>
          </cell>
        </row>
        <row r="2179">
          <cell r="A2179">
            <v>22910544</v>
          </cell>
          <cell r="B2179" t="str">
            <v>#Lv49_퀘스트용 5배</v>
          </cell>
        </row>
        <row r="2180">
          <cell r="A2180">
            <v>22910545</v>
          </cell>
          <cell r="B2180" t="str">
            <v>#Lv50_퀘스트용 5배</v>
          </cell>
        </row>
        <row r="2181">
          <cell r="A2181">
            <v>22910546</v>
          </cell>
          <cell r="B2181" t="str">
            <v>#Lv51_퀘스트용 5배</v>
          </cell>
        </row>
        <row r="2182">
          <cell r="A2182">
            <v>22910547</v>
          </cell>
          <cell r="B2182" t="str">
            <v>#Lv52_퀘스트용 5배</v>
          </cell>
        </row>
        <row r="2183">
          <cell r="A2183">
            <v>22910548</v>
          </cell>
          <cell r="B2183" t="str">
            <v>#Lv53_퀘스트용 5배</v>
          </cell>
        </row>
        <row r="2184">
          <cell r="A2184">
            <v>22910549</v>
          </cell>
          <cell r="B2184" t="str">
            <v>#Lv54_퀘스트용 5배</v>
          </cell>
        </row>
        <row r="2185">
          <cell r="A2185">
            <v>22910550</v>
          </cell>
          <cell r="B2185" t="str">
            <v>#Lv55_퀘스트용 5배</v>
          </cell>
        </row>
        <row r="2186">
          <cell r="A2186">
            <v>22910551</v>
          </cell>
          <cell r="B2186" t="str">
            <v>#Lv56_퀘스트용 5배</v>
          </cell>
        </row>
        <row r="2187">
          <cell r="A2187">
            <v>22910552</v>
          </cell>
          <cell r="B2187" t="str">
            <v>#Lv57_퀘스트용 5배</v>
          </cell>
        </row>
        <row r="2188">
          <cell r="A2188">
            <v>22910553</v>
          </cell>
          <cell r="B2188" t="str">
            <v>#Lv58_퀘스트용 5배</v>
          </cell>
        </row>
        <row r="2189">
          <cell r="A2189">
            <v>22910554</v>
          </cell>
          <cell r="B2189" t="str">
            <v>#Lv59_퀘스트용 5배</v>
          </cell>
        </row>
        <row r="2190">
          <cell r="A2190">
            <v>22910555</v>
          </cell>
          <cell r="B2190" t="str">
            <v>#Lv60_퀘스트용 5배</v>
          </cell>
        </row>
        <row r="2191">
          <cell r="A2191">
            <v>22910556</v>
          </cell>
          <cell r="B2191" t="str">
            <v>#Lv61_퀘스트용 5배</v>
          </cell>
        </row>
        <row r="2192">
          <cell r="A2192">
            <v>22910557</v>
          </cell>
          <cell r="B2192" t="str">
            <v>#Lv62_퀘스트용 5배</v>
          </cell>
        </row>
        <row r="2193">
          <cell r="A2193">
            <v>22910558</v>
          </cell>
          <cell r="B2193" t="str">
            <v>#Lv63_퀘스트용 5배</v>
          </cell>
        </row>
        <row r="2194">
          <cell r="A2194">
            <v>22910559</v>
          </cell>
          <cell r="B2194" t="str">
            <v>#Lv64_퀘스트용 5배</v>
          </cell>
        </row>
        <row r="2195">
          <cell r="A2195">
            <v>22910560</v>
          </cell>
          <cell r="B2195" t="str">
            <v>#Lv65_퀘스트용 5배</v>
          </cell>
        </row>
        <row r="2196">
          <cell r="A2196">
            <v>22910561</v>
          </cell>
          <cell r="B2196" t="str">
            <v>#Lv66_퀘스트용 5배</v>
          </cell>
        </row>
        <row r="2197">
          <cell r="A2197">
            <v>22910562</v>
          </cell>
          <cell r="B2197" t="str">
            <v>#Lv67_퀘스트용 5배</v>
          </cell>
        </row>
        <row r="2198">
          <cell r="A2198">
            <v>22910563</v>
          </cell>
          <cell r="B2198" t="str">
            <v>#Lv68_퀘스트용 5배</v>
          </cell>
        </row>
        <row r="2199">
          <cell r="A2199">
            <v>22910564</v>
          </cell>
          <cell r="B2199" t="str">
            <v>#Lv69_퀘스트용 5배</v>
          </cell>
        </row>
        <row r="2200">
          <cell r="A2200">
            <v>22910565</v>
          </cell>
          <cell r="B2200" t="str">
            <v>#Lv70_퀘스트용 5배</v>
          </cell>
        </row>
        <row r="2201">
          <cell r="A2201">
            <v>22910566</v>
          </cell>
          <cell r="B2201" t="str">
            <v>#Lv71_퀘스트용 5배</v>
          </cell>
        </row>
        <row r="2202">
          <cell r="A2202">
            <v>22910567</v>
          </cell>
          <cell r="B2202" t="str">
            <v>#Lv72_퀘스트용 5배</v>
          </cell>
        </row>
        <row r="2203">
          <cell r="A2203">
            <v>22910568</v>
          </cell>
          <cell r="B2203" t="str">
            <v>#Lv73_퀘스트용 5배</v>
          </cell>
        </row>
        <row r="2204">
          <cell r="A2204">
            <v>22910569</v>
          </cell>
          <cell r="B2204" t="str">
            <v>#Lv74_퀘스트용 5배</v>
          </cell>
        </row>
        <row r="2205">
          <cell r="A2205">
            <v>22910570</v>
          </cell>
          <cell r="B2205" t="str">
            <v>#Lv75_퀘스트용 5배</v>
          </cell>
        </row>
        <row r="2206">
          <cell r="A2206">
            <v>22910571</v>
          </cell>
          <cell r="B2206" t="str">
            <v>#Lv76_퀘스트용 5배</v>
          </cell>
        </row>
        <row r="2207">
          <cell r="A2207">
            <v>22910572</v>
          </cell>
          <cell r="B2207" t="str">
            <v>#Lv77_퀘스트용 5배</v>
          </cell>
        </row>
        <row r="2208">
          <cell r="A2208">
            <v>22910573</v>
          </cell>
          <cell r="B2208" t="str">
            <v>#Lv78_퀘스트용 5배</v>
          </cell>
        </row>
        <row r="2209">
          <cell r="A2209">
            <v>22910574</v>
          </cell>
          <cell r="B2209" t="str">
            <v>#Lv79_퀘스트용 5배</v>
          </cell>
        </row>
        <row r="2210">
          <cell r="A2210">
            <v>22910575</v>
          </cell>
          <cell r="B2210" t="str">
            <v>#Lv80_퀘스트용 5배</v>
          </cell>
        </row>
        <row r="2211">
          <cell r="A2211">
            <v>22910576</v>
          </cell>
          <cell r="B2211" t="str">
            <v>#Lv81_퀘스트용 5배</v>
          </cell>
        </row>
        <row r="2212">
          <cell r="A2212">
            <v>22910577</v>
          </cell>
          <cell r="B2212" t="str">
            <v>#Lv82_퀘스트용 5배</v>
          </cell>
        </row>
        <row r="2213">
          <cell r="A2213">
            <v>22910578</v>
          </cell>
          <cell r="B2213" t="str">
            <v>#Lv83_퀘스트용 5배</v>
          </cell>
        </row>
        <row r="2214">
          <cell r="A2214">
            <v>22910579</v>
          </cell>
          <cell r="B2214" t="str">
            <v>#Lv84_퀘스트용 5배</v>
          </cell>
        </row>
        <row r="2215">
          <cell r="A2215">
            <v>22910580</v>
          </cell>
          <cell r="B2215" t="str">
            <v>#Lv85_퀘스트용 5배</v>
          </cell>
        </row>
        <row r="2216">
          <cell r="A2216">
            <v>22910581</v>
          </cell>
          <cell r="B2216" t="str">
            <v>#Lv86_퀘스트용 5배</v>
          </cell>
        </row>
        <row r="2217">
          <cell r="A2217">
            <v>22910582</v>
          </cell>
          <cell r="B2217" t="str">
            <v>#Lv87_퀘스트용 5배</v>
          </cell>
        </row>
        <row r="2218">
          <cell r="A2218">
            <v>22910583</v>
          </cell>
          <cell r="B2218" t="str">
            <v>#Lv88_퀘스트용 5배</v>
          </cell>
        </row>
        <row r="2219">
          <cell r="A2219">
            <v>22910584</v>
          </cell>
          <cell r="B2219" t="str">
            <v>#Lv89_퀘스트용 5배</v>
          </cell>
        </row>
        <row r="2220">
          <cell r="A2220">
            <v>22910585</v>
          </cell>
          <cell r="B2220" t="str">
            <v>#Lv90_퀘스트용 5배</v>
          </cell>
        </row>
        <row r="2221">
          <cell r="A2221">
            <v>22910586</v>
          </cell>
          <cell r="B2221" t="str">
            <v>#Lv91_퀘스트용 5배</v>
          </cell>
        </row>
        <row r="2222">
          <cell r="A2222">
            <v>22910587</v>
          </cell>
          <cell r="B2222" t="str">
            <v>#Lv92_퀘스트용 5배</v>
          </cell>
        </row>
        <row r="2223">
          <cell r="A2223">
            <v>22910588</v>
          </cell>
          <cell r="B2223" t="str">
            <v>#Lv93_퀘스트용 5배</v>
          </cell>
        </row>
        <row r="2224">
          <cell r="A2224">
            <v>22910589</v>
          </cell>
          <cell r="B2224" t="str">
            <v>#Lv94_퀘스트용 5배</v>
          </cell>
        </row>
        <row r="2225">
          <cell r="A2225">
            <v>22910590</v>
          </cell>
          <cell r="B2225" t="str">
            <v>#Lv95_퀘스트용 5배</v>
          </cell>
        </row>
        <row r="2226">
          <cell r="A2226">
            <v>22910591</v>
          </cell>
          <cell r="B2226" t="str">
            <v>#Lv96_퀘스트용 5배</v>
          </cell>
        </row>
        <row r="2227">
          <cell r="A2227">
            <v>22910592</v>
          </cell>
          <cell r="B2227" t="str">
            <v>#Lv97_퀘스트용 5배</v>
          </cell>
        </row>
        <row r="2228">
          <cell r="A2228">
            <v>22910593</v>
          </cell>
          <cell r="B2228" t="str">
            <v>#Lv98_퀘스트용 5배</v>
          </cell>
        </row>
        <row r="2229">
          <cell r="A2229">
            <v>22910594</v>
          </cell>
          <cell r="B2229" t="str">
            <v>#Lv99_퀘스트용 5배</v>
          </cell>
        </row>
        <row r="2230">
          <cell r="A2230">
            <v>22910595</v>
          </cell>
          <cell r="B2230" t="str">
            <v>#Lv1_퀘스트용 6배</v>
          </cell>
        </row>
        <row r="2231">
          <cell r="A2231">
            <v>22910596</v>
          </cell>
          <cell r="B2231" t="str">
            <v>#Lv2_퀘스트용 6배</v>
          </cell>
        </row>
        <row r="2232">
          <cell r="A2232">
            <v>22910597</v>
          </cell>
          <cell r="B2232" t="str">
            <v>#Lv3_퀘스트용 6배</v>
          </cell>
        </row>
        <row r="2233">
          <cell r="A2233">
            <v>22910598</v>
          </cell>
          <cell r="B2233" t="str">
            <v>#Lv4_퀘스트용 6배</v>
          </cell>
        </row>
        <row r="2234">
          <cell r="A2234">
            <v>22910599</v>
          </cell>
          <cell r="B2234" t="str">
            <v>#Lv5_퀘스트용 6배</v>
          </cell>
        </row>
        <row r="2235">
          <cell r="A2235">
            <v>22910600</v>
          </cell>
          <cell r="B2235" t="str">
            <v>#Lv6_퀘스트용 6배</v>
          </cell>
        </row>
        <row r="2236">
          <cell r="A2236">
            <v>22910601</v>
          </cell>
          <cell r="B2236" t="str">
            <v>#Lv7_퀘스트용 6배</v>
          </cell>
        </row>
        <row r="2237">
          <cell r="A2237">
            <v>22910602</v>
          </cell>
          <cell r="B2237" t="str">
            <v>#Lv8_퀘스트용 6배</v>
          </cell>
        </row>
        <row r="2238">
          <cell r="A2238">
            <v>22910603</v>
          </cell>
          <cell r="B2238" t="str">
            <v>#Lv9_퀘스트용 6배</v>
          </cell>
        </row>
        <row r="2239">
          <cell r="A2239">
            <v>22910604</v>
          </cell>
          <cell r="B2239" t="str">
            <v>#Lv10_퀘스트용 6배</v>
          </cell>
        </row>
        <row r="2240">
          <cell r="A2240">
            <v>22910605</v>
          </cell>
          <cell r="B2240" t="str">
            <v>#Lv11_퀘스트용 6배</v>
          </cell>
        </row>
        <row r="2241">
          <cell r="A2241">
            <v>22910606</v>
          </cell>
          <cell r="B2241" t="str">
            <v>#Lv12_퀘스트용 6배</v>
          </cell>
        </row>
        <row r="2242">
          <cell r="A2242">
            <v>22910607</v>
          </cell>
          <cell r="B2242" t="str">
            <v>#Lv13_퀘스트용 6배</v>
          </cell>
        </row>
        <row r="2243">
          <cell r="A2243">
            <v>22910608</v>
          </cell>
          <cell r="B2243" t="str">
            <v>#Lv14_퀘스트용 6배</v>
          </cell>
        </row>
        <row r="2244">
          <cell r="A2244">
            <v>22910609</v>
          </cell>
          <cell r="B2244" t="str">
            <v>#Lv15_퀘스트용 6배</v>
          </cell>
        </row>
        <row r="2245">
          <cell r="A2245">
            <v>22910610</v>
          </cell>
          <cell r="B2245" t="str">
            <v>#Lv16_퀘스트용 6배</v>
          </cell>
        </row>
        <row r="2246">
          <cell r="A2246">
            <v>22910611</v>
          </cell>
          <cell r="B2246" t="str">
            <v>#Lv17_퀘스트용 6배</v>
          </cell>
        </row>
        <row r="2247">
          <cell r="A2247">
            <v>22910612</v>
          </cell>
          <cell r="B2247" t="str">
            <v>#Lv18_퀘스트용 6배</v>
          </cell>
        </row>
        <row r="2248">
          <cell r="A2248">
            <v>22910613</v>
          </cell>
          <cell r="B2248" t="str">
            <v>#Lv19_퀘스트용 6배</v>
          </cell>
        </row>
        <row r="2249">
          <cell r="A2249">
            <v>22910614</v>
          </cell>
          <cell r="B2249" t="str">
            <v>#Lv20_퀘스트용 6배</v>
          </cell>
        </row>
        <row r="2250">
          <cell r="A2250">
            <v>22910615</v>
          </cell>
          <cell r="B2250" t="str">
            <v>#Lv21_퀘스트용 6배</v>
          </cell>
        </row>
        <row r="2251">
          <cell r="A2251">
            <v>22910616</v>
          </cell>
          <cell r="B2251" t="str">
            <v>#Lv22_퀘스트용 6배</v>
          </cell>
        </row>
        <row r="2252">
          <cell r="A2252">
            <v>22910617</v>
          </cell>
          <cell r="B2252" t="str">
            <v>#Lv23_퀘스트용 6배</v>
          </cell>
        </row>
        <row r="2253">
          <cell r="A2253">
            <v>22910618</v>
          </cell>
          <cell r="B2253" t="str">
            <v>#Lv24_퀘스트용 6배</v>
          </cell>
        </row>
        <row r="2254">
          <cell r="A2254">
            <v>22910619</v>
          </cell>
          <cell r="B2254" t="str">
            <v>#Lv25_퀘스트용 6배</v>
          </cell>
        </row>
        <row r="2255">
          <cell r="A2255">
            <v>22910620</v>
          </cell>
          <cell r="B2255" t="str">
            <v>#Lv26_퀘스트용 6배</v>
          </cell>
        </row>
        <row r="2256">
          <cell r="A2256">
            <v>22910621</v>
          </cell>
          <cell r="B2256" t="str">
            <v>#Lv27_퀘스트용 6배</v>
          </cell>
        </row>
        <row r="2257">
          <cell r="A2257">
            <v>22910622</v>
          </cell>
          <cell r="B2257" t="str">
            <v>#Lv28_퀘스트용 6배</v>
          </cell>
        </row>
        <row r="2258">
          <cell r="A2258">
            <v>22910623</v>
          </cell>
          <cell r="B2258" t="str">
            <v>#Lv29_퀘스트용 6배</v>
          </cell>
        </row>
        <row r="2259">
          <cell r="A2259">
            <v>22910624</v>
          </cell>
          <cell r="B2259" t="str">
            <v>#Lv30_퀘스트용 6배</v>
          </cell>
        </row>
        <row r="2260">
          <cell r="A2260">
            <v>22910625</v>
          </cell>
          <cell r="B2260" t="str">
            <v>#Lv31_퀘스트용 6배</v>
          </cell>
        </row>
        <row r="2261">
          <cell r="A2261">
            <v>22910626</v>
          </cell>
          <cell r="B2261" t="str">
            <v>#Lv32_퀘스트용 6배</v>
          </cell>
        </row>
        <row r="2262">
          <cell r="A2262">
            <v>22910627</v>
          </cell>
          <cell r="B2262" t="str">
            <v>#Lv33_퀘스트용 6배</v>
          </cell>
        </row>
        <row r="2263">
          <cell r="A2263">
            <v>22910628</v>
          </cell>
          <cell r="B2263" t="str">
            <v>#Lv34_퀘스트용 6배</v>
          </cell>
        </row>
        <row r="2264">
          <cell r="A2264">
            <v>22910629</v>
          </cell>
          <cell r="B2264" t="str">
            <v>#Lv35_퀘스트용 6배</v>
          </cell>
        </row>
        <row r="2265">
          <cell r="A2265">
            <v>22910630</v>
          </cell>
          <cell r="B2265" t="str">
            <v>#Lv36_퀘스트용 6배</v>
          </cell>
        </row>
        <row r="2266">
          <cell r="A2266">
            <v>22910631</v>
          </cell>
          <cell r="B2266" t="str">
            <v>#Lv37_퀘스트용 6배</v>
          </cell>
        </row>
        <row r="2267">
          <cell r="A2267">
            <v>22910632</v>
          </cell>
          <cell r="B2267" t="str">
            <v>#Lv38_퀘스트용 6배</v>
          </cell>
        </row>
        <row r="2268">
          <cell r="A2268">
            <v>22910633</v>
          </cell>
          <cell r="B2268" t="str">
            <v>#Lv39_퀘스트용 6배</v>
          </cell>
        </row>
        <row r="2269">
          <cell r="A2269">
            <v>22910634</v>
          </cell>
          <cell r="B2269" t="str">
            <v>#Lv40_퀘스트용 6배</v>
          </cell>
        </row>
        <row r="2270">
          <cell r="A2270">
            <v>22910635</v>
          </cell>
          <cell r="B2270" t="str">
            <v>#Lv41_퀘스트용 6배</v>
          </cell>
        </row>
        <row r="2271">
          <cell r="A2271">
            <v>22910636</v>
          </cell>
          <cell r="B2271" t="str">
            <v>#Lv42_퀘스트용 6배</v>
          </cell>
        </row>
        <row r="2272">
          <cell r="A2272">
            <v>22910637</v>
          </cell>
          <cell r="B2272" t="str">
            <v>#Lv43_퀘스트용 6배</v>
          </cell>
        </row>
        <row r="2273">
          <cell r="A2273">
            <v>22910638</v>
          </cell>
          <cell r="B2273" t="str">
            <v>#Lv44_퀘스트용 6배</v>
          </cell>
        </row>
        <row r="2274">
          <cell r="A2274">
            <v>22910639</v>
          </cell>
          <cell r="B2274" t="str">
            <v>#Lv45_퀘스트용 6배</v>
          </cell>
        </row>
        <row r="2275">
          <cell r="A2275">
            <v>22910640</v>
          </cell>
          <cell r="B2275" t="str">
            <v>#Lv46_퀘스트용 6배</v>
          </cell>
        </row>
        <row r="2276">
          <cell r="A2276">
            <v>22910641</v>
          </cell>
          <cell r="B2276" t="str">
            <v>#Lv47_퀘스트용 6배</v>
          </cell>
        </row>
        <row r="2277">
          <cell r="A2277">
            <v>22910642</v>
          </cell>
          <cell r="B2277" t="str">
            <v>#Lv48_퀘스트용 6배</v>
          </cell>
        </row>
        <row r="2278">
          <cell r="A2278">
            <v>22910643</v>
          </cell>
          <cell r="B2278" t="str">
            <v>#Lv49_퀘스트용 6배</v>
          </cell>
        </row>
        <row r="2279">
          <cell r="A2279">
            <v>22910644</v>
          </cell>
          <cell r="B2279" t="str">
            <v>#Lv50_퀘스트용 6배</v>
          </cell>
        </row>
        <row r="2280">
          <cell r="A2280">
            <v>22910645</v>
          </cell>
          <cell r="B2280" t="str">
            <v>#Lv51_퀘스트용 6배</v>
          </cell>
        </row>
        <row r="2281">
          <cell r="A2281">
            <v>22910646</v>
          </cell>
          <cell r="B2281" t="str">
            <v>#Lv52_퀘스트용 6배</v>
          </cell>
        </row>
        <row r="2282">
          <cell r="A2282">
            <v>22910647</v>
          </cell>
          <cell r="B2282" t="str">
            <v>#Lv53_퀘스트용 6배</v>
          </cell>
        </row>
        <row r="2283">
          <cell r="A2283">
            <v>22910648</v>
          </cell>
          <cell r="B2283" t="str">
            <v>#Lv54_퀘스트용 6배</v>
          </cell>
        </row>
        <row r="2284">
          <cell r="A2284">
            <v>22910649</v>
          </cell>
          <cell r="B2284" t="str">
            <v>#Lv55_퀘스트용 6배</v>
          </cell>
        </row>
        <row r="2285">
          <cell r="A2285">
            <v>22910650</v>
          </cell>
          <cell r="B2285" t="str">
            <v>#Lv56_퀘스트용 6배</v>
          </cell>
        </row>
        <row r="2286">
          <cell r="A2286">
            <v>22910651</v>
          </cell>
          <cell r="B2286" t="str">
            <v>#Lv57_퀘스트용 6배</v>
          </cell>
        </row>
        <row r="2287">
          <cell r="A2287">
            <v>22910652</v>
          </cell>
          <cell r="B2287" t="str">
            <v>#Lv58_퀘스트용 6배</v>
          </cell>
        </row>
        <row r="2288">
          <cell r="A2288">
            <v>22910653</v>
          </cell>
          <cell r="B2288" t="str">
            <v>#Lv59_퀘스트용 6배</v>
          </cell>
        </row>
        <row r="2289">
          <cell r="A2289">
            <v>22910654</v>
          </cell>
          <cell r="B2289" t="str">
            <v>#Lv60_퀘스트용 6배</v>
          </cell>
        </row>
        <row r="2290">
          <cell r="A2290">
            <v>22910655</v>
          </cell>
          <cell r="B2290" t="str">
            <v>#Lv61_퀘스트용 6배</v>
          </cell>
        </row>
        <row r="2291">
          <cell r="A2291">
            <v>22910656</v>
          </cell>
          <cell r="B2291" t="str">
            <v>#Lv62_퀘스트용 6배</v>
          </cell>
        </row>
        <row r="2292">
          <cell r="A2292">
            <v>22910657</v>
          </cell>
          <cell r="B2292" t="str">
            <v>#Lv63_퀘스트용 6배</v>
          </cell>
        </row>
        <row r="2293">
          <cell r="A2293">
            <v>22910658</v>
          </cell>
          <cell r="B2293" t="str">
            <v>#Lv64_퀘스트용 6배</v>
          </cell>
        </row>
        <row r="2294">
          <cell r="A2294">
            <v>22910659</v>
          </cell>
          <cell r="B2294" t="str">
            <v>#Lv65_퀘스트용 6배</v>
          </cell>
        </row>
        <row r="2295">
          <cell r="A2295">
            <v>22910660</v>
          </cell>
          <cell r="B2295" t="str">
            <v>#Lv66_퀘스트용 6배</v>
          </cell>
        </row>
        <row r="2296">
          <cell r="A2296">
            <v>22910661</v>
          </cell>
          <cell r="B2296" t="str">
            <v>#Lv67_퀘스트용 6배</v>
          </cell>
        </row>
        <row r="2297">
          <cell r="A2297">
            <v>22910662</v>
          </cell>
          <cell r="B2297" t="str">
            <v>#Lv68_퀘스트용 6배</v>
          </cell>
        </row>
        <row r="2298">
          <cell r="A2298">
            <v>22910663</v>
          </cell>
          <cell r="B2298" t="str">
            <v>#Lv69_퀘스트용 6배</v>
          </cell>
        </row>
        <row r="2299">
          <cell r="A2299">
            <v>22910664</v>
          </cell>
          <cell r="B2299" t="str">
            <v>#Lv70_퀘스트용 6배</v>
          </cell>
        </row>
        <row r="2300">
          <cell r="A2300">
            <v>22910665</v>
          </cell>
          <cell r="B2300" t="str">
            <v>#Lv71_퀘스트용 6배</v>
          </cell>
        </row>
        <row r="2301">
          <cell r="A2301">
            <v>22910666</v>
          </cell>
          <cell r="B2301" t="str">
            <v>#Lv72_퀘스트용 6배</v>
          </cell>
        </row>
        <row r="2302">
          <cell r="A2302">
            <v>22910667</v>
          </cell>
          <cell r="B2302" t="str">
            <v>#Lv73_퀘스트용 6배</v>
          </cell>
        </row>
        <row r="2303">
          <cell r="A2303">
            <v>22910668</v>
          </cell>
          <cell r="B2303" t="str">
            <v>#Lv74_퀘스트용 6배</v>
          </cell>
        </row>
        <row r="2304">
          <cell r="A2304">
            <v>22910669</v>
          </cell>
          <cell r="B2304" t="str">
            <v>#Lv75_퀘스트용 6배</v>
          </cell>
        </row>
        <row r="2305">
          <cell r="A2305">
            <v>22910670</v>
          </cell>
          <cell r="B2305" t="str">
            <v>#Lv76_퀘스트용 6배</v>
          </cell>
        </row>
        <row r="2306">
          <cell r="A2306">
            <v>22910671</v>
          </cell>
          <cell r="B2306" t="str">
            <v>#Lv77_퀘스트용 6배</v>
          </cell>
        </row>
        <row r="2307">
          <cell r="A2307">
            <v>22910672</v>
          </cell>
          <cell r="B2307" t="str">
            <v>#Lv78_퀘스트용 6배</v>
          </cell>
        </row>
        <row r="2308">
          <cell r="A2308">
            <v>22910673</v>
          </cell>
          <cell r="B2308" t="str">
            <v>#Lv79_퀘스트용 6배</v>
          </cell>
        </row>
        <row r="2309">
          <cell r="A2309">
            <v>22910674</v>
          </cell>
          <cell r="B2309" t="str">
            <v>#Lv80_퀘스트용 6배</v>
          </cell>
        </row>
        <row r="2310">
          <cell r="A2310">
            <v>22910675</v>
          </cell>
          <cell r="B2310" t="str">
            <v>#Lv81_퀘스트용 6배</v>
          </cell>
        </row>
        <row r="2311">
          <cell r="A2311">
            <v>22910676</v>
          </cell>
          <cell r="B2311" t="str">
            <v>#Lv82_퀘스트용 6배</v>
          </cell>
        </row>
        <row r="2312">
          <cell r="A2312">
            <v>22910677</v>
          </cell>
          <cell r="B2312" t="str">
            <v>#Lv83_퀘스트용 6배</v>
          </cell>
        </row>
        <row r="2313">
          <cell r="A2313">
            <v>22910678</v>
          </cell>
          <cell r="B2313" t="str">
            <v>#Lv84_퀘스트용 6배</v>
          </cell>
        </row>
        <row r="2314">
          <cell r="A2314">
            <v>22910679</v>
          </cell>
          <cell r="B2314" t="str">
            <v>#Lv85_퀘스트용 6배</v>
          </cell>
        </row>
        <row r="2315">
          <cell r="A2315">
            <v>22910680</v>
          </cell>
          <cell r="B2315" t="str">
            <v>#Lv86_퀘스트용 6배</v>
          </cell>
        </row>
        <row r="2316">
          <cell r="A2316">
            <v>22910681</v>
          </cell>
          <cell r="B2316" t="str">
            <v>#Lv87_퀘스트용 6배</v>
          </cell>
        </row>
        <row r="2317">
          <cell r="A2317">
            <v>22910682</v>
          </cell>
          <cell r="B2317" t="str">
            <v>#Lv88_퀘스트용 6배</v>
          </cell>
        </row>
        <row r="2318">
          <cell r="A2318">
            <v>22910683</v>
          </cell>
          <cell r="B2318" t="str">
            <v>#Lv89_퀘스트용 6배</v>
          </cell>
        </row>
        <row r="2319">
          <cell r="A2319">
            <v>22910684</v>
          </cell>
          <cell r="B2319" t="str">
            <v>#Lv90_퀘스트용 6배</v>
          </cell>
        </row>
        <row r="2320">
          <cell r="A2320">
            <v>22910685</v>
          </cell>
          <cell r="B2320" t="str">
            <v>#Lv91_퀘스트용 6배</v>
          </cell>
        </row>
        <row r="2321">
          <cell r="A2321">
            <v>22910686</v>
          </cell>
          <cell r="B2321" t="str">
            <v>#Lv92_퀘스트용 6배</v>
          </cell>
        </row>
        <row r="2322">
          <cell r="A2322">
            <v>22910687</v>
          </cell>
          <cell r="B2322" t="str">
            <v>#Lv93_퀘스트용 6배</v>
          </cell>
        </row>
        <row r="2323">
          <cell r="A2323">
            <v>22910688</v>
          </cell>
          <cell r="B2323" t="str">
            <v>#Lv94_퀘스트용 6배</v>
          </cell>
        </row>
        <row r="2324">
          <cell r="A2324">
            <v>22910689</v>
          </cell>
          <cell r="B2324" t="str">
            <v>#Lv95_퀘스트용 6배</v>
          </cell>
        </row>
        <row r="2325">
          <cell r="A2325">
            <v>22910690</v>
          </cell>
          <cell r="B2325" t="str">
            <v>#Lv96_퀘스트용 6배</v>
          </cell>
        </row>
        <row r="2326">
          <cell r="A2326">
            <v>22910691</v>
          </cell>
          <cell r="B2326" t="str">
            <v>#Lv97_퀘스트용 6배</v>
          </cell>
        </row>
        <row r="2327">
          <cell r="A2327">
            <v>22910692</v>
          </cell>
          <cell r="B2327" t="str">
            <v>#Lv98_퀘스트용 6배</v>
          </cell>
        </row>
        <row r="2328">
          <cell r="A2328">
            <v>22910693</v>
          </cell>
          <cell r="B2328" t="str">
            <v>#Lv99_퀘스트용 6배</v>
          </cell>
        </row>
        <row r="2329">
          <cell r="A2329">
            <v>22910694</v>
          </cell>
          <cell r="B2329" t="str">
            <v>#Lv1_퀘스트용 7배</v>
          </cell>
        </row>
        <row r="2330">
          <cell r="A2330">
            <v>22910695</v>
          </cell>
          <cell r="B2330" t="str">
            <v>#Lv2_퀘스트용 7배</v>
          </cell>
        </row>
        <row r="2331">
          <cell r="A2331">
            <v>22910696</v>
          </cell>
          <cell r="B2331" t="str">
            <v>#Lv3_퀘스트용 7배</v>
          </cell>
        </row>
        <row r="2332">
          <cell r="A2332">
            <v>22910697</v>
          </cell>
          <cell r="B2332" t="str">
            <v>#Lv4_퀘스트용 7배</v>
          </cell>
        </row>
        <row r="2333">
          <cell r="A2333">
            <v>22910698</v>
          </cell>
          <cell r="B2333" t="str">
            <v>#Lv5_퀘스트용 7배</v>
          </cell>
        </row>
        <row r="2334">
          <cell r="A2334">
            <v>22910699</v>
          </cell>
          <cell r="B2334" t="str">
            <v>#Lv6_퀘스트용 7배</v>
          </cell>
        </row>
        <row r="2335">
          <cell r="A2335">
            <v>22910700</v>
          </cell>
          <cell r="B2335" t="str">
            <v>#Lv7_퀘스트용 7배</v>
          </cell>
        </row>
        <row r="2336">
          <cell r="A2336">
            <v>22910701</v>
          </cell>
          <cell r="B2336" t="str">
            <v>#Lv8_퀘스트용 7배</v>
          </cell>
        </row>
        <row r="2337">
          <cell r="A2337">
            <v>22910702</v>
          </cell>
          <cell r="B2337" t="str">
            <v>#Lv9_퀘스트용 7배</v>
          </cell>
        </row>
        <row r="2338">
          <cell r="A2338">
            <v>22910703</v>
          </cell>
          <cell r="B2338" t="str">
            <v>#Lv10_퀘스트용 7배</v>
          </cell>
        </row>
        <row r="2339">
          <cell r="A2339">
            <v>22910704</v>
          </cell>
          <cell r="B2339" t="str">
            <v>#Lv11_퀘스트용 7배</v>
          </cell>
        </row>
        <row r="2340">
          <cell r="A2340">
            <v>22910705</v>
          </cell>
          <cell r="B2340" t="str">
            <v>#Lv12_퀘스트용 7배</v>
          </cell>
        </row>
        <row r="2341">
          <cell r="A2341">
            <v>22910706</v>
          </cell>
          <cell r="B2341" t="str">
            <v>#Lv13_퀘스트용 7배</v>
          </cell>
        </row>
        <row r="2342">
          <cell r="A2342">
            <v>22910707</v>
          </cell>
          <cell r="B2342" t="str">
            <v>#Lv14_퀘스트용 7배</v>
          </cell>
        </row>
        <row r="2343">
          <cell r="A2343">
            <v>22910708</v>
          </cell>
          <cell r="B2343" t="str">
            <v>#Lv15_퀘스트용 7배</v>
          </cell>
        </row>
        <row r="2344">
          <cell r="A2344">
            <v>22910709</v>
          </cell>
          <cell r="B2344" t="str">
            <v>#Lv16_퀘스트용 7배</v>
          </cell>
        </row>
        <row r="2345">
          <cell r="A2345">
            <v>22910710</v>
          </cell>
          <cell r="B2345" t="str">
            <v>#Lv17_퀘스트용 7배</v>
          </cell>
        </row>
        <row r="2346">
          <cell r="A2346">
            <v>22910711</v>
          </cell>
          <cell r="B2346" t="str">
            <v>#Lv18_퀘스트용 7배</v>
          </cell>
        </row>
        <row r="2347">
          <cell r="A2347">
            <v>22910712</v>
          </cell>
          <cell r="B2347" t="str">
            <v>#Lv19_퀘스트용 7배</v>
          </cell>
        </row>
        <row r="2348">
          <cell r="A2348">
            <v>22910713</v>
          </cell>
          <cell r="B2348" t="str">
            <v>#Lv20_퀘스트용 7배</v>
          </cell>
        </row>
        <row r="2349">
          <cell r="A2349">
            <v>22910714</v>
          </cell>
          <cell r="B2349" t="str">
            <v>#Lv21_퀘스트용 7배</v>
          </cell>
        </row>
        <row r="2350">
          <cell r="A2350">
            <v>22910715</v>
          </cell>
          <cell r="B2350" t="str">
            <v>#Lv22_퀘스트용 7배</v>
          </cell>
        </row>
        <row r="2351">
          <cell r="A2351">
            <v>22910716</v>
          </cell>
          <cell r="B2351" t="str">
            <v>#Lv23_퀘스트용 7배</v>
          </cell>
        </row>
        <row r="2352">
          <cell r="A2352">
            <v>22910717</v>
          </cell>
          <cell r="B2352" t="str">
            <v>#Lv24_퀘스트용 7배</v>
          </cell>
        </row>
        <row r="2353">
          <cell r="A2353">
            <v>22910718</v>
          </cell>
          <cell r="B2353" t="str">
            <v>#Lv25_퀘스트용 7배</v>
          </cell>
        </row>
        <row r="2354">
          <cell r="A2354">
            <v>22910719</v>
          </cell>
          <cell r="B2354" t="str">
            <v>#Lv26_퀘스트용 7배</v>
          </cell>
        </row>
        <row r="2355">
          <cell r="A2355">
            <v>22910720</v>
          </cell>
          <cell r="B2355" t="str">
            <v>#Lv27_퀘스트용 7배</v>
          </cell>
        </row>
        <row r="2356">
          <cell r="A2356">
            <v>22910721</v>
          </cell>
          <cell r="B2356" t="str">
            <v>#Lv28_퀘스트용 7배</v>
          </cell>
        </row>
        <row r="2357">
          <cell r="A2357">
            <v>22910722</v>
          </cell>
          <cell r="B2357" t="str">
            <v>#Lv29_퀘스트용 7배</v>
          </cell>
        </row>
        <row r="2358">
          <cell r="A2358">
            <v>22910723</v>
          </cell>
          <cell r="B2358" t="str">
            <v>#Lv30_퀘스트용 7배</v>
          </cell>
        </row>
        <row r="2359">
          <cell r="A2359">
            <v>22910724</v>
          </cell>
          <cell r="B2359" t="str">
            <v>#Lv31_퀘스트용 7배</v>
          </cell>
        </row>
        <row r="2360">
          <cell r="A2360">
            <v>22910725</v>
          </cell>
          <cell r="B2360" t="str">
            <v>#Lv32_퀘스트용 7배</v>
          </cell>
        </row>
        <row r="2361">
          <cell r="A2361">
            <v>22910726</v>
          </cell>
          <cell r="B2361" t="str">
            <v>#Lv33_퀘스트용 7배</v>
          </cell>
        </row>
        <row r="2362">
          <cell r="A2362">
            <v>22910727</v>
          </cell>
          <cell r="B2362" t="str">
            <v>#Lv34_퀘스트용 7배</v>
          </cell>
        </row>
        <row r="2363">
          <cell r="A2363">
            <v>22910728</v>
          </cell>
          <cell r="B2363" t="str">
            <v>#Lv35_퀘스트용 7배</v>
          </cell>
        </row>
        <row r="2364">
          <cell r="A2364">
            <v>22910729</v>
          </cell>
          <cell r="B2364" t="str">
            <v>#Lv36_퀘스트용 7배</v>
          </cell>
        </row>
        <row r="2365">
          <cell r="A2365">
            <v>22910730</v>
          </cell>
          <cell r="B2365" t="str">
            <v>#Lv37_퀘스트용 7배</v>
          </cell>
        </row>
        <row r="2366">
          <cell r="A2366">
            <v>22910731</v>
          </cell>
          <cell r="B2366" t="str">
            <v>#Lv38_퀘스트용 7배</v>
          </cell>
        </row>
        <row r="2367">
          <cell r="A2367">
            <v>22910732</v>
          </cell>
          <cell r="B2367" t="str">
            <v>#Lv39_퀘스트용 7배</v>
          </cell>
        </row>
        <row r="2368">
          <cell r="A2368">
            <v>22910733</v>
          </cell>
          <cell r="B2368" t="str">
            <v>#Lv40_퀘스트용 7배</v>
          </cell>
        </row>
        <row r="2369">
          <cell r="A2369">
            <v>22910734</v>
          </cell>
          <cell r="B2369" t="str">
            <v>#Lv41_퀘스트용 7배</v>
          </cell>
        </row>
        <row r="2370">
          <cell r="A2370">
            <v>22910735</v>
          </cell>
          <cell r="B2370" t="str">
            <v>#Lv42_퀘스트용 7배</v>
          </cell>
        </row>
        <row r="2371">
          <cell r="A2371">
            <v>22910736</v>
          </cell>
          <cell r="B2371" t="str">
            <v>#Lv43_퀘스트용 7배</v>
          </cell>
        </row>
        <row r="2372">
          <cell r="A2372">
            <v>22910737</v>
          </cell>
          <cell r="B2372" t="str">
            <v>#Lv44_퀘스트용 7배</v>
          </cell>
        </row>
        <row r="2373">
          <cell r="A2373">
            <v>22910738</v>
          </cell>
          <cell r="B2373" t="str">
            <v>#Lv45_퀘스트용 7배</v>
          </cell>
        </row>
        <row r="2374">
          <cell r="A2374">
            <v>22910739</v>
          </cell>
          <cell r="B2374" t="str">
            <v>#Lv46_퀘스트용 7배</v>
          </cell>
        </row>
        <row r="2375">
          <cell r="A2375">
            <v>22910740</v>
          </cell>
          <cell r="B2375" t="str">
            <v>#Lv47_퀘스트용 7배</v>
          </cell>
        </row>
        <row r="2376">
          <cell r="A2376">
            <v>22910741</v>
          </cell>
          <cell r="B2376" t="str">
            <v>#Lv48_퀘스트용 7배</v>
          </cell>
        </row>
        <row r="2377">
          <cell r="A2377">
            <v>22910742</v>
          </cell>
          <cell r="B2377" t="str">
            <v>#Lv49_퀘스트용 7배</v>
          </cell>
        </row>
        <row r="2378">
          <cell r="A2378">
            <v>22910743</v>
          </cell>
          <cell r="B2378" t="str">
            <v>#Lv50_퀘스트용 7배</v>
          </cell>
        </row>
        <row r="2379">
          <cell r="A2379">
            <v>22910744</v>
          </cell>
          <cell r="B2379" t="str">
            <v>#Lv51_퀘스트용 7배</v>
          </cell>
        </row>
        <row r="2380">
          <cell r="A2380">
            <v>22910745</v>
          </cell>
          <cell r="B2380" t="str">
            <v>#Lv52_퀘스트용 7배</v>
          </cell>
        </row>
        <row r="2381">
          <cell r="A2381">
            <v>22910746</v>
          </cell>
          <cell r="B2381" t="str">
            <v>#Lv53_퀘스트용 7배</v>
          </cell>
        </row>
        <row r="2382">
          <cell r="A2382">
            <v>22910747</v>
          </cell>
          <cell r="B2382" t="str">
            <v>#Lv54_퀘스트용 7배</v>
          </cell>
        </row>
        <row r="2383">
          <cell r="A2383">
            <v>22910748</v>
          </cell>
          <cell r="B2383" t="str">
            <v>#Lv55_퀘스트용 7배</v>
          </cell>
        </row>
        <row r="2384">
          <cell r="A2384">
            <v>22910749</v>
          </cell>
          <cell r="B2384" t="str">
            <v>#Lv56_퀘스트용 7배</v>
          </cell>
        </row>
        <row r="2385">
          <cell r="A2385">
            <v>22910750</v>
          </cell>
          <cell r="B2385" t="str">
            <v>#Lv57_퀘스트용 7배</v>
          </cell>
        </row>
        <row r="2386">
          <cell r="A2386">
            <v>22910751</v>
          </cell>
          <cell r="B2386" t="str">
            <v>#Lv58_퀘스트용 7배</v>
          </cell>
        </row>
        <row r="2387">
          <cell r="A2387">
            <v>22910752</v>
          </cell>
          <cell r="B2387" t="str">
            <v>#Lv59_퀘스트용 7배</v>
          </cell>
        </row>
        <row r="2388">
          <cell r="A2388">
            <v>22910753</v>
          </cell>
          <cell r="B2388" t="str">
            <v>#Lv60_퀘스트용 7배</v>
          </cell>
        </row>
        <row r="2389">
          <cell r="A2389">
            <v>22910754</v>
          </cell>
          <cell r="B2389" t="str">
            <v>#Lv61_퀘스트용 7배</v>
          </cell>
        </row>
        <row r="2390">
          <cell r="A2390">
            <v>22910755</v>
          </cell>
          <cell r="B2390" t="str">
            <v>#Lv62_퀘스트용 7배</v>
          </cell>
        </row>
        <row r="2391">
          <cell r="A2391">
            <v>22910756</v>
          </cell>
          <cell r="B2391" t="str">
            <v>#Lv63_퀘스트용 7배</v>
          </cell>
        </row>
        <row r="2392">
          <cell r="A2392">
            <v>22910757</v>
          </cell>
          <cell r="B2392" t="str">
            <v>#Lv64_퀘스트용 7배</v>
          </cell>
        </row>
        <row r="2393">
          <cell r="A2393">
            <v>22910758</v>
          </cell>
          <cell r="B2393" t="str">
            <v>#Lv65_퀘스트용 7배</v>
          </cell>
        </row>
        <row r="2394">
          <cell r="A2394">
            <v>22910759</v>
          </cell>
          <cell r="B2394" t="str">
            <v>#Lv66_퀘스트용 7배</v>
          </cell>
        </row>
        <row r="2395">
          <cell r="A2395">
            <v>22910760</v>
          </cell>
          <cell r="B2395" t="str">
            <v>#Lv67_퀘스트용 7배</v>
          </cell>
        </row>
        <row r="2396">
          <cell r="A2396">
            <v>22910761</v>
          </cell>
          <cell r="B2396" t="str">
            <v>#Lv68_퀘스트용 7배</v>
          </cell>
        </row>
        <row r="2397">
          <cell r="A2397">
            <v>22910762</v>
          </cell>
          <cell r="B2397" t="str">
            <v>#Lv69_퀘스트용 7배</v>
          </cell>
        </row>
        <row r="2398">
          <cell r="A2398">
            <v>22910763</v>
          </cell>
          <cell r="B2398" t="str">
            <v>#Lv70_퀘스트용 7배</v>
          </cell>
        </row>
        <row r="2399">
          <cell r="A2399">
            <v>22910764</v>
          </cell>
          <cell r="B2399" t="str">
            <v>#Lv71_퀘스트용 7배</v>
          </cell>
        </row>
        <row r="2400">
          <cell r="A2400">
            <v>22910765</v>
          </cell>
          <cell r="B2400" t="str">
            <v>#Lv72_퀘스트용 7배</v>
          </cell>
        </row>
        <row r="2401">
          <cell r="A2401">
            <v>22910766</v>
          </cell>
          <cell r="B2401" t="str">
            <v>#Lv73_퀘스트용 7배</v>
          </cell>
        </row>
        <row r="2402">
          <cell r="A2402">
            <v>22910767</v>
          </cell>
          <cell r="B2402" t="str">
            <v>#Lv74_퀘스트용 7배</v>
          </cell>
        </row>
        <row r="2403">
          <cell r="A2403">
            <v>22910768</v>
          </cell>
          <cell r="B2403" t="str">
            <v>#Lv75_퀘스트용 7배</v>
          </cell>
        </row>
        <row r="2404">
          <cell r="A2404">
            <v>22910769</v>
          </cell>
          <cell r="B2404" t="str">
            <v>#Lv76_퀘스트용 7배</v>
          </cell>
        </row>
        <row r="2405">
          <cell r="A2405">
            <v>22910770</v>
          </cell>
          <cell r="B2405" t="str">
            <v>#Lv77_퀘스트용 7배</v>
          </cell>
        </row>
        <row r="2406">
          <cell r="A2406">
            <v>22910771</v>
          </cell>
          <cell r="B2406" t="str">
            <v>#Lv78_퀘스트용 7배</v>
          </cell>
        </row>
        <row r="2407">
          <cell r="A2407">
            <v>22910772</v>
          </cell>
          <cell r="B2407" t="str">
            <v>#Lv79_퀘스트용 7배</v>
          </cell>
        </row>
        <row r="2408">
          <cell r="A2408">
            <v>22910773</v>
          </cell>
          <cell r="B2408" t="str">
            <v>#Lv80_퀘스트용 7배</v>
          </cell>
        </row>
        <row r="2409">
          <cell r="A2409">
            <v>22910774</v>
          </cell>
          <cell r="B2409" t="str">
            <v>#Lv81_퀘스트용 7배</v>
          </cell>
        </row>
        <row r="2410">
          <cell r="A2410">
            <v>22910775</v>
          </cell>
          <cell r="B2410" t="str">
            <v>#Lv82_퀘스트용 7배</v>
          </cell>
        </row>
        <row r="2411">
          <cell r="A2411">
            <v>22910776</v>
          </cell>
          <cell r="B2411" t="str">
            <v>#Lv83_퀘스트용 7배</v>
          </cell>
        </row>
        <row r="2412">
          <cell r="A2412">
            <v>22910777</v>
          </cell>
          <cell r="B2412" t="str">
            <v>#Lv84_퀘스트용 7배</v>
          </cell>
        </row>
        <row r="2413">
          <cell r="A2413">
            <v>22910778</v>
          </cell>
          <cell r="B2413" t="str">
            <v>#Lv85_퀘스트용 7배</v>
          </cell>
        </row>
        <row r="2414">
          <cell r="A2414">
            <v>22910779</v>
          </cell>
          <cell r="B2414" t="str">
            <v>#Lv86_퀘스트용 7배</v>
          </cell>
        </row>
        <row r="2415">
          <cell r="A2415">
            <v>22910780</v>
          </cell>
          <cell r="B2415" t="str">
            <v>#Lv87_퀘스트용 7배</v>
          </cell>
        </row>
        <row r="2416">
          <cell r="A2416">
            <v>22910781</v>
          </cell>
          <cell r="B2416" t="str">
            <v>#Lv88_퀘스트용 7배</v>
          </cell>
        </row>
        <row r="2417">
          <cell r="A2417">
            <v>22910782</v>
          </cell>
          <cell r="B2417" t="str">
            <v>#Lv89_퀘스트용 7배</v>
          </cell>
        </row>
        <row r="2418">
          <cell r="A2418">
            <v>22910783</v>
          </cell>
          <cell r="B2418" t="str">
            <v>#Lv90_퀘스트용 7배</v>
          </cell>
        </row>
        <row r="2419">
          <cell r="A2419">
            <v>22910784</v>
          </cell>
          <cell r="B2419" t="str">
            <v>#Lv91_퀘스트용 7배</v>
          </cell>
        </row>
        <row r="2420">
          <cell r="A2420">
            <v>22910785</v>
          </cell>
          <cell r="B2420" t="str">
            <v>#Lv92_퀘스트용 7배</v>
          </cell>
        </row>
        <row r="2421">
          <cell r="A2421">
            <v>22910786</v>
          </cell>
          <cell r="B2421" t="str">
            <v>#Lv93_퀘스트용 7배</v>
          </cell>
        </row>
        <row r="2422">
          <cell r="A2422">
            <v>22910787</v>
          </cell>
          <cell r="B2422" t="str">
            <v>#Lv94_퀘스트용 7배</v>
          </cell>
        </row>
        <row r="2423">
          <cell r="A2423">
            <v>22910788</v>
          </cell>
          <cell r="B2423" t="str">
            <v>#Lv95_퀘스트용 7배</v>
          </cell>
        </row>
        <row r="2424">
          <cell r="A2424">
            <v>22910789</v>
          </cell>
          <cell r="B2424" t="str">
            <v>#Lv96_퀘스트용 7배</v>
          </cell>
        </row>
        <row r="2425">
          <cell r="A2425">
            <v>22910790</v>
          </cell>
          <cell r="B2425" t="str">
            <v>#Lv97_퀘스트용 7배</v>
          </cell>
        </row>
        <row r="2426">
          <cell r="A2426">
            <v>22910791</v>
          </cell>
          <cell r="B2426" t="str">
            <v>#Lv98_퀘스트용 7배</v>
          </cell>
        </row>
        <row r="2427">
          <cell r="A2427">
            <v>22910792</v>
          </cell>
          <cell r="B2427" t="str">
            <v>#Lv99_퀘스트용 7배</v>
          </cell>
        </row>
        <row r="2428">
          <cell r="A2428">
            <v>22910793</v>
          </cell>
          <cell r="B2428" t="str">
            <v>#Lv1_퀘스트용 8배</v>
          </cell>
        </row>
        <row r="2429">
          <cell r="A2429">
            <v>22910794</v>
          </cell>
          <cell r="B2429" t="str">
            <v>#Lv2_퀘스트용 8배</v>
          </cell>
        </row>
        <row r="2430">
          <cell r="A2430">
            <v>22910795</v>
          </cell>
          <cell r="B2430" t="str">
            <v>#Lv3_퀘스트용 8배</v>
          </cell>
        </row>
        <row r="2431">
          <cell r="A2431">
            <v>22910796</v>
          </cell>
          <cell r="B2431" t="str">
            <v>#Lv4_퀘스트용 8배</v>
          </cell>
        </row>
        <row r="2432">
          <cell r="A2432">
            <v>22910797</v>
          </cell>
          <cell r="B2432" t="str">
            <v>#Lv5_퀘스트용 8배</v>
          </cell>
        </row>
        <row r="2433">
          <cell r="A2433">
            <v>22910798</v>
          </cell>
          <cell r="B2433" t="str">
            <v>#Lv6_퀘스트용 8배</v>
          </cell>
        </row>
        <row r="2434">
          <cell r="A2434">
            <v>22910799</v>
          </cell>
          <cell r="B2434" t="str">
            <v>#Lv7_퀘스트용 8배</v>
          </cell>
        </row>
        <row r="2435">
          <cell r="A2435">
            <v>22910800</v>
          </cell>
          <cell r="B2435" t="str">
            <v>#Lv8_퀘스트용 8배</v>
          </cell>
        </row>
        <row r="2436">
          <cell r="A2436">
            <v>22910801</v>
          </cell>
          <cell r="B2436" t="str">
            <v>#Lv9_퀘스트용 8배</v>
          </cell>
        </row>
        <row r="2437">
          <cell r="A2437">
            <v>22910802</v>
          </cell>
          <cell r="B2437" t="str">
            <v>#Lv10_퀘스트용 8배</v>
          </cell>
        </row>
        <row r="2438">
          <cell r="A2438">
            <v>22910803</v>
          </cell>
          <cell r="B2438" t="str">
            <v>#Lv11_퀘스트용 8배</v>
          </cell>
        </row>
        <row r="2439">
          <cell r="A2439">
            <v>22910804</v>
          </cell>
          <cell r="B2439" t="str">
            <v>#Lv12_퀘스트용 8배</v>
          </cell>
        </row>
        <row r="2440">
          <cell r="A2440">
            <v>22910805</v>
          </cell>
          <cell r="B2440" t="str">
            <v>#Lv13_퀘스트용 8배</v>
          </cell>
        </row>
        <row r="2441">
          <cell r="A2441">
            <v>22910806</v>
          </cell>
          <cell r="B2441" t="str">
            <v>#Lv14_퀘스트용 8배</v>
          </cell>
        </row>
        <row r="2442">
          <cell r="A2442">
            <v>22910807</v>
          </cell>
          <cell r="B2442" t="str">
            <v>#Lv15_퀘스트용 8배</v>
          </cell>
        </row>
        <row r="2443">
          <cell r="A2443">
            <v>22910808</v>
          </cell>
          <cell r="B2443" t="str">
            <v>#Lv16_퀘스트용 8배</v>
          </cell>
        </row>
        <row r="2444">
          <cell r="A2444">
            <v>22910809</v>
          </cell>
          <cell r="B2444" t="str">
            <v>#Lv17_퀘스트용 8배</v>
          </cell>
        </row>
        <row r="2445">
          <cell r="A2445">
            <v>22910810</v>
          </cell>
          <cell r="B2445" t="str">
            <v>#Lv18_퀘스트용 8배</v>
          </cell>
        </row>
        <row r="2446">
          <cell r="A2446">
            <v>22910811</v>
          </cell>
          <cell r="B2446" t="str">
            <v>#Lv19_퀘스트용 8배</v>
          </cell>
        </row>
        <row r="2447">
          <cell r="A2447">
            <v>22910812</v>
          </cell>
          <cell r="B2447" t="str">
            <v>#Lv20_퀘스트용 8배</v>
          </cell>
        </row>
        <row r="2448">
          <cell r="A2448">
            <v>22910813</v>
          </cell>
          <cell r="B2448" t="str">
            <v>#Lv21_퀘스트용 8배</v>
          </cell>
        </row>
        <row r="2449">
          <cell r="A2449">
            <v>22910814</v>
          </cell>
          <cell r="B2449" t="str">
            <v>#Lv22_퀘스트용 8배</v>
          </cell>
        </row>
        <row r="2450">
          <cell r="A2450">
            <v>22910815</v>
          </cell>
          <cell r="B2450" t="str">
            <v>#Lv23_퀘스트용 8배</v>
          </cell>
        </row>
        <row r="2451">
          <cell r="A2451">
            <v>22910816</v>
          </cell>
          <cell r="B2451" t="str">
            <v>#Lv24_퀘스트용 8배</v>
          </cell>
        </row>
        <row r="2452">
          <cell r="A2452">
            <v>22910817</v>
          </cell>
          <cell r="B2452" t="str">
            <v>#Lv25_퀘스트용 8배</v>
          </cell>
        </row>
        <row r="2453">
          <cell r="A2453">
            <v>22910818</v>
          </cell>
          <cell r="B2453" t="str">
            <v>#Lv26_퀘스트용 8배</v>
          </cell>
        </row>
        <row r="2454">
          <cell r="A2454">
            <v>22910819</v>
          </cell>
          <cell r="B2454" t="str">
            <v>#Lv27_퀘스트용 8배</v>
          </cell>
        </row>
        <row r="2455">
          <cell r="A2455">
            <v>22910820</v>
          </cell>
          <cell r="B2455" t="str">
            <v>#Lv28_퀘스트용 8배</v>
          </cell>
        </row>
        <row r="2456">
          <cell r="A2456">
            <v>22910821</v>
          </cell>
          <cell r="B2456" t="str">
            <v>#Lv29_퀘스트용 8배</v>
          </cell>
        </row>
        <row r="2457">
          <cell r="A2457">
            <v>22910822</v>
          </cell>
          <cell r="B2457" t="str">
            <v>#Lv30_퀘스트용 8배</v>
          </cell>
        </row>
        <row r="2458">
          <cell r="A2458">
            <v>22910823</v>
          </cell>
          <cell r="B2458" t="str">
            <v>#Lv31_퀘스트용 8배</v>
          </cell>
        </row>
        <row r="2459">
          <cell r="A2459">
            <v>22910824</v>
          </cell>
          <cell r="B2459" t="str">
            <v>#Lv32_퀘스트용 8배</v>
          </cell>
        </row>
        <row r="2460">
          <cell r="A2460">
            <v>22910825</v>
          </cell>
          <cell r="B2460" t="str">
            <v>#Lv33_퀘스트용 8배</v>
          </cell>
        </row>
        <row r="2461">
          <cell r="A2461">
            <v>22910826</v>
          </cell>
          <cell r="B2461" t="str">
            <v>#Lv34_퀘스트용 8배</v>
          </cell>
        </row>
        <row r="2462">
          <cell r="A2462">
            <v>22910827</v>
          </cell>
          <cell r="B2462" t="str">
            <v>#Lv35_퀘스트용 8배</v>
          </cell>
        </row>
        <row r="2463">
          <cell r="A2463">
            <v>22910828</v>
          </cell>
          <cell r="B2463" t="str">
            <v>#Lv36_퀘스트용 8배</v>
          </cell>
        </row>
        <row r="2464">
          <cell r="A2464">
            <v>22910829</v>
          </cell>
          <cell r="B2464" t="str">
            <v>#Lv37_퀘스트용 8배</v>
          </cell>
        </row>
        <row r="2465">
          <cell r="A2465">
            <v>22910830</v>
          </cell>
          <cell r="B2465" t="str">
            <v>#Lv38_퀘스트용 8배</v>
          </cell>
        </row>
        <row r="2466">
          <cell r="A2466">
            <v>22910831</v>
          </cell>
          <cell r="B2466" t="str">
            <v>#Lv39_퀘스트용 8배</v>
          </cell>
        </row>
        <row r="2467">
          <cell r="A2467">
            <v>22910832</v>
          </cell>
          <cell r="B2467" t="str">
            <v>#Lv40_퀘스트용 8배</v>
          </cell>
        </row>
        <row r="2468">
          <cell r="A2468">
            <v>22910833</v>
          </cell>
          <cell r="B2468" t="str">
            <v>#Lv41_퀘스트용 8배</v>
          </cell>
        </row>
        <row r="2469">
          <cell r="A2469">
            <v>22910834</v>
          </cell>
          <cell r="B2469" t="str">
            <v>#Lv42_퀘스트용 8배</v>
          </cell>
        </row>
        <row r="2470">
          <cell r="A2470">
            <v>22910835</v>
          </cell>
          <cell r="B2470" t="str">
            <v>#Lv43_퀘스트용 8배</v>
          </cell>
        </row>
        <row r="2471">
          <cell r="A2471">
            <v>22910836</v>
          </cell>
          <cell r="B2471" t="str">
            <v>#Lv44_퀘스트용 8배</v>
          </cell>
        </row>
        <row r="2472">
          <cell r="A2472">
            <v>22910837</v>
          </cell>
          <cell r="B2472" t="str">
            <v>#Lv45_퀘스트용 8배</v>
          </cell>
        </row>
        <row r="2473">
          <cell r="A2473">
            <v>22910838</v>
          </cell>
          <cell r="B2473" t="str">
            <v>#Lv46_퀘스트용 8배</v>
          </cell>
        </row>
        <row r="2474">
          <cell r="A2474">
            <v>22910839</v>
          </cell>
          <cell r="B2474" t="str">
            <v>#Lv47_퀘스트용 8배</v>
          </cell>
        </row>
        <row r="2475">
          <cell r="A2475">
            <v>22910840</v>
          </cell>
          <cell r="B2475" t="str">
            <v>#Lv48_퀘스트용 8배</v>
          </cell>
        </row>
        <row r="2476">
          <cell r="A2476">
            <v>22910841</v>
          </cell>
          <cell r="B2476" t="str">
            <v>#Lv49_퀘스트용 8배</v>
          </cell>
        </row>
        <row r="2477">
          <cell r="A2477">
            <v>22910842</v>
          </cell>
          <cell r="B2477" t="str">
            <v>#Lv50_퀘스트용 8배</v>
          </cell>
        </row>
        <row r="2478">
          <cell r="A2478">
            <v>22910843</v>
          </cell>
          <cell r="B2478" t="str">
            <v>#Lv51_퀘스트용 8배</v>
          </cell>
        </row>
        <row r="2479">
          <cell r="A2479">
            <v>22910844</v>
          </cell>
          <cell r="B2479" t="str">
            <v>#Lv52_퀘스트용 8배</v>
          </cell>
        </row>
        <row r="2480">
          <cell r="A2480">
            <v>22910845</v>
          </cell>
          <cell r="B2480" t="str">
            <v>#Lv53_퀘스트용 8배</v>
          </cell>
        </row>
        <row r="2481">
          <cell r="A2481">
            <v>22910846</v>
          </cell>
          <cell r="B2481" t="str">
            <v>#Lv54_퀘스트용 8배</v>
          </cell>
        </row>
        <row r="2482">
          <cell r="A2482">
            <v>22910847</v>
          </cell>
          <cell r="B2482" t="str">
            <v>#Lv55_퀘스트용 8배</v>
          </cell>
        </row>
        <row r="2483">
          <cell r="A2483">
            <v>22910848</v>
          </cell>
          <cell r="B2483" t="str">
            <v>#Lv56_퀘스트용 8배</v>
          </cell>
        </row>
        <row r="2484">
          <cell r="A2484">
            <v>22910849</v>
          </cell>
          <cell r="B2484" t="str">
            <v>#Lv57_퀘스트용 8배</v>
          </cell>
        </row>
        <row r="2485">
          <cell r="A2485">
            <v>22910850</v>
          </cell>
          <cell r="B2485" t="str">
            <v>#Lv58_퀘스트용 8배</v>
          </cell>
        </row>
        <row r="2486">
          <cell r="A2486">
            <v>22910851</v>
          </cell>
          <cell r="B2486" t="str">
            <v>#Lv59_퀘스트용 8배</v>
          </cell>
        </row>
        <row r="2487">
          <cell r="A2487">
            <v>22910852</v>
          </cell>
          <cell r="B2487" t="str">
            <v>#Lv60_퀘스트용 8배</v>
          </cell>
        </row>
        <row r="2488">
          <cell r="A2488">
            <v>22910853</v>
          </cell>
          <cell r="B2488" t="str">
            <v>#Lv61_퀘스트용 8배</v>
          </cell>
        </row>
        <row r="2489">
          <cell r="A2489">
            <v>22910854</v>
          </cell>
          <cell r="B2489" t="str">
            <v>#Lv62_퀘스트용 8배</v>
          </cell>
        </row>
        <row r="2490">
          <cell r="A2490">
            <v>22910855</v>
          </cell>
          <cell r="B2490" t="str">
            <v>#Lv63_퀘스트용 8배</v>
          </cell>
        </row>
        <row r="2491">
          <cell r="A2491">
            <v>22910856</v>
          </cell>
          <cell r="B2491" t="str">
            <v>#Lv64_퀘스트용 8배</v>
          </cell>
        </row>
        <row r="2492">
          <cell r="A2492">
            <v>22910857</v>
          </cell>
          <cell r="B2492" t="str">
            <v>#Lv65_퀘스트용 8배</v>
          </cell>
        </row>
        <row r="2493">
          <cell r="A2493">
            <v>22910858</v>
          </cell>
          <cell r="B2493" t="str">
            <v>#Lv66_퀘스트용 8배</v>
          </cell>
        </row>
        <row r="2494">
          <cell r="A2494">
            <v>22910859</v>
          </cell>
          <cell r="B2494" t="str">
            <v>#Lv67_퀘스트용 8배</v>
          </cell>
        </row>
        <row r="2495">
          <cell r="A2495">
            <v>22910860</v>
          </cell>
          <cell r="B2495" t="str">
            <v>#Lv68_퀘스트용 8배</v>
          </cell>
        </row>
        <row r="2496">
          <cell r="A2496">
            <v>22910861</v>
          </cell>
          <cell r="B2496" t="str">
            <v>#Lv69_퀘스트용 8배</v>
          </cell>
        </row>
        <row r="2497">
          <cell r="A2497">
            <v>22910862</v>
          </cell>
          <cell r="B2497" t="str">
            <v>#Lv70_퀘스트용 8배</v>
          </cell>
        </row>
        <row r="2498">
          <cell r="A2498">
            <v>22910863</v>
          </cell>
          <cell r="B2498" t="str">
            <v>#Lv71_퀘스트용 8배</v>
          </cell>
        </row>
        <row r="2499">
          <cell r="A2499">
            <v>22910864</v>
          </cell>
          <cell r="B2499" t="str">
            <v>#Lv72_퀘스트용 8배</v>
          </cell>
        </row>
        <row r="2500">
          <cell r="A2500">
            <v>22910865</v>
          </cell>
          <cell r="B2500" t="str">
            <v>#Lv73_퀘스트용 8배</v>
          </cell>
        </row>
        <row r="2501">
          <cell r="A2501">
            <v>22910866</v>
          </cell>
          <cell r="B2501" t="str">
            <v>#Lv74_퀘스트용 8배</v>
          </cell>
        </row>
        <row r="2502">
          <cell r="A2502">
            <v>22910867</v>
          </cell>
          <cell r="B2502" t="str">
            <v>#Lv75_퀘스트용 8배</v>
          </cell>
        </row>
        <row r="2503">
          <cell r="A2503">
            <v>22910868</v>
          </cell>
          <cell r="B2503" t="str">
            <v>#Lv76_퀘스트용 8배</v>
          </cell>
        </row>
        <row r="2504">
          <cell r="A2504">
            <v>22910869</v>
          </cell>
          <cell r="B2504" t="str">
            <v>#Lv77_퀘스트용 8배</v>
          </cell>
        </row>
        <row r="2505">
          <cell r="A2505">
            <v>22910870</v>
          </cell>
          <cell r="B2505" t="str">
            <v>#Lv78_퀘스트용 8배</v>
          </cell>
        </row>
        <row r="2506">
          <cell r="A2506">
            <v>22910871</v>
          </cell>
          <cell r="B2506" t="str">
            <v>#Lv79_퀘스트용 8배</v>
          </cell>
        </row>
        <row r="2507">
          <cell r="A2507">
            <v>22910872</v>
          </cell>
          <cell r="B2507" t="str">
            <v>#Lv80_퀘스트용 8배</v>
          </cell>
        </row>
        <row r="2508">
          <cell r="A2508">
            <v>22910873</v>
          </cell>
          <cell r="B2508" t="str">
            <v>#Lv81_퀘스트용 8배</v>
          </cell>
        </row>
        <row r="2509">
          <cell r="A2509">
            <v>22910874</v>
          </cell>
          <cell r="B2509" t="str">
            <v>#Lv82_퀘스트용 8배</v>
          </cell>
        </row>
        <row r="2510">
          <cell r="A2510">
            <v>22910875</v>
          </cell>
          <cell r="B2510" t="str">
            <v>#Lv83_퀘스트용 8배</v>
          </cell>
        </row>
        <row r="2511">
          <cell r="A2511">
            <v>22910876</v>
          </cell>
          <cell r="B2511" t="str">
            <v>#Lv84_퀘스트용 8배</v>
          </cell>
        </row>
        <row r="2512">
          <cell r="A2512">
            <v>22910877</v>
          </cell>
          <cell r="B2512" t="str">
            <v>#Lv85_퀘스트용 8배</v>
          </cell>
        </row>
        <row r="2513">
          <cell r="A2513">
            <v>22910878</v>
          </cell>
          <cell r="B2513" t="str">
            <v>#Lv86_퀘스트용 8배</v>
          </cell>
        </row>
        <row r="2514">
          <cell r="A2514">
            <v>22910879</v>
          </cell>
          <cell r="B2514" t="str">
            <v>#Lv87_퀘스트용 8배</v>
          </cell>
        </row>
        <row r="2515">
          <cell r="A2515">
            <v>22910880</v>
          </cell>
          <cell r="B2515" t="str">
            <v>#Lv88_퀘스트용 8배</v>
          </cell>
        </row>
        <row r="2516">
          <cell r="A2516">
            <v>22910881</v>
          </cell>
          <cell r="B2516" t="str">
            <v>#Lv89_퀘스트용 8배</v>
          </cell>
        </row>
        <row r="2517">
          <cell r="A2517">
            <v>22910882</v>
          </cell>
          <cell r="B2517" t="str">
            <v>#Lv90_퀘스트용 8배</v>
          </cell>
        </row>
        <row r="2518">
          <cell r="A2518">
            <v>22910883</v>
          </cell>
          <cell r="B2518" t="str">
            <v>#Lv91_퀘스트용 8배</v>
          </cell>
        </row>
        <row r="2519">
          <cell r="A2519">
            <v>22910884</v>
          </cell>
          <cell r="B2519" t="str">
            <v>#Lv92_퀘스트용 8배</v>
          </cell>
        </row>
        <row r="2520">
          <cell r="A2520">
            <v>22910885</v>
          </cell>
          <cell r="B2520" t="str">
            <v>#Lv93_퀘스트용 8배</v>
          </cell>
        </row>
        <row r="2521">
          <cell r="A2521">
            <v>22910886</v>
          </cell>
          <cell r="B2521" t="str">
            <v>#Lv94_퀘스트용 8배</v>
          </cell>
        </row>
        <row r="2522">
          <cell r="A2522">
            <v>22910887</v>
          </cell>
          <cell r="B2522" t="str">
            <v>#Lv95_퀘스트용 8배</v>
          </cell>
        </row>
        <row r="2523">
          <cell r="A2523">
            <v>22910888</v>
          </cell>
          <cell r="B2523" t="str">
            <v>#Lv96_퀘스트용 8배</v>
          </cell>
        </row>
        <row r="2524">
          <cell r="A2524">
            <v>22910889</v>
          </cell>
          <cell r="B2524" t="str">
            <v>#Lv97_퀘스트용 8배</v>
          </cell>
        </row>
        <row r="2525">
          <cell r="A2525">
            <v>22910890</v>
          </cell>
          <cell r="B2525" t="str">
            <v>#Lv98_퀘스트용 8배</v>
          </cell>
        </row>
        <row r="2526">
          <cell r="A2526">
            <v>22910891</v>
          </cell>
          <cell r="B2526" t="str">
            <v>#Lv99_퀘스트용 8배</v>
          </cell>
        </row>
        <row r="2527">
          <cell r="A2527">
            <v>22910892</v>
          </cell>
          <cell r="B2527" t="str">
            <v>#Lv1_퀘스트용 9배</v>
          </cell>
        </row>
        <row r="2528">
          <cell r="A2528">
            <v>22910893</v>
          </cell>
          <cell r="B2528" t="str">
            <v>#Lv2_퀘스트용 9배</v>
          </cell>
        </row>
        <row r="2529">
          <cell r="A2529">
            <v>22910894</v>
          </cell>
          <cell r="B2529" t="str">
            <v>#Lv3_퀘스트용 9배</v>
          </cell>
        </row>
        <row r="2530">
          <cell r="A2530">
            <v>22910895</v>
          </cell>
          <cell r="B2530" t="str">
            <v>#Lv4_퀘스트용 9배</v>
          </cell>
        </row>
        <row r="2531">
          <cell r="A2531">
            <v>22910896</v>
          </cell>
          <cell r="B2531" t="str">
            <v>#Lv5_퀘스트용 9배</v>
          </cell>
        </row>
        <row r="2532">
          <cell r="A2532">
            <v>22910897</v>
          </cell>
          <cell r="B2532" t="str">
            <v>#Lv6_퀘스트용 9배</v>
          </cell>
        </row>
        <row r="2533">
          <cell r="A2533">
            <v>22910898</v>
          </cell>
          <cell r="B2533" t="str">
            <v>#Lv7_퀘스트용 9배</v>
          </cell>
        </row>
        <row r="2534">
          <cell r="A2534">
            <v>22910899</v>
          </cell>
          <cell r="B2534" t="str">
            <v>#Lv8_퀘스트용 9배</v>
          </cell>
        </row>
        <row r="2535">
          <cell r="A2535">
            <v>22910900</v>
          </cell>
          <cell r="B2535" t="str">
            <v>#Lv9_퀘스트용 9배</v>
          </cell>
        </row>
        <row r="2536">
          <cell r="A2536">
            <v>22910901</v>
          </cell>
          <cell r="B2536" t="str">
            <v>#Lv10_퀘스트용 9배</v>
          </cell>
        </row>
        <row r="2537">
          <cell r="A2537">
            <v>22910902</v>
          </cell>
          <cell r="B2537" t="str">
            <v>#Lv11_퀘스트용 9배</v>
          </cell>
        </row>
        <row r="2538">
          <cell r="A2538">
            <v>22910903</v>
          </cell>
          <cell r="B2538" t="str">
            <v>#Lv12_퀘스트용 9배</v>
          </cell>
        </row>
        <row r="2539">
          <cell r="A2539">
            <v>22910904</v>
          </cell>
          <cell r="B2539" t="str">
            <v>#Lv13_퀘스트용 9배</v>
          </cell>
        </row>
        <row r="2540">
          <cell r="A2540">
            <v>22910905</v>
          </cell>
          <cell r="B2540" t="str">
            <v>#Lv14_퀘스트용 9배</v>
          </cell>
        </row>
        <row r="2541">
          <cell r="A2541">
            <v>22910906</v>
          </cell>
          <cell r="B2541" t="str">
            <v>#Lv15_퀘스트용 9배</v>
          </cell>
        </row>
        <row r="2542">
          <cell r="A2542">
            <v>22910907</v>
          </cell>
          <cell r="B2542" t="str">
            <v>#Lv16_퀘스트용 9배</v>
          </cell>
        </row>
        <row r="2543">
          <cell r="A2543">
            <v>22910908</v>
          </cell>
          <cell r="B2543" t="str">
            <v>#Lv17_퀘스트용 9배</v>
          </cell>
        </row>
        <row r="2544">
          <cell r="A2544">
            <v>22910909</v>
          </cell>
          <cell r="B2544" t="str">
            <v>#Lv18_퀘스트용 9배</v>
          </cell>
        </row>
        <row r="2545">
          <cell r="A2545">
            <v>22910910</v>
          </cell>
          <cell r="B2545" t="str">
            <v>#Lv19_퀘스트용 9배</v>
          </cell>
        </row>
        <row r="2546">
          <cell r="A2546">
            <v>22910911</v>
          </cell>
          <cell r="B2546" t="str">
            <v>#Lv20_퀘스트용 9배</v>
          </cell>
        </row>
        <row r="2547">
          <cell r="A2547">
            <v>22910912</v>
          </cell>
          <cell r="B2547" t="str">
            <v>#Lv21_퀘스트용 9배</v>
          </cell>
        </row>
        <row r="2548">
          <cell r="A2548">
            <v>22910913</v>
          </cell>
          <cell r="B2548" t="str">
            <v>#Lv22_퀘스트용 9배</v>
          </cell>
        </row>
        <row r="2549">
          <cell r="A2549">
            <v>22910914</v>
          </cell>
          <cell r="B2549" t="str">
            <v>#Lv23_퀘스트용 9배</v>
          </cell>
        </row>
        <row r="2550">
          <cell r="A2550">
            <v>22910915</v>
          </cell>
          <cell r="B2550" t="str">
            <v>#Lv24_퀘스트용 9배</v>
          </cell>
        </row>
        <row r="2551">
          <cell r="A2551">
            <v>22910916</v>
          </cell>
          <cell r="B2551" t="str">
            <v>#Lv25_퀘스트용 9배</v>
          </cell>
        </row>
        <row r="2552">
          <cell r="A2552">
            <v>22910917</v>
          </cell>
          <cell r="B2552" t="str">
            <v>#Lv26_퀘스트용 9배</v>
          </cell>
        </row>
        <row r="2553">
          <cell r="A2553">
            <v>22910918</v>
          </cell>
          <cell r="B2553" t="str">
            <v>#Lv27_퀘스트용 9배</v>
          </cell>
        </row>
        <row r="2554">
          <cell r="A2554">
            <v>22910919</v>
          </cell>
          <cell r="B2554" t="str">
            <v>#Lv28_퀘스트용 9배</v>
          </cell>
        </row>
        <row r="2555">
          <cell r="A2555">
            <v>22910920</v>
          </cell>
          <cell r="B2555" t="str">
            <v>#Lv29_퀘스트용 9배</v>
          </cell>
        </row>
        <row r="2556">
          <cell r="A2556">
            <v>22910921</v>
          </cell>
          <cell r="B2556" t="str">
            <v>#Lv30_퀘스트용 9배</v>
          </cell>
        </row>
        <row r="2557">
          <cell r="A2557">
            <v>22910922</v>
          </cell>
          <cell r="B2557" t="str">
            <v>#Lv31_퀘스트용 9배</v>
          </cell>
        </row>
        <row r="2558">
          <cell r="A2558">
            <v>22910923</v>
          </cell>
          <cell r="B2558" t="str">
            <v>#Lv32_퀘스트용 9배</v>
          </cell>
        </row>
        <row r="2559">
          <cell r="A2559">
            <v>22910924</v>
          </cell>
          <cell r="B2559" t="str">
            <v>#Lv33_퀘스트용 9배</v>
          </cell>
        </row>
        <row r="2560">
          <cell r="A2560">
            <v>22910925</v>
          </cell>
          <cell r="B2560" t="str">
            <v>#Lv34_퀘스트용 9배</v>
          </cell>
        </row>
        <row r="2561">
          <cell r="A2561">
            <v>22910926</v>
          </cell>
          <cell r="B2561" t="str">
            <v>#Lv35_퀘스트용 9배</v>
          </cell>
        </row>
        <row r="2562">
          <cell r="A2562">
            <v>22910927</v>
          </cell>
          <cell r="B2562" t="str">
            <v>#Lv36_퀘스트용 9배</v>
          </cell>
        </row>
        <row r="2563">
          <cell r="A2563">
            <v>22910928</v>
          </cell>
          <cell r="B2563" t="str">
            <v>#Lv37_퀘스트용 9배</v>
          </cell>
        </row>
        <row r="2564">
          <cell r="A2564">
            <v>22910929</v>
          </cell>
          <cell r="B2564" t="str">
            <v>#Lv38_퀘스트용 9배</v>
          </cell>
        </row>
        <row r="2565">
          <cell r="A2565">
            <v>22910930</v>
          </cell>
          <cell r="B2565" t="str">
            <v>#Lv39_퀘스트용 9배</v>
          </cell>
        </row>
        <row r="2566">
          <cell r="A2566">
            <v>22910931</v>
          </cell>
          <cell r="B2566" t="str">
            <v>#Lv40_퀘스트용 9배</v>
          </cell>
        </row>
        <row r="2567">
          <cell r="A2567">
            <v>22910932</v>
          </cell>
          <cell r="B2567" t="str">
            <v>#Lv41_퀘스트용 9배</v>
          </cell>
        </row>
        <row r="2568">
          <cell r="A2568">
            <v>22910933</v>
          </cell>
          <cell r="B2568" t="str">
            <v>#Lv42_퀘스트용 9배</v>
          </cell>
        </row>
        <row r="2569">
          <cell r="A2569">
            <v>22910934</v>
          </cell>
          <cell r="B2569" t="str">
            <v>#Lv43_퀘스트용 9배</v>
          </cell>
        </row>
        <row r="2570">
          <cell r="A2570">
            <v>22910935</v>
          </cell>
          <cell r="B2570" t="str">
            <v>#Lv44_퀘스트용 9배</v>
          </cell>
        </row>
        <row r="2571">
          <cell r="A2571">
            <v>22910936</v>
          </cell>
          <cell r="B2571" t="str">
            <v>#Lv45_퀘스트용 9배</v>
          </cell>
        </row>
        <row r="2572">
          <cell r="A2572">
            <v>22910937</v>
          </cell>
          <cell r="B2572" t="str">
            <v>#Lv46_퀘스트용 9배</v>
          </cell>
        </row>
        <row r="2573">
          <cell r="A2573">
            <v>22910938</v>
          </cell>
          <cell r="B2573" t="str">
            <v>#Lv47_퀘스트용 9배</v>
          </cell>
        </row>
        <row r="2574">
          <cell r="A2574">
            <v>22910939</v>
          </cell>
          <cell r="B2574" t="str">
            <v>#Lv48_퀘스트용 9배</v>
          </cell>
        </row>
        <row r="2575">
          <cell r="A2575">
            <v>22910940</v>
          </cell>
          <cell r="B2575" t="str">
            <v>#Lv49_퀘스트용 9배</v>
          </cell>
        </row>
        <row r="2576">
          <cell r="A2576">
            <v>22910941</v>
          </cell>
          <cell r="B2576" t="str">
            <v>#Lv50_퀘스트용 9배</v>
          </cell>
        </row>
        <row r="2577">
          <cell r="A2577">
            <v>22910942</v>
          </cell>
          <cell r="B2577" t="str">
            <v>#Lv51_퀘스트용 9배</v>
          </cell>
        </row>
        <row r="2578">
          <cell r="A2578">
            <v>22910943</v>
          </cell>
          <cell r="B2578" t="str">
            <v>#Lv52_퀘스트용 9배</v>
          </cell>
        </row>
        <row r="2579">
          <cell r="A2579">
            <v>22910944</v>
          </cell>
          <cell r="B2579" t="str">
            <v>#Lv53_퀘스트용 9배</v>
          </cell>
        </row>
        <row r="2580">
          <cell r="A2580">
            <v>22910945</v>
          </cell>
          <cell r="B2580" t="str">
            <v>#Lv54_퀘스트용 9배</v>
          </cell>
        </row>
        <row r="2581">
          <cell r="A2581">
            <v>22910946</v>
          </cell>
          <cell r="B2581" t="str">
            <v>#Lv55_퀘스트용 9배</v>
          </cell>
        </row>
        <row r="2582">
          <cell r="A2582">
            <v>22910947</v>
          </cell>
          <cell r="B2582" t="str">
            <v>#Lv56_퀘스트용 9배</v>
          </cell>
        </row>
        <row r="2583">
          <cell r="A2583">
            <v>22910948</v>
          </cell>
          <cell r="B2583" t="str">
            <v>#Lv57_퀘스트용 9배</v>
          </cell>
        </row>
        <row r="2584">
          <cell r="A2584">
            <v>22910949</v>
          </cell>
          <cell r="B2584" t="str">
            <v>#Lv58_퀘스트용 9배</v>
          </cell>
        </row>
        <row r="2585">
          <cell r="A2585">
            <v>22910950</v>
          </cell>
          <cell r="B2585" t="str">
            <v>#Lv59_퀘스트용 9배</v>
          </cell>
        </row>
        <row r="2586">
          <cell r="A2586">
            <v>22910951</v>
          </cell>
          <cell r="B2586" t="str">
            <v>#Lv60_퀘스트용 9배</v>
          </cell>
        </row>
        <row r="2587">
          <cell r="A2587">
            <v>22910952</v>
          </cell>
          <cell r="B2587" t="str">
            <v>#Lv61_퀘스트용 9배</v>
          </cell>
        </row>
        <row r="2588">
          <cell r="A2588">
            <v>22910953</v>
          </cell>
          <cell r="B2588" t="str">
            <v>#Lv62_퀘스트용 9배</v>
          </cell>
        </row>
        <row r="2589">
          <cell r="A2589">
            <v>22910954</v>
          </cell>
          <cell r="B2589" t="str">
            <v>#Lv63_퀘스트용 9배</v>
          </cell>
        </row>
        <row r="2590">
          <cell r="A2590">
            <v>22910955</v>
          </cell>
          <cell r="B2590" t="str">
            <v>#Lv64_퀘스트용 9배</v>
          </cell>
        </row>
        <row r="2591">
          <cell r="A2591">
            <v>22910956</v>
          </cell>
          <cell r="B2591" t="str">
            <v>#Lv65_퀘스트용 9배</v>
          </cell>
        </row>
        <row r="2592">
          <cell r="A2592">
            <v>22910957</v>
          </cell>
          <cell r="B2592" t="str">
            <v>#Lv66_퀘스트용 9배</v>
          </cell>
        </row>
        <row r="2593">
          <cell r="A2593">
            <v>22910958</v>
          </cell>
          <cell r="B2593" t="str">
            <v>#Lv67_퀘스트용 9배</v>
          </cell>
        </row>
        <row r="2594">
          <cell r="A2594">
            <v>22910959</v>
          </cell>
          <cell r="B2594" t="str">
            <v>#Lv68_퀘스트용 9배</v>
          </cell>
        </row>
        <row r="2595">
          <cell r="A2595">
            <v>22910960</v>
          </cell>
          <cell r="B2595" t="str">
            <v>#Lv69_퀘스트용 9배</v>
          </cell>
        </row>
        <row r="2596">
          <cell r="A2596">
            <v>22910961</v>
          </cell>
          <cell r="B2596" t="str">
            <v>#Lv70_퀘스트용 9배</v>
          </cell>
        </row>
        <row r="2597">
          <cell r="A2597">
            <v>22910962</v>
          </cell>
          <cell r="B2597" t="str">
            <v>#Lv71_퀘스트용 9배</v>
          </cell>
        </row>
        <row r="2598">
          <cell r="A2598">
            <v>22910963</v>
          </cell>
          <cell r="B2598" t="str">
            <v>#Lv72_퀘스트용 9배</v>
          </cell>
        </row>
        <row r="2599">
          <cell r="A2599">
            <v>22910964</v>
          </cell>
          <cell r="B2599" t="str">
            <v>#Lv73_퀘스트용 9배</v>
          </cell>
        </row>
        <row r="2600">
          <cell r="A2600">
            <v>22910965</v>
          </cell>
          <cell r="B2600" t="str">
            <v>#Lv74_퀘스트용 9배</v>
          </cell>
        </row>
        <row r="2601">
          <cell r="A2601">
            <v>22910966</v>
          </cell>
          <cell r="B2601" t="str">
            <v>#Lv75_퀘스트용 9배</v>
          </cell>
        </row>
        <row r="2602">
          <cell r="A2602">
            <v>22910967</v>
          </cell>
          <cell r="B2602" t="str">
            <v>#Lv76_퀘스트용 9배</v>
          </cell>
        </row>
        <row r="2603">
          <cell r="A2603">
            <v>22910968</v>
          </cell>
          <cell r="B2603" t="str">
            <v>#Lv77_퀘스트용 9배</v>
          </cell>
        </row>
        <row r="2604">
          <cell r="A2604">
            <v>22910969</v>
          </cell>
          <cell r="B2604" t="str">
            <v>#Lv78_퀘스트용 9배</v>
          </cell>
        </row>
        <row r="2605">
          <cell r="A2605">
            <v>22910970</v>
          </cell>
          <cell r="B2605" t="str">
            <v>#Lv79_퀘스트용 9배</v>
          </cell>
        </row>
        <row r="2606">
          <cell r="A2606">
            <v>22910971</v>
          </cell>
          <cell r="B2606" t="str">
            <v>#Lv80_퀘스트용 9배</v>
          </cell>
        </row>
        <row r="2607">
          <cell r="A2607">
            <v>22910972</v>
          </cell>
          <cell r="B2607" t="str">
            <v>#Lv81_퀘스트용 9배</v>
          </cell>
        </row>
        <row r="2608">
          <cell r="A2608">
            <v>22910973</v>
          </cell>
          <cell r="B2608" t="str">
            <v>#Lv82_퀘스트용 9배</v>
          </cell>
        </row>
        <row r="2609">
          <cell r="A2609">
            <v>22910974</v>
          </cell>
          <cell r="B2609" t="str">
            <v>#Lv83_퀘스트용 9배</v>
          </cell>
        </row>
        <row r="2610">
          <cell r="A2610">
            <v>22910975</v>
          </cell>
          <cell r="B2610" t="str">
            <v>#Lv84_퀘스트용 9배</v>
          </cell>
        </row>
        <row r="2611">
          <cell r="A2611">
            <v>22910976</v>
          </cell>
          <cell r="B2611" t="str">
            <v>#Lv85_퀘스트용 9배</v>
          </cell>
        </row>
        <row r="2612">
          <cell r="A2612">
            <v>22910977</v>
          </cell>
          <cell r="B2612" t="str">
            <v>#Lv86_퀘스트용 9배</v>
          </cell>
        </row>
        <row r="2613">
          <cell r="A2613">
            <v>22910978</v>
          </cell>
          <cell r="B2613" t="str">
            <v>#Lv87_퀘스트용 9배</v>
          </cell>
        </row>
        <row r="2614">
          <cell r="A2614">
            <v>22910979</v>
          </cell>
          <cell r="B2614" t="str">
            <v>#Lv88_퀘스트용 9배</v>
          </cell>
        </row>
        <row r="2615">
          <cell r="A2615">
            <v>22910980</v>
          </cell>
          <cell r="B2615" t="str">
            <v>#Lv89_퀘스트용 9배</v>
          </cell>
        </row>
        <row r="2616">
          <cell r="A2616">
            <v>22910981</v>
          </cell>
          <cell r="B2616" t="str">
            <v>#Lv90_퀘스트용 9배</v>
          </cell>
        </row>
        <row r="2617">
          <cell r="A2617">
            <v>22910982</v>
          </cell>
          <cell r="B2617" t="str">
            <v>#Lv91_퀘스트용 9배</v>
          </cell>
        </row>
        <row r="2618">
          <cell r="A2618">
            <v>22910983</v>
          </cell>
          <cell r="B2618" t="str">
            <v>#Lv92_퀘스트용 9배</v>
          </cell>
        </row>
        <row r="2619">
          <cell r="A2619">
            <v>22910984</v>
          </cell>
          <cell r="B2619" t="str">
            <v>#Lv93_퀘스트용 9배</v>
          </cell>
        </row>
        <row r="2620">
          <cell r="A2620">
            <v>22910985</v>
          </cell>
          <cell r="B2620" t="str">
            <v>#Lv94_퀘스트용 9배</v>
          </cell>
        </row>
        <row r="2621">
          <cell r="A2621">
            <v>22910986</v>
          </cell>
          <cell r="B2621" t="str">
            <v>#Lv95_퀘스트용 9배</v>
          </cell>
        </row>
        <row r="2622">
          <cell r="A2622">
            <v>22910987</v>
          </cell>
          <cell r="B2622" t="str">
            <v>#Lv96_퀘스트용 9배</v>
          </cell>
        </row>
        <row r="2623">
          <cell r="A2623">
            <v>22910988</v>
          </cell>
          <cell r="B2623" t="str">
            <v>#Lv97_퀘스트용 9배</v>
          </cell>
        </row>
        <row r="2624">
          <cell r="A2624">
            <v>22910989</v>
          </cell>
          <cell r="B2624" t="str">
            <v>#Lv98_퀘스트용 9배</v>
          </cell>
        </row>
        <row r="2625">
          <cell r="A2625">
            <v>22910990</v>
          </cell>
          <cell r="B2625" t="str">
            <v>#Lv99_퀘스트용 9배</v>
          </cell>
        </row>
        <row r="2626">
          <cell r="A2626">
            <v>22910991</v>
          </cell>
          <cell r="B2626" t="str">
            <v>#Lv1_퀘스트용 10배</v>
          </cell>
        </row>
        <row r="2627">
          <cell r="A2627">
            <v>22910992</v>
          </cell>
          <cell r="B2627" t="str">
            <v>#Lv2_퀘스트용 10배</v>
          </cell>
        </row>
        <row r="2628">
          <cell r="A2628">
            <v>22910993</v>
          </cell>
          <cell r="B2628" t="str">
            <v>#Lv3_퀘스트용 10배</v>
          </cell>
        </row>
        <row r="2629">
          <cell r="A2629">
            <v>22910994</v>
          </cell>
          <cell r="B2629" t="str">
            <v>#Lv4_퀘스트용 10배</v>
          </cell>
        </row>
        <row r="2630">
          <cell r="A2630">
            <v>22910995</v>
          </cell>
          <cell r="B2630" t="str">
            <v>#Lv5_퀘스트용 10배</v>
          </cell>
        </row>
        <row r="2631">
          <cell r="A2631">
            <v>22910996</v>
          </cell>
          <cell r="B2631" t="str">
            <v>#Lv6_퀘스트용 10배</v>
          </cell>
        </row>
        <row r="2632">
          <cell r="A2632">
            <v>22910997</v>
          </cell>
          <cell r="B2632" t="str">
            <v>#Lv7_퀘스트용 10배</v>
          </cell>
        </row>
        <row r="2633">
          <cell r="A2633">
            <v>22910998</v>
          </cell>
          <cell r="B2633" t="str">
            <v>#Lv8_퀘스트용 10배</v>
          </cell>
        </row>
        <row r="2634">
          <cell r="A2634">
            <v>22910999</v>
          </cell>
          <cell r="B2634" t="str">
            <v>#Lv9_퀘스트용 10배</v>
          </cell>
        </row>
        <row r="2635">
          <cell r="A2635">
            <v>22911000</v>
          </cell>
          <cell r="B2635" t="str">
            <v>#Lv10_퀘스트용 10배</v>
          </cell>
        </row>
        <row r="2636">
          <cell r="A2636">
            <v>22911001</v>
          </cell>
          <cell r="B2636" t="str">
            <v>#Lv11_퀘스트용 10배</v>
          </cell>
        </row>
        <row r="2637">
          <cell r="A2637">
            <v>22911002</v>
          </cell>
          <cell r="B2637" t="str">
            <v>#Lv12_퀘스트용 10배</v>
          </cell>
        </row>
        <row r="2638">
          <cell r="A2638">
            <v>22911003</v>
          </cell>
          <cell r="B2638" t="str">
            <v>#Lv13_퀘스트용 10배</v>
          </cell>
        </row>
        <row r="2639">
          <cell r="A2639">
            <v>22911004</v>
          </cell>
          <cell r="B2639" t="str">
            <v>#Lv14_퀘스트용 10배</v>
          </cell>
        </row>
        <row r="2640">
          <cell r="A2640">
            <v>22911005</v>
          </cell>
          <cell r="B2640" t="str">
            <v>#Lv15_퀘스트용 10배</v>
          </cell>
        </row>
        <row r="2641">
          <cell r="A2641">
            <v>22911006</v>
          </cell>
          <cell r="B2641" t="str">
            <v>#Lv16_퀘스트용 10배</v>
          </cell>
        </row>
        <row r="2642">
          <cell r="A2642">
            <v>22911007</v>
          </cell>
          <cell r="B2642" t="str">
            <v>#Lv17_퀘스트용 10배</v>
          </cell>
        </row>
        <row r="2643">
          <cell r="A2643">
            <v>22911008</v>
          </cell>
          <cell r="B2643" t="str">
            <v>#Lv18_퀘스트용 10배</v>
          </cell>
        </row>
        <row r="2644">
          <cell r="A2644">
            <v>22911009</v>
          </cell>
          <cell r="B2644" t="str">
            <v>#Lv19_퀘스트용 10배</v>
          </cell>
        </row>
        <row r="2645">
          <cell r="A2645">
            <v>22911010</v>
          </cell>
          <cell r="B2645" t="str">
            <v>#Lv20_퀘스트용 10배</v>
          </cell>
        </row>
        <row r="2646">
          <cell r="A2646">
            <v>22911011</v>
          </cell>
          <cell r="B2646" t="str">
            <v>#Lv21_퀘스트용 10배</v>
          </cell>
        </row>
        <row r="2647">
          <cell r="A2647">
            <v>22911012</v>
          </cell>
          <cell r="B2647" t="str">
            <v>#Lv22_퀘스트용 10배</v>
          </cell>
        </row>
        <row r="2648">
          <cell r="A2648">
            <v>22911013</v>
          </cell>
          <cell r="B2648" t="str">
            <v>#Lv23_퀘스트용 10배</v>
          </cell>
        </row>
        <row r="2649">
          <cell r="A2649">
            <v>22911014</v>
          </cell>
          <cell r="B2649" t="str">
            <v>#Lv24_퀘스트용 10배</v>
          </cell>
        </row>
        <row r="2650">
          <cell r="A2650">
            <v>22911015</v>
          </cell>
          <cell r="B2650" t="str">
            <v>#Lv25_퀘스트용 10배</v>
          </cell>
        </row>
        <row r="2651">
          <cell r="A2651">
            <v>22911016</v>
          </cell>
          <cell r="B2651" t="str">
            <v>#Lv26_퀘스트용 10배</v>
          </cell>
        </row>
        <row r="2652">
          <cell r="A2652">
            <v>22911017</v>
          </cell>
          <cell r="B2652" t="str">
            <v>#Lv27_퀘스트용 10배</v>
          </cell>
        </row>
        <row r="2653">
          <cell r="A2653">
            <v>22911018</v>
          </cell>
          <cell r="B2653" t="str">
            <v>#Lv28_퀘스트용 10배</v>
          </cell>
        </row>
        <row r="2654">
          <cell r="A2654">
            <v>22911019</v>
          </cell>
          <cell r="B2654" t="str">
            <v>#Lv29_퀘스트용 10배</v>
          </cell>
        </row>
        <row r="2655">
          <cell r="A2655">
            <v>22911020</v>
          </cell>
          <cell r="B2655" t="str">
            <v>#Lv30_퀘스트용 10배</v>
          </cell>
        </row>
        <row r="2656">
          <cell r="A2656">
            <v>22911021</v>
          </cell>
          <cell r="B2656" t="str">
            <v>#Lv31_퀘스트용 10배</v>
          </cell>
        </row>
        <row r="2657">
          <cell r="A2657">
            <v>22911022</v>
          </cell>
          <cell r="B2657" t="str">
            <v>#Lv32_퀘스트용 10배</v>
          </cell>
        </row>
        <row r="2658">
          <cell r="A2658">
            <v>22911023</v>
          </cell>
          <cell r="B2658" t="str">
            <v>#Lv33_퀘스트용 10배</v>
          </cell>
        </row>
        <row r="2659">
          <cell r="A2659">
            <v>22911024</v>
          </cell>
          <cell r="B2659" t="str">
            <v>#Lv34_퀘스트용 10배</v>
          </cell>
        </row>
        <row r="2660">
          <cell r="A2660">
            <v>22911025</v>
          </cell>
          <cell r="B2660" t="str">
            <v>#Lv35_퀘스트용 10배</v>
          </cell>
        </row>
        <row r="2661">
          <cell r="A2661">
            <v>22911026</v>
          </cell>
          <cell r="B2661" t="str">
            <v>#Lv36_퀘스트용 10배</v>
          </cell>
        </row>
        <row r="2662">
          <cell r="A2662">
            <v>22911027</v>
          </cell>
          <cell r="B2662" t="str">
            <v>#Lv37_퀘스트용 10배</v>
          </cell>
        </row>
        <row r="2663">
          <cell r="A2663">
            <v>22911028</v>
          </cell>
          <cell r="B2663" t="str">
            <v>#Lv38_퀘스트용 10배</v>
          </cell>
        </row>
        <row r="2664">
          <cell r="A2664">
            <v>22911029</v>
          </cell>
          <cell r="B2664" t="str">
            <v>#Lv39_퀘스트용 10배</v>
          </cell>
        </row>
        <row r="2665">
          <cell r="A2665">
            <v>22911030</v>
          </cell>
          <cell r="B2665" t="str">
            <v>#Lv40_퀘스트용 10배</v>
          </cell>
        </row>
        <row r="2666">
          <cell r="A2666">
            <v>22911031</v>
          </cell>
          <cell r="B2666" t="str">
            <v>#Lv41_퀘스트용 10배</v>
          </cell>
        </row>
        <row r="2667">
          <cell r="A2667">
            <v>22911032</v>
          </cell>
          <cell r="B2667" t="str">
            <v>#Lv42_퀘스트용 10배</v>
          </cell>
        </row>
        <row r="2668">
          <cell r="A2668">
            <v>22911033</v>
          </cell>
          <cell r="B2668" t="str">
            <v>#Lv43_퀘스트용 10배</v>
          </cell>
        </row>
        <row r="2669">
          <cell r="A2669">
            <v>22911034</v>
          </cell>
          <cell r="B2669" t="str">
            <v>#Lv44_퀘스트용 10배</v>
          </cell>
        </row>
        <row r="2670">
          <cell r="A2670">
            <v>22911035</v>
          </cell>
          <cell r="B2670" t="str">
            <v>#Lv45_퀘스트용 10배</v>
          </cell>
        </row>
        <row r="2671">
          <cell r="A2671">
            <v>22911036</v>
          </cell>
          <cell r="B2671" t="str">
            <v>#Lv46_퀘스트용 10배</v>
          </cell>
        </row>
        <row r="2672">
          <cell r="A2672">
            <v>22911037</v>
          </cell>
          <cell r="B2672" t="str">
            <v>#Lv47_퀘스트용 10배</v>
          </cell>
        </row>
        <row r="2673">
          <cell r="A2673">
            <v>22911038</v>
          </cell>
          <cell r="B2673" t="str">
            <v>#Lv48_퀘스트용 10배</v>
          </cell>
        </row>
        <row r="2674">
          <cell r="A2674">
            <v>22911039</v>
          </cell>
          <cell r="B2674" t="str">
            <v>#Lv49_퀘스트용 10배</v>
          </cell>
        </row>
        <row r="2675">
          <cell r="A2675">
            <v>22911040</v>
          </cell>
          <cell r="B2675" t="str">
            <v>#Lv50_퀘스트용 10배</v>
          </cell>
        </row>
        <row r="2676">
          <cell r="A2676">
            <v>22911041</v>
          </cell>
          <cell r="B2676" t="str">
            <v>#Lv51_퀘스트용 10배</v>
          </cell>
        </row>
        <row r="2677">
          <cell r="A2677">
            <v>22911042</v>
          </cell>
          <cell r="B2677" t="str">
            <v>#Lv52_퀘스트용 10배</v>
          </cell>
        </row>
        <row r="2678">
          <cell r="A2678">
            <v>22911043</v>
          </cell>
          <cell r="B2678" t="str">
            <v>#Lv53_퀘스트용 10배</v>
          </cell>
        </row>
        <row r="2679">
          <cell r="A2679">
            <v>22911044</v>
          </cell>
          <cell r="B2679" t="str">
            <v>#Lv54_퀘스트용 10배</v>
          </cell>
        </row>
        <row r="2680">
          <cell r="A2680">
            <v>22911045</v>
          </cell>
          <cell r="B2680" t="str">
            <v>#Lv55_퀘스트용 10배</v>
          </cell>
        </row>
        <row r="2681">
          <cell r="A2681">
            <v>22911046</v>
          </cell>
          <cell r="B2681" t="str">
            <v>#Lv56_퀘스트용 10배</v>
          </cell>
        </row>
        <row r="2682">
          <cell r="A2682">
            <v>22911047</v>
          </cell>
          <cell r="B2682" t="str">
            <v>#Lv57_퀘스트용 10배</v>
          </cell>
        </row>
        <row r="2683">
          <cell r="A2683">
            <v>22911048</v>
          </cell>
          <cell r="B2683" t="str">
            <v>#Lv58_퀘스트용 10배</v>
          </cell>
        </row>
        <row r="2684">
          <cell r="A2684">
            <v>22911049</v>
          </cell>
          <cell r="B2684" t="str">
            <v>#Lv59_퀘스트용 10배</v>
          </cell>
        </row>
        <row r="2685">
          <cell r="A2685">
            <v>22911050</v>
          </cell>
          <cell r="B2685" t="str">
            <v>#Lv60_퀘스트용 10배</v>
          </cell>
        </row>
        <row r="2686">
          <cell r="A2686">
            <v>22911051</v>
          </cell>
          <cell r="B2686" t="str">
            <v>#Lv61_퀘스트용 10배</v>
          </cell>
        </row>
        <row r="2687">
          <cell r="A2687">
            <v>22911052</v>
          </cell>
          <cell r="B2687" t="str">
            <v>#Lv62_퀘스트용 10배</v>
          </cell>
        </row>
        <row r="2688">
          <cell r="A2688">
            <v>22911053</v>
          </cell>
          <cell r="B2688" t="str">
            <v>#Lv63_퀘스트용 10배</v>
          </cell>
        </row>
        <row r="2689">
          <cell r="A2689">
            <v>22911054</v>
          </cell>
          <cell r="B2689" t="str">
            <v>#Lv64_퀘스트용 10배</v>
          </cell>
        </row>
        <row r="2690">
          <cell r="A2690">
            <v>22911055</v>
          </cell>
          <cell r="B2690" t="str">
            <v>#Lv65_퀘스트용 10배</v>
          </cell>
        </row>
        <row r="2691">
          <cell r="A2691">
            <v>22911056</v>
          </cell>
          <cell r="B2691" t="str">
            <v>#Lv66_퀘스트용 10배</v>
          </cell>
        </row>
        <row r="2692">
          <cell r="A2692">
            <v>22911057</v>
          </cell>
          <cell r="B2692" t="str">
            <v>#Lv67_퀘스트용 10배</v>
          </cell>
        </row>
        <row r="2693">
          <cell r="A2693">
            <v>22911058</v>
          </cell>
          <cell r="B2693" t="str">
            <v>#Lv68_퀘스트용 10배</v>
          </cell>
        </row>
        <row r="2694">
          <cell r="A2694">
            <v>22911059</v>
          </cell>
          <cell r="B2694" t="str">
            <v>#Lv69_퀘스트용 10배</v>
          </cell>
        </row>
        <row r="2695">
          <cell r="A2695">
            <v>22911060</v>
          </cell>
          <cell r="B2695" t="str">
            <v>#Lv70_퀘스트용 10배</v>
          </cell>
        </row>
        <row r="2696">
          <cell r="A2696">
            <v>22911061</v>
          </cell>
          <cell r="B2696" t="str">
            <v>#Lv71_퀘스트용 10배</v>
          </cell>
        </row>
        <row r="2697">
          <cell r="A2697">
            <v>22911062</v>
          </cell>
          <cell r="B2697" t="str">
            <v>#Lv72_퀘스트용 10배</v>
          </cell>
        </row>
        <row r="2698">
          <cell r="A2698">
            <v>22911063</v>
          </cell>
          <cell r="B2698" t="str">
            <v>#Lv73_퀘스트용 10배</v>
          </cell>
        </row>
        <row r="2699">
          <cell r="A2699">
            <v>22911064</v>
          </cell>
          <cell r="B2699" t="str">
            <v>#Lv74_퀘스트용 10배</v>
          </cell>
        </row>
        <row r="2700">
          <cell r="A2700">
            <v>22911065</v>
          </cell>
          <cell r="B2700" t="str">
            <v>#Lv75_퀘스트용 10배</v>
          </cell>
        </row>
        <row r="2701">
          <cell r="A2701">
            <v>22911066</v>
          </cell>
          <cell r="B2701" t="str">
            <v>#Lv76_퀘스트용 10배</v>
          </cell>
        </row>
        <row r="2702">
          <cell r="A2702">
            <v>22911067</v>
          </cell>
          <cell r="B2702" t="str">
            <v>#Lv77_퀘스트용 10배</v>
          </cell>
        </row>
        <row r="2703">
          <cell r="A2703">
            <v>22911068</v>
          </cell>
          <cell r="B2703" t="str">
            <v>#Lv78_퀘스트용 10배</v>
          </cell>
        </row>
        <row r="2704">
          <cell r="A2704">
            <v>22911069</v>
          </cell>
          <cell r="B2704" t="str">
            <v>#Lv79_퀘스트용 10배</v>
          </cell>
        </row>
        <row r="2705">
          <cell r="A2705">
            <v>22911070</v>
          </cell>
          <cell r="B2705" t="str">
            <v>#Lv80_퀘스트용 10배</v>
          </cell>
        </row>
        <row r="2706">
          <cell r="A2706">
            <v>22911071</v>
          </cell>
          <cell r="B2706" t="str">
            <v>#Lv81_퀘스트용 10배</v>
          </cell>
        </row>
        <row r="2707">
          <cell r="A2707">
            <v>22911072</v>
          </cell>
          <cell r="B2707" t="str">
            <v>#Lv82_퀘스트용 10배</v>
          </cell>
        </row>
        <row r="2708">
          <cell r="A2708">
            <v>22911073</v>
          </cell>
          <cell r="B2708" t="str">
            <v>#Lv83_퀘스트용 10배</v>
          </cell>
        </row>
        <row r="2709">
          <cell r="A2709">
            <v>22911074</v>
          </cell>
          <cell r="B2709" t="str">
            <v>#Lv84_퀘스트용 10배</v>
          </cell>
        </row>
        <row r="2710">
          <cell r="A2710">
            <v>22911075</v>
          </cell>
          <cell r="B2710" t="str">
            <v>#Lv85_퀘스트용 10배</v>
          </cell>
        </row>
        <row r="2711">
          <cell r="A2711">
            <v>22911076</v>
          </cell>
          <cell r="B2711" t="str">
            <v>#Lv86_퀘스트용 10배</v>
          </cell>
        </row>
        <row r="2712">
          <cell r="A2712">
            <v>22911077</v>
          </cell>
          <cell r="B2712" t="str">
            <v>#Lv87_퀘스트용 10배</v>
          </cell>
        </row>
        <row r="2713">
          <cell r="A2713">
            <v>22911078</v>
          </cell>
          <cell r="B2713" t="str">
            <v>#Lv88_퀘스트용 10배</v>
          </cell>
        </row>
        <row r="2714">
          <cell r="A2714">
            <v>22911079</v>
          </cell>
          <cell r="B2714" t="str">
            <v>#Lv89_퀘스트용 10배</v>
          </cell>
        </row>
        <row r="2715">
          <cell r="A2715">
            <v>22911080</v>
          </cell>
          <cell r="B2715" t="str">
            <v>#Lv90_퀘스트용 10배</v>
          </cell>
        </row>
        <row r="2716">
          <cell r="A2716">
            <v>22911081</v>
          </cell>
          <cell r="B2716" t="str">
            <v>#Lv91_퀘스트용 10배</v>
          </cell>
        </row>
        <row r="2717">
          <cell r="A2717">
            <v>22911082</v>
          </cell>
          <cell r="B2717" t="str">
            <v>#Lv92_퀘스트용 10배</v>
          </cell>
        </row>
        <row r="2718">
          <cell r="A2718">
            <v>22911083</v>
          </cell>
          <cell r="B2718" t="str">
            <v>#Lv93_퀘스트용 10배</v>
          </cell>
        </row>
        <row r="2719">
          <cell r="A2719">
            <v>22911084</v>
          </cell>
          <cell r="B2719" t="str">
            <v>#Lv94_퀘스트용 10배</v>
          </cell>
        </row>
        <row r="2720">
          <cell r="A2720">
            <v>22911085</v>
          </cell>
          <cell r="B2720" t="str">
            <v>#Lv95_퀘스트용 10배</v>
          </cell>
        </row>
        <row r="2721">
          <cell r="A2721">
            <v>22911086</v>
          </cell>
          <cell r="B2721" t="str">
            <v>#Lv96_퀘스트용 10배</v>
          </cell>
        </row>
        <row r="2722">
          <cell r="A2722">
            <v>22911087</v>
          </cell>
          <cell r="B2722" t="str">
            <v>#Lv97_퀘스트용 10배</v>
          </cell>
        </row>
        <row r="2723">
          <cell r="A2723">
            <v>22911088</v>
          </cell>
          <cell r="B2723" t="str">
            <v>#Lv98_퀘스트용 10배</v>
          </cell>
        </row>
        <row r="2724">
          <cell r="A2724">
            <v>22911089</v>
          </cell>
          <cell r="B2724" t="str">
            <v>#Lv99_퀘스트용 10배</v>
          </cell>
        </row>
        <row r="2725">
          <cell r="A2725">
            <v>22000001</v>
          </cell>
          <cell r="B2725" t="str">
            <v>##SS경갑샘플_몸1_남성용</v>
          </cell>
        </row>
        <row r="2726">
          <cell r="A2726">
            <v>22000002</v>
          </cell>
          <cell r="B2726" t="str">
            <v>##SS경갑샘플_모자1_남성용</v>
          </cell>
        </row>
        <row r="2727">
          <cell r="A2727">
            <v>22000003</v>
          </cell>
          <cell r="B2727" t="str">
            <v>##SS중갑샘플_몸1_남성용</v>
          </cell>
        </row>
        <row r="2728">
          <cell r="A2728">
            <v>22000004</v>
          </cell>
          <cell r="B2728" t="str">
            <v>##SS중갑샘플_모자1_남성용</v>
          </cell>
        </row>
        <row r="2729">
          <cell r="A2729">
            <v>22000005</v>
          </cell>
          <cell r="B2729" t="str">
            <v>##SS중갑샘플_몸2_남성용</v>
          </cell>
        </row>
        <row r="2730">
          <cell r="A2730">
            <v>22000006</v>
          </cell>
          <cell r="B2730" t="str">
            <v>##SS중갑샘플_모자2_남성용</v>
          </cell>
        </row>
        <row r="2731">
          <cell r="A2731">
            <v>22000007</v>
          </cell>
          <cell r="B2731" t="str">
            <v>##SS한손검_찌르기_공용</v>
          </cell>
        </row>
        <row r="2732">
          <cell r="A2732">
            <v>22000008</v>
          </cell>
          <cell r="B2732" t="str">
            <v>##SS한손검_베기_공용</v>
          </cell>
        </row>
        <row r="2733">
          <cell r="A2733">
            <v>22212025</v>
          </cell>
          <cell r="B2733" t="str">
            <v>##삭제 예정</v>
          </cell>
        </row>
        <row r="2734">
          <cell r="A2734">
            <v>22225004</v>
          </cell>
          <cell r="B2734" t="str">
            <v>착호갑사복_여성용</v>
          </cell>
        </row>
        <row r="2735">
          <cell r="A2735">
            <v>22225008</v>
          </cell>
          <cell r="B2735" t="str">
            <v>카르나의 카바치_여성용</v>
          </cell>
        </row>
        <row r="2736">
          <cell r="A2736">
            <v>22225016</v>
          </cell>
          <cell r="B2736" t="str">
            <v>라마 수카라의 케인_여성용</v>
          </cell>
        </row>
        <row r="2737">
          <cell r="A2737">
            <v>22225018</v>
          </cell>
          <cell r="B2737" t="str">
            <v>홀리 플레이트 아머_여성용</v>
          </cell>
        </row>
        <row r="2738">
          <cell r="A2738">
            <v>22225019</v>
          </cell>
          <cell r="B2738" t="str">
            <v>검은 수염의 코트_남성용</v>
          </cell>
        </row>
        <row r="2739">
          <cell r="A2739">
            <v>22225020</v>
          </cell>
          <cell r="B2739" t="str">
            <v>검은 수염의 코트_여성용</v>
          </cell>
        </row>
        <row r="2740">
          <cell r="A2740">
            <v>22225022</v>
          </cell>
          <cell r="B2740" t="str">
            <v>금의위복_여성용</v>
          </cell>
        </row>
        <row r="2741">
          <cell r="A2741">
            <v>22225024</v>
          </cell>
          <cell r="B2741" t="str">
            <v>마르크스의 뤼스퉁_여성용</v>
          </cell>
        </row>
        <row r="2742">
          <cell r="A2742">
            <v>22225026</v>
          </cell>
          <cell r="B2742" t="str">
            <v>성기사의 갑옷_여성용</v>
          </cell>
        </row>
        <row r="2743">
          <cell r="A2743">
            <v>22225028</v>
          </cell>
          <cell r="B2743" t="str">
            <v>인드라지트의 카파다_여성용</v>
          </cell>
        </row>
        <row r="2744">
          <cell r="A2744">
            <v>22225030</v>
          </cell>
          <cell r="B2744" t="str">
            <v>호플로마쿠스의 갑옷_여성용</v>
          </cell>
        </row>
        <row r="2745">
          <cell r="A2745">
            <v>22225032</v>
          </cell>
          <cell r="B2745" t="str">
            <v>하이레딘의 카프탄_여성용</v>
          </cell>
        </row>
        <row r="2746">
          <cell r="A2746">
            <v>22225034</v>
          </cell>
          <cell r="B2746" t="str">
            <v>엘 드라케 아머_여성용</v>
          </cell>
        </row>
        <row r="2747">
          <cell r="A2747">
            <v>22225036</v>
          </cell>
          <cell r="B2747" t="str">
            <v>보야르의 브라냐_여성용</v>
          </cell>
        </row>
        <row r="2748">
          <cell r="A2748">
            <v>22226002</v>
          </cell>
          <cell r="B2748" t="str">
            <v>나타라자의 카파다_여성용</v>
          </cell>
        </row>
        <row r="2749">
          <cell r="A2749">
            <v>22226004</v>
          </cell>
          <cell r="B2749" t="str">
            <v>아하디스의 카바치_여성용</v>
          </cell>
        </row>
        <row r="2750">
          <cell r="A2750">
            <v>22226006</v>
          </cell>
          <cell r="B2750" t="str">
            <v>우이칠린_여성용</v>
          </cell>
        </row>
        <row r="2751">
          <cell r="A2751">
            <v>22226008</v>
          </cell>
          <cell r="B2751" t="str">
            <v>페르디난트 2세의 아머_여성용</v>
          </cell>
        </row>
        <row r="2752">
          <cell r="A2752">
            <v>22226010</v>
          </cell>
          <cell r="B2752" t="str">
            <v>제육천마왕개_여성용</v>
          </cell>
        </row>
        <row r="2753">
          <cell r="A2753">
            <v>22226012</v>
          </cell>
          <cell r="B2753" t="str">
            <v>바쥬 라미나_여성용</v>
          </cell>
        </row>
        <row r="2754">
          <cell r="A2754">
            <v>22226016</v>
          </cell>
          <cell r="B2754" t="str">
            <v>라지푸트 카파다_여성용</v>
          </cell>
        </row>
        <row r="2755">
          <cell r="A2755">
            <v>22226018</v>
          </cell>
          <cell r="B2755" t="str">
            <v>롤랑의 아르뮈르_여성용</v>
          </cell>
        </row>
        <row r="2756">
          <cell r="A2756">
            <v>22226020</v>
          </cell>
          <cell r="B2756" t="str">
            <v>임페리얼 아머_여성용</v>
          </cell>
        </row>
        <row r="2757">
          <cell r="A2757">
            <v>22226024</v>
          </cell>
          <cell r="B2757" t="str">
            <v>모드레드의 아머_여성용</v>
          </cell>
        </row>
        <row r="2758">
          <cell r="A2758">
            <v>22226026</v>
          </cell>
          <cell r="B2758" t="str">
            <v>위가르_여성용</v>
          </cell>
        </row>
        <row r="2759">
          <cell r="A2759">
            <v>22226028</v>
          </cell>
          <cell r="B2759" t="str">
            <v>어우락 꾸언 아오_여성용</v>
          </cell>
        </row>
        <row r="2760">
          <cell r="A2760">
            <v>22226030</v>
          </cell>
          <cell r="B2760" t="str">
            <v>쿠 훌린의 아머_여성용</v>
          </cell>
        </row>
        <row r="2761">
          <cell r="A2761">
            <v>22226032</v>
          </cell>
          <cell r="B2761" t="str">
            <v>네로 디아볼로_여성용</v>
          </cell>
        </row>
        <row r="2762">
          <cell r="A2762">
            <v>22226036</v>
          </cell>
          <cell r="B2762" t="str">
            <v>야른삭사의 아머_여성용</v>
          </cell>
        </row>
        <row r="2763">
          <cell r="A2763">
            <v>22235002</v>
          </cell>
          <cell r="B2763" t="str">
            <v>융복 개갑_여성용</v>
          </cell>
        </row>
        <row r="2764">
          <cell r="A2764">
            <v>22235004</v>
          </cell>
          <cell r="B2764" t="str">
            <v>검호의 진우직_여성용</v>
          </cell>
        </row>
        <row r="2765">
          <cell r="A2765">
            <v>22235006</v>
          </cell>
          <cell r="B2765" t="str">
            <v>콘도티에로의 아르마투라_여성용</v>
          </cell>
        </row>
        <row r="2766">
          <cell r="A2766">
            <v>22235008</v>
          </cell>
          <cell r="B2766" t="str">
            <v>참회왕의 로브_여성용</v>
          </cell>
        </row>
        <row r="2767">
          <cell r="A2767">
            <v>22235012</v>
          </cell>
          <cell r="B2767" t="str">
            <v>베이릭의 히르카_여성용</v>
          </cell>
        </row>
        <row r="2768">
          <cell r="A2768">
            <v>22235014</v>
          </cell>
          <cell r="B2768" t="str">
            <v>후사르 돌먼_여성용</v>
          </cell>
        </row>
        <row r="2769">
          <cell r="A2769">
            <v>22235018</v>
          </cell>
          <cell r="B2769" t="str">
            <v>내금위장의 융복_여성용</v>
          </cell>
        </row>
        <row r="2770">
          <cell r="A2770">
            <v>22235020</v>
          </cell>
          <cell r="B2770" t="str">
            <v>아킬레우스의 갑옷_여성용</v>
          </cell>
        </row>
        <row r="2771">
          <cell r="A2771">
            <v>22235022</v>
          </cell>
          <cell r="B2771" t="str">
            <v>신기영장_여성용</v>
          </cell>
        </row>
        <row r="2772">
          <cell r="A2772">
            <v>22235024</v>
          </cell>
          <cell r="B2772" t="str">
            <v>틀링기트 아머_여성용</v>
          </cell>
        </row>
        <row r="2773">
          <cell r="A2773">
            <v>22235028</v>
          </cell>
          <cell r="B2773" t="str">
            <v>노블레스 아머_여성용</v>
          </cell>
        </row>
        <row r="2774">
          <cell r="A2774">
            <v>22235030</v>
          </cell>
          <cell r="B2774" t="str">
            <v>타키티무 아머_여성용</v>
          </cell>
        </row>
        <row r="2775">
          <cell r="A2775">
            <v>22235036</v>
          </cell>
          <cell r="B2775" t="str">
            <v>느치엔게의 능고_여성용</v>
          </cell>
        </row>
        <row r="2776">
          <cell r="A2776">
            <v>22235040</v>
          </cell>
          <cell r="B2776" t="str">
            <v>비장군의 위복_여성용</v>
          </cell>
        </row>
        <row r="2777">
          <cell r="A2777">
            <v>22235044</v>
          </cell>
          <cell r="B2777" t="str">
            <v>로빈 후드의 튜닉_여성용</v>
          </cell>
        </row>
        <row r="2778">
          <cell r="A2778">
            <v>22236002</v>
          </cell>
          <cell r="B2778" t="str">
            <v>오군의 이하모라_여성용</v>
          </cell>
        </row>
        <row r="2779">
          <cell r="A2779">
            <v>22236004</v>
          </cell>
          <cell r="B2779" t="str">
            <v>닌귀시지다의 로브_여성용</v>
          </cell>
        </row>
        <row r="2780">
          <cell r="A2780">
            <v>22236006</v>
          </cell>
          <cell r="B2780" t="str">
            <v>레오나르도의 아머_여성용</v>
          </cell>
        </row>
        <row r="2781">
          <cell r="A2781">
            <v>22236008</v>
          </cell>
          <cell r="B2781" t="str">
            <v>라술룰라 주바_여성용</v>
          </cell>
        </row>
        <row r="2782">
          <cell r="A2782">
            <v>22236010</v>
          </cell>
          <cell r="B2782" t="str">
            <v>두석린갑1_여성용</v>
          </cell>
        </row>
        <row r="2783">
          <cell r="A2783">
            <v>22236012</v>
          </cell>
          <cell r="B2783" t="str">
            <v>마레샬 베스트_여성용</v>
          </cell>
        </row>
        <row r="2784">
          <cell r="A2784">
            <v>22236014</v>
          </cell>
          <cell r="B2784" t="str">
            <v>니자므 제디드의 자마_여성용</v>
          </cell>
        </row>
        <row r="2785">
          <cell r="A2785">
            <v>22236016</v>
          </cell>
          <cell r="B2785" t="str">
            <v>대월 황제의 용포_여성용</v>
          </cell>
        </row>
        <row r="2786">
          <cell r="A2786">
            <v>22236020</v>
          </cell>
          <cell r="B2786" t="str">
            <v>데르비쇼 바가라 아머_여성용</v>
          </cell>
        </row>
        <row r="2787">
          <cell r="A2787">
            <v>22236022</v>
          </cell>
          <cell r="B2787" t="str">
            <v>드라군 아머_여성용</v>
          </cell>
        </row>
        <row r="2788">
          <cell r="A2788">
            <v>22236024</v>
          </cell>
          <cell r="B2788" t="str">
            <v>카라키아 타투아 코타라_여성용</v>
          </cell>
        </row>
        <row r="2789">
          <cell r="A2789">
            <v>22236026</v>
          </cell>
          <cell r="B2789" t="str">
            <v>인티 야콜라_여성용</v>
          </cell>
        </row>
        <row r="2790">
          <cell r="A2790">
            <v>22236028</v>
          </cell>
          <cell r="B2790" t="str">
            <v>비라코챠의 아머_여성용</v>
          </cell>
        </row>
        <row r="2791">
          <cell r="A2791">
            <v>22236030</v>
          </cell>
          <cell r="B2791" t="str">
            <v>파라오의 아머_여성용</v>
          </cell>
        </row>
        <row r="2792">
          <cell r="A2792">
            <v>22236034</v>
          </cell>
          <cell r="B2792" t="str">
            <v>군신의 갑옷_여성용</v>
          </cell>
        </row>
        <row r="2793">
          <cell r="A2793">
            <v>22236036</v>
          </cell>
          <cell r="B2793" t="str">
            <v>팔괘자수선의_여성용</v>
          </cell>
        </row>
        <row r="2794">
          <cell r="A2794">
            <v>22236038</v>
          </cell>
          <cell r="B2794" t="str">
            <v>에인헤리 아머_여성용</v>
          </cell>
        </row>
        <row r="2795">
          <cell r="A2795">
            <v>22236040</v>
          </cell>
          <cell r="B2795" t="str">
            <v>예모자의 이하모라_여성용</v>
          </cell>
        </row>
        <row r="2796">
          <cell r="A2796">
            <v>22236044</v>
          </cell>
          <cell r="B2796" t="str">
            <v>히르카이 세리프_여성용</v>
          </cell>
        </row>
        <row r="2797">
          <cell r="A2797">
            <v>22245002</v>
          </cell>
          <cell r="B2797" t="str">
            <v>욤스바이킹 아머_여성용</v>
          </cell>
        </row>
        <row r="2798">
          <cell r="A2798">
            <v>22245004</v>
          </cell>
          <cell r="B2798" t="str">
            <v>엘레멘탈 로브_여성용</v>
          </cell>
        </row>
        <row r="2799">
          <cell r="A2799">
            <v>22245006</v>
          </cell>
          <cell r="B2799" t="str">
            <v>금상화호복_여성용</v>
          </cell>
        </row>
        <row r="2800">
          <cell r="A2800">
            <v>22245008</v>
          </cell>
          <cell r="B2800" t="str">
            <v>로얄 플레이트 아머_여성용</v>
          </cell>
        </row>
        <row r="2801">
          <cell r="A2801">
            <v>22245012</v>
          </cell>
          <cell r="B2801" t="str">
            <v>황금산문갑_여성용</v>
          </cell>
        </row>
        <row r="2802">
          <cell r="A2802">
            <v>22245016</v>
          </cell>
          <cell r="B2802" t="str">
            <v>바르바로사의 히르카_여성용</v>
          </cell>
        </row>
        <row r="2803">
          <cell r="A2803">
            <v>22245018</v>
          </cell>
          <cell r="B2803" t="str">
            <v>무흐테솀 체베_여성용</v>
          </cell>
        </row>
        <row r="2804">
          <cell r="A2804">
            <v>22245020</v>
          </cell>
          <cell r="B2804" t="str">
            <v>리노토락스_여성용</v>
          </cell>
        </row>
        <row r="2805">
          <cell r="A2805">
            <v>22245022</v>
          </cell>
          <cell r="B2805" t="str">
            <v>파우와 튜닉_여성용</v>
          </cell>
        </row>
        <row r="2806">
          <cell r="A2806">
            <v>22245024</v>
          </cell>
          <cell r="B2806" t="str">
            <v>사쐬르 아르뮈르_여성용</v>
          </cell>
        </row>
        <row r="2807">
          <cell r="A2807">
            <v>22245028</v>
          </cell>
          <cell r="B2807" t="str">
            <v>무법자의 코트_여성용</v>
          </cell>
        </row>
        <row r="2808">
          <cell r="A2808">
            <v>22245034</v>
          </cell>
          <cell r="B2808" t="str">
            <v>이마지겐족의 질라바_여성용</v>
          </cell>
        </row>
        <row r="2809">
          <cell r="A2809">
            <v>22246002</v>
          </cell>
          <cell r="B2809" t="str">
            <v>가루다 카바치_여성용</v>
          </cell>
        </row>
        <row r="2810">
          <cell r="A2810">
            <v>22246004</v>
          </cell>
          <cell r="B2810" t="str">
            <v>옥산진인 보의_여성용</v>
          </cell>
        </row>
        <row r="2811">
          <cell r="A2811">
            <v>22246006</v>
          </cell>
          <cell r="B2811" t="str">
            <v>팔지오 낭인복_여성용</v>
          </cell>
        </row>
        <row r="2812">
          <cell r="A2812">
            <v>22246008</v>
          </cell>
          <cell r="B2812" t="str">
            <v>미다스의 파노피아_여성용</v>
          </cell>
        </row>
        <row r="2813">
          <cell r="A2813">
            <v>22246010</v>
          </cell>
          <cell r="B2813" t="str">
            <v>라바나의 카바치_여성용</v>
          </cell>
        </row>
        <row r="2814">
          <cell r="A2814">
            <v>22246012</v>
          </cell>
          <cell r="B2814" t="str">
            <v>살라딘의 즈르흐_여성용</v>
          </cell>
        </row>
        <row r="2815">
          <cell r="A2815">
            <v>22246014</v>
          </cell>
          <cell r="B2815" t="str">
            <v>쿠나슨 파투그_여성용</v>
          </cell>
        </row>
        <row r="2816">
          <cell r="A2816">
            <v>22246016</v>
          </cell>
          <cell r="B2816" t="str">
            <v>라마찬드라의 카바치_여성용</v>
          </cell>
        </row>
        <row r="2817">
          <cell r="A2817">
            <v>22246018</v>
          </cell>
          <cell r="B2817" t="str">
            <v>아머 오브 레갈리아_여성용</v>
          </cell>
        </row>
        <row r="2818">
          <cell r="A2818">
            <v>22246022</v>
          </cell>
          <cell r="B2818" t="str">
            <v>바루나의 카파다_여성용</v>
          </cell>
        </row>
        <row r="2819">
          <cell r="A2819">
            <v>22246024</v>
          </cell>
          <cell r="B2819" t="str">
            <v>게오르기우스의 아머_여성용</v>
          </cell>
        </row>
        <row r="2820">
          <cell r="A2820">
            <v>22246026</v>
          </cell>
          <cell r="B2820" t="str">
            <v>나바카이의 아머_여성용</v>
          </cell>
        </row>
        <row r="2821">
          <cell r="A2821">
            <v>22246030</v>
          </cell>
          <cell r="B2821" t="str">
            <v>자비단의 제레_여성용</v>
          </cell>
        </row>
        <row r="2822">
          <cell r="A2822">
            <v>22246032</v>
          </cell>
          <cell r="B2822" t="str">
            <v>바쿠나와 뗄라_여성용</v>
          </cell>
        </row>
        <row r="2823">
          <cell r="A2823">
            <v>22246034</v>
          </cell>
          <cell r="B2823" t="str">
            <v>포세이돈의 아머_여성용</v>
          </cell>
        </row>
        <row r="2824">
          <cell r="A2824">
            <v>22325002</v>
          </cell>
          <cell r="B2824" t="str">
            <v>망령 제독의 트라이콘_여성용</v>
          </cell>
        </row>
        <row r="2825">
          <cell r="A2825">
            <v>22325004</v>
          </cell>
          <cell r="B2825" t="str">
            <v>갑사죽립_여성용</v>
          </cell>
        </row>
        <row r="2826">
          <cell r="A2826">
            <v>22325008</v>
          </cell>
          <cell r="B2826" t="str">
            <v>카르나의 쉬르스트란_여성용</v>
          </cell>
        </row>
        <row r="2827">
          <cell r="A2827">
            <v>22325012</v>
          </cell>
          <cell r="B2827" t="str">
            <v>베어스킨_여성용</v>
          </cell>
        </row>
        <row r="2828">
          <cell r="A2828">
            <v>22325014</v>
          </cell>
          <cell r="B2828" t="str">
            <v>몬테라_여성용</v>
          </cell>
        </row>
        <row r="2829">
          <cell r="A2829">
            <v>22325016</v>
          </cell>
          <cell r="B2829" t="str">
            <v>라마 수카라의 토미_여성용</v>
          </cell>
        </row>
        <row r="2830">
          <cell r="A2830">
            <v>22325018</v>
          </cell>
          <cell r="B2830" t="str">
            <v>홀리 플레이트 헬름_여성용</v>
          </cell>
        </row>
        <row r="2831">
          <cell r="A2831">
            <v>22325020</v>
          </cell>
          <cell r="B2831" t="str">
            <v>검은 수염의 트라이콘_여성용</v>
          </cell>
        </row>
        <row r="2832">
          <cell r="A2832">
            <v>22325022</v>
          </cell>
          <cell r="B2832" t="str">
            <v>금의사모_여성용</v>
          </cell>
        </row>
        <row r="2833">
          <cell r="A2833">
            <v>22325024</v>
          </cell>
          <cell r="B2833" t="str">
            <v>마르크스브뤼더의 후트_여성용</v>
          </cell>
        </row>
        <row r="2834">
          <cell r="A2834">
            <v>22325026</v>
          </cell>
          <cell r="B2834" t="str">
            <v>성기사의 투구_여성용</v>
          </cell>
        </row>
        <row r="2835">
          <cell r="A2835">
            <v>22325028</v>
          </cell>
          <cell r="B2835" t="str">
            <v>인드라지트의 반다나_여성용</v>
          </cell>
        </row>
        <row r="2836">
          <cell r="A2836">
            <v>22325030</v>
          </cell>
          <cell r="B2836" t="str">
            <v>레타리우스의 헬름_여성용</v>
          </cell>
        </row>
        <row r="2837">
          <cell r="A2837">
            <v>22325032</v>
          </cell>
          <cell r="B2837" t="str">
            <v>하이레딘의 카바치_여성용</v>
          </cell>
        </row>
        <row r="2838">
          <cell r="A2838">
            <v>22325034</v>
          </cell>
          <cell r="B2838" t="str">
            <v>엘 드라케 헬름_여성용</v>
          </cell>
        </row>
        <row r="2839">
          <cell r="A2839">
            <v>22325036</v>
          </cell>
          <cell r="B2839" t="str">
            <v>보야르의 실렘_여성용</v>
          </cell>
        </row>
        <row r="2840">
          <cell r="A2840">
            <v>22326002</v>
          </cell>
          <cell r="B2840" t="str">
            <v>나타라자의 만달라_여성용</v>
          </cell>
        </row>
        <row r="2841">
          <cell r="A2841">
            <v>22326004</v>
          </cell>
          <cell r="B2841" t="str">
            <v>아하디스의 쉬르스트란_여성용</v>
          </cell>
        </row>
        <row r="2842">
          <cell r="A2842">
            <v>22326006</v>
          </cell>
          <cell r="B2842" t="str">
            <v>우이칠린 콰칼라래틀리_여성용</v>
          </cell>
        </row>
        <row r="2843">
          <cell r="A2843">
            <v>22326008</v>
          </cell>
          <cell r="B2843" t="str">
            <v>페르디난트 2세의 아멧_여성용</v>
          </cell>
        </row>
        <row r="2844">
          <cell r="A2844">
            <v>22326010</v>
          </cell>
          <cell r="B2844" t="str">
            <v>제육천마왕두_여성용</v>
          </cell>
        </row>
        <row r="2845">
          <cell r="A2845">
            <v>22326012</v>
          </cell>
          <cell r="B2845" t="str">
            <v>토피 바자_여성용</v>
          </cell>
        </row>
        <row r="2846">
          <cell r="A2846">
            <v>22326014</v>
          </cell>
          <cell r="B2846" t="str">
            <v>벨레스의 디아데마_여성용</v>
          </cell>
        </row>
        <row r="2847">
          <cell r="A2847">
            <v>22326016</v>
          </cell>
          <cell r="B2847" t="str">
            <v>라지푸트 파그리_여성용</v>
          </cell>
        </row>
        <row r="2848">
          <cell r="A2848">
            <v>22326018</v>
          </cell>
          <cell r="B2848" t="str">
            <v>롤랑의 카스크_여성용</v>
          </cell>
        </row>
        <row r="2849">
          <cell r="A2849">
            <v>22326020</v>
          </cell>
          <cell r="B2849" t="str">
            <v>임페리얼 헬름_여성용</v>
          </cell>
        </row>
        <row r="2850">
          <cell r="A2850">
            <v>22326024</v>
          </cell>
          <cell r="B2850" t="str">
            <v>모드레드의 헬름_여성용</v>
          </cell>
        </row>
        <row r="2851">
          <cell r="A2851">
            <v>22326026</v>
          </cell>
          <cell r="B2851" t="str">
            <v>골든 드래곤 헬름_여성용</v>
          </cell>
        </row>
        <row r="2852">
          <cell r="A2852">
            <v>22326028</v>
          </cell>
          <cell r="B2852" t="str">
            <v>어우락 몽꾹_여성용</v>
          </cell>
        </row>
        <row r="2853">
          <cell r="A2853">
            <v>22326030</v>
          </cell>
          <cell r="B2853" t="str">
            <v>쿠 훌린의 헬름_여성용</v>
          </cell>
        </row>
        <row r="2854">
          <cell r="A2854">
            <v>22326032</v>
          </cell>
          <cell r="B2854" t="str">
            <v>코르노 델디아볼로_여성용</v>
          </cell>
        </row>
        <row r="2855">
          <cell r="A2855">
            <v>22326034</v>
          </cell>
          <cell r="B2855" t="str">
            <v>네메안 라이언_여성용</v>
          </cell>
        </row>
        <row r="2856">
          <cell r="A2856">
            <v>22326036</v>
          </cell>
          <cell r="B2856" t="str">
            <v>야른삭사의 헬름_여성용</v>
          </cell>
        </row>
        <row r="2857">
          <cell r="A2857">
            <v>22335002</v>
          </cell>
          <cell r="B2857" t="str">
            <v>융복복건_여성용</v>
          </cell>
        </row>
        <row r="2858">
          <cell r="A2858">
            <v>22335004</v>
          </cell>
          <cell r="B2858" t="str">
            <v>검호의 심편립_여성용</v>
          </cell>
        </row>
        <row r="2859">
          <cell r="A2859">
            <v>22335006</v>
          </cell>
          <cell r="B2859" t="str">
            <v>콘도티에로의 엘모_여성용</v>
          </cell>
        </row>
        <row r="2860">
          <cell r="A2860">
            <v>22335008</v>
          </cell>
          <cell r="B2860" t="str">
            <v>참회왕의 크라운_여성용</v>
          </cell>
        </row>
        <row r="2861">
          <cell r="A2861">
            <v>22335012</v>
          </cell>
          <cell r="B2861" t="str">
            <v>베이릭의 보크_여성용</v>
          </cell>
        </row>
        <row r="2862">
          <cell r="A2862">
            <v>22335014</v>
          </cell>
          <cell r="B2862" t="str">
            <v>후사르의 샤코_여성용</v>
          </cell>
        </row>
        <row r="2863">
          <cell r="A2863">
            <v>22335016</v>
          </cell>
          <cell r="B2863" t="str">
            <v>바니르 서클릿_여성용</v>
          </cell>
        </row>
        <row r="2864">
          <cell r="A2864">
            <v>22335018</v>
          </cell>
          <cell r="B2864" t="str">
            <v>내금위장의 주립_여성용</v>
          </cell>
        </row>
        <row r="2865">
          <cell r="A2865">
            <v>22335020</v>
          </cell>
          <cell r="B2865" t="str">
            <v>아킬레우스의 투구_여성용</v>
          </cell>
        </row>
        <row r="2866">
          <cell r="A2866">
            <v>22335022</v>
          </cell>
          <cell r="B2866" t="str">
            <v>신기영철모_여성용</v>
          </cell>
        </row>
        <row r="2867">
          <cell r="A2867">
            <v>22335024</v>
          </cell>
          <cell r="B2867" t="str">
            <v>틀링기트 헬름_여성용</v>
          </cell>
        </row>
        <row r="2868">
          <cell r="A2868">
            <v>22335026</v>
          </cell>
          <cell r="B2868" t="str">
            <v>난발두_여성용</v>
          </cell>
        </row>
        <row r="2869">
          <cell r="A2869">
            <v>22335028</v>
          </cell>
          <cell r="B2869" t="str">
            <v>노블레스 헬름_여성용</v>
          </cell>
        </row>
        <row r="2870">
          <cell r="A2870">
            <v>22335030</v>
          </cell>
          <cell r="B2870" t="str">
            <v>타키티무 마스크_여성용</v>
          </cell>
        </row>
        <row r="2871">
          <cell r="A2871">
            <v>22335034</v>
          </cell>
          <cell r="B2871" t="str">
            <v>봉황문두무_여성용</v>
          </cell>
        </row>
        <row r="2872">
          <cell r="A2872">
            <v>22335036</v>
          </cell>
          <cell r="B2872" t="str">
            <v>음봄보의 선물_여성용</v>
          </cell>
        </row>
        <row r="2873">
          <cell r="A2873">
            <v>22335040</v>
          </cell>
          <cell r="B2873" t="str">
            <v>비장군의 결건_여성용</v>
          </cell>
        </row>
        <row r="2874">
          <cell r="A2874">
            <v>22336002</v>
          </cell>
          <cell r="B2874" t="str">
            <v>오군의 이보리_여성용</v>
          </cell>
        </row>
        <row r="2875">
          <cell r="A2875">
            <v>22336004</v>
          </cell>
          <cell r="B2875" t="str">
            <v>아시리아 미트라_여성용</v>
          </cell>
        </row>
        <row r="2876">
          <cell r="A2876">
            <v>22336006</v>
          </cell>
          <cell r="B2876" t="str">
            <v>레오나르도의 헬름_여성용</v>
          </cell>
        </row>
        <row r="2877">
          <cell r="A2877">
            <v>22336008</v>
          </cell>
          <cell r="B2877" t="str">
            <v>라술룰라의 터번_여성용</v>
          </cell>
        </row>
        <row r="2878">
          <cell r="A2878">
            <v>22336010</v>
          </cell>
          <cell r="B2878" t="str">
            <v>용봉문투구_여성용</v>
          </cell>
        </row>
        <row r="2879">
          <cell r="A2879">
            <v>22336012</v>
          </cell>
          <cell r="B2879" t="str">
            <v>마레샬의 바이콘_여성용</v>
          </cell>
        </row>
        <row r="2880">
          <cell r="A2880">
            <v>22336014</v>
          </cell>
          <cell r="B2880" t="str">
            <v>니자므 제디드의 터번_여성용</v>
          </cell>
        </row>
        <row r="2881">
          <cell r="A2881">
            <v>22336016</v>
          </cell>
          <cell r="B2881" t="str">
            <v>대월 황제의 익선관_여성용</v>
          </cell>
        </row>
        <row r="2882">
          <cell r="A2882">
            <v>22336020</v>
          </cell>
          <cell r="B2882" t="str">
            <v>데르비쇼 바가라 쿠우다_여성용</v>
          </cell>
        </row>
        <row r="2883">
          <cell r="A2883">
            <v>22336022</v>
          </cell>
          <cell r="B2883" t="str">
            <v>드라군 헬멧_여성용</v>
          </cell>
        </row>
        <row r="2884">
          <cell r="A2884">
            <v>22336024</v>
          </cell>
          <cell r="B2884" t="str">
            <v>카라키아 포타에_여성용</v>
          </cell>
        </row>
        <row r="2885">
          <cell r="A2885">
            <v>22336026</v>
          </cell>
          <cell r="B2885" t="str">
            <v>인티 라우투_여성용</v>
          </cell>
        </row>
        <row r="2886">
          <cell r="A2886">
            <v>22336028</v>
          </cell>
          <cell r="B2886" t="str">
            <v>비라코챠의 추쿠_여성용</v>
          </cell>
        </row>
        <row r="2887">
          <cell r="A2887">
            <v>22336030</v>
          </cell>
          <cell r="B2887" t="str">
            <v>투탕카멘의 마스크_여성용</v>
          </cell>
        </row>
        <row r="2888">
          <cell r="A2888">
            <v>22336032</v>
          </cell>
          <cell r="B2888" t="str">
            <v>데가나위다의 구스토웨_여성용</v>
          </cell>
        </row>
        <row r="2889">
          <cell r="A2889">
            <v>22336034</v>
          </cell>
          <cell r="B2889" t="str">
            <v>군신두무_여성용</v>
          </cell>
        </row>
        <row r="2890">
          <cell r="A2890">
            <v>22336036</v>
          </cell>
          <cell r="B2890" t="str">
            <v>팔괘자수선건_여성용</v>
          </cell>
        </row>
        <row r="2891">
          <cell r="A2891">
            <v>22336040</v>
          </cell>
          <cell r="B2891" t="str">
            <v>예모자의 이데리_여성용</v>
          </cell>
        </row>
        <row r="2892">
          <cell r="A2892">
            <v>22336044</v>
          </cell>
          <cell r="B2892" t="str">
            <v>시아 터번_여성용</v>
          </cell>
        </row>
        <row r="2893">
          <cell r="A2893">
            <v>22344044</v>
          </cell>
          <cell r="B2893" t="str">
            <v>로빈 후드의 바이코켓_여성용</v>
          </cell>
        </row>
        <row r="2894">
          <cell r="A2894">
            <v>22345002</v>
          </cell>
          <cell r="B2894" t="str">
            <v>욤스바이킹 헬름_여성용</v>
          </cell>
        </row>
        <row r="2895">
          <cell r="A2895">
            <v>22345004</v>
          </cell>
          <cell r="B2895" t="str">
            <v>엘리멘탈 후드_여성용</v>
          </cell>
        </row>
        <row r="2896">
          <cell r="A2896">
            <v>22345006</v>
          </cell>
          <cell r="B2896" t="str">
            <v>금상화복건_여성용</v>
          </cell>
        </row>
        <row r="2897">
          <cell r="A2897">
            <v>22345008</v>
          </cell>
          <cell r="B2897" t="str">
            <v>로얄 플레이트 헬름_여성용</v>
          </cell>
        </row>
        <row r="2898">
          <cell r="A2898">
            <v>22345012</v>
          </cell>
          <cell r="B2898" t="str">
            <v>조조의 금관_여성용</v>
          </cell>
        </row>
        <row r="2899">
          <cell r="A2899">
            <v>22345016</v>
          </cell>
          <cell r="B2899" t="str">
            <v>바르바로사의 터번_여성용</v>
          </cell>
        </row>
        <row r="2900">
          <cell r="A2900">
            <v>22345018</v>
          </cell>
          <cell r="B2900" t="str">
            <v>무흐테솀 터번_여성용</v>
          </cell>
        </row>
        <row r="2901">
          <cell r="A2901">
            <v>22345020</v>
          </cell>
          <cell r="B2901" t="str">
            <v>로럴 리스_여성용</v>
          </cell>
        </row>
        <row r="2902">
          <cell r="A2902">
            <v>22345022</v>
          </cell>
          <cell r="B2902" t="str">
            <v>워 보닛_여성용</v>
          </cell>
        </row>
        <row r="2903">
          <cell r="A2903">
            <v>22345024</v>
          </cell>
          <cell r="B2903" t="str">
            <v>시쐬르 카스크_여성용</v>
          </cell>
        </row>
        <row r="2904">
          <cell r="A2904">
            <v>22345026</v>
          </cell>
          <cell r="B2904" t="str">
            <v>키리바시 헬름_여성용</v>
          </cell>
        </row>
        <row r="2905">
          <cell r="A2905">
            <v>22345028</v>
          </cell>
          <cell r="B2905" t="str">
            <v>해적 선장의 바이콘_여성용</v>
          </cell>
        </row>
        <row r="2906">
          <cell r="A2906">
            <v>22345030</v>
          </cell>
          <cell r="B2906" t="str">
            <v>우마 추쿠_여성용</v>
          </cell>
        </row>
        <row r="2907">
          <cell r="A2907">
            <v>22345034</v>
          </cell>
          <cell r="B2907" t="str">
            <v>이마지겐족의 알라쇼_여성용</v>
          </cell>
        </row>
        <row r="2908">
          <cell r="A2908">
            <v>22345036</v>
          </cell>
          <cell r="B2908" t="str">
            <v>파디샤의 터번_여성용</v>
          </cell>
        </row>
        <row r="2909">
          <cell r="A2909">
            <v>22346002</v>
          </cell>
          <cell r="B2909" t="str">
            <v>가루다 톱_여성용</v>
          </cell>
        </row>
        <row r="2910">
          <cell r="A2910">
            <v>22346004</v>
          </cell>
          <cell r="B2910" t="str">
            <v>옥산진인 법보_여성용</v>
          </cell>
        </row>
        <row r="2911">
          <cell r="A2911">
            <v>22346006</v>
          </cell>
          <cell r="B2911" t="str">
            <v>야타가라스 일문자립_여성용</v>
          </cell>
        </row>
        <row r="2912">
          <cell r="A2912">
            <v>22346008</v>
          </cell>
          <cell r="B2912" t="str">
            <v>미다스왕의 크라노스_여성용</v>
          </cell>
        </row>
        <row r="2913">
          <cell r="A2913">
            <v>22346010</v>
          </cell>
          <cell r="B2913" t="str">
            <v>라바나 무쿼다_여성용</v>
          </cell>
        </row>
        <row r="2914">
          <cell r="A2914">
            <v>22346012</v>
          </cell>
          <cell r="B2914" t="str">
            <v>살라딘의 터번 카스크_여성용</v>
          </cell>
        </row>
        <row r="2915">
          <cell r="A2915">
            <v>22346014</v>
          </cell>
          <cell r="B2915" t="str">
            <v>쿠나슨 퀴나온_여성용</v>
          </cell>
        </row>
        <row r="2916">
          <cell r="A2916">
            <v>22346016</v>
          </cell>
          <cell r="B2916" t="str">
            <v>라마찬드라의 타즈_여성용</v>
          </cell>
        </row>
        <row r="2917">
          <cell r="A2917">
            <v>22346018</v>
          </cell>
          <cell r="B2917" t="str">
            <v>크라운 오브 레갈리아_여성용</v>
          </cell>
        </row>
        <row r="2918">
          <cell r="A2918">
            <v>22346022</v>
          </cell>
          <cell r="B2918" t="str">
            <v>바루나의 타즈_여성용</v>
          </cell>
        </row>
        <row r="2919">
          <cell r="A2919">
            <v>22346024</v>
          </cell>
          <cell r="B2919" t="str">
            <v>게오르기우스의 헬름_여성용</v>
          </cell>
        </row>
        <row r="2920">
          <cell r="A2920">
            <v>22346026</v>
          </cell>
          <cell r="B2920" t="str">
            <v>나바카이 헬름_여성용</v>
          </cell>
        </row>
        <row r="2921">
          <cell r="A2921">
            <v>22346028</v>
          </cell>
          <cell r="B2921" t="str">
            <v>아라미스의 샤포_여성용</v>
          </cell>
        </row>
        <row r="2922">
          <cell r="A2922">
            <v>22346030</v>
          </cell>
          <cell r="B2922" t="str">
            <v>자비단의 쿨라 쿠드_여성용</v>
          </cell>
        </row>
        <row r="2923">
          <cell r="A2923">
            <v>22346032</v>
          </cell>
          <cell r="B2923" t="str">
            <v>바쿠나와 무카_여성용</v>
          </cell>
        </row>
        <row r="2924">
          <cell r="A2924">
            <v>22346034</v>
          </cell>
          <cell r="B2924" t="str">
            <v>포세이돈의 크라운_여성용</v>
          </cell>
        </row>
        <row r="2925">
          <cell r="A2925">
            <v>22346036</v>
          </cell>
          <cell r="B2925" t="str">
            <v>메두사의 벨로_여성용</v>
          </cell>
        </row>
        <row r="2926">
          <cell r="A2926">
            <v>22353005</v>
          </cell>
          <cell r="B2926" t="str">
            <v>왕수신의 모자</v>
          </cell>
        </row>
        <row r="2927">
          <cell r="A2927">
            <v>22800001</v>
          </cell>
          <cell r="B2927" t="str">
            <v>#조안의 류트_공용</v>
          </cell>
        </row>
        <row r="2928">
          <cell r="A2928">
            <v>22299001</v>
          </cell>
          <cell r="B2928" t="str">
            <v>30티어 무기_포격</v>
          </cell>
        </row>
        <row r="2929">
          <cell r="A2929">
            <v>22299002</v>
          </cell>
          <cell r="B2929" t="str">
            <v>30티어 몸_포격</v>
          </cell>
        </row>
        <row r="2930">
          <cell r="A2930">
            <v>22299003</v>
          </cell>
          <cell r="B2930" t="str">
            <v>30티어 머리_포격</v>
          </cell>
        </row>
        <row r="2931">
          <cell r="A2931">
            <v>22299004</v>
          </cell>
          <cell r="B2931" t="str">
            <v>30티어 장신구_포격_0</v>
          </cell>
        </row>
        <row r="2932">
          <cell r="A2932">
            <v>22299005</v>
          </cell>
          <cell r="B2932" t="str">
            <v>30티어 무기_백병</v>
          </cell>
        </row>
        <row r="2933">
          <cell r="A2933">
            <v>22299006</v>
          </cell>
          <cell r="B2933" t="str">
            <v>30티어 몸_백병</v>
          </cell>
        </row>
        <row r="2934">
          <cell r="A2934">
            <v>22299007</v>
          </cell>
          <cell r="B2934" t="str">
            <v>30티어 머리_백병</v>
          </cell>
        </row>
        <row r="2935">
          <cell r="A2935">
            <v>22299008</v>
          </cell>
          <cell r="B2935" t="str">
            <v>30티어 장신구_백병_0</v>
          </cell>
        </row>
        <row r="2936">
          <cell r="A2936">
            <v>22299009</v>
          </cell>
          <cell r="B2936" t="str">
            <v>30티어 무기_충파</v>
          </cell>
        </row>
        <row r="2937">
          <cell r="A2937">
            <v>22299010</v>
          </cell>
          <cell r="B2937" t="str">
            <v>30티어 몸_충파</v>
          </cell>
        </row>
        <row r="2938">
          <cell r="A2938">
            <v>22299011</v>
          </cell>
          <cell r="B2938" t="str">
            <v>30티어 머리_충파</v>
          </cell>
        </row>
        <row r="2939">
          <cell r="A2939">
            <v>22299012</v>
          </cell>
          <cell r="B2939" t="str">
            <v>30티어 장신구_충파_0</v>
          </cell>
        </row>
        <row r="2940">
          <cell r="A2940">
            <v>22299013</v>
          </cell>
          <cell r="B2940" t="str">
            <v>25티어 무기_포격</v>
          </cell>
        </row>
        <row r="2941">
          <cell r="A2941">
            <v>22299014</v>
          </cell>
          <cell r="B2941" t="str">
            <v>25티어 몸_포격</v>
          </cell>
        </row>
        <row r="2942">
          <cell r="A2942">
            <v>22299015</v>
          </cell>
          <cell r="B2942" t="str">
            <v>25티어 머리_포격</v>
          </cell>
        </row>
        <row r="2943">
          <cell r="A2943">
            <v>22299016</v>
          </cell>
          <cell r="B2943" t="str">
            <v>25티어 장신구_포격_0</v>
          </cell>
        </row>
        <row r="2944">
          <cell r="A2944">
            <v>22299017</v>
          </cell>
          <cell r="B2944" t="str">
            <v>25티어 무기_백병</v>
          </cell>
        </row>
        <row r="2945">
          <cell r="A2945">
            <v>22299018</v>
          </cell>
          <cell r="B2945" t="str">
            <v>25티어 몸_백병</v>
          </cell>
        </row>
        <row r="2946">
          <cell r="A2946">
            <v>22299019</v>
          </cell>
          <cell r="B2946" t="str">
            <v>25티어 머리_백병</v>
          </cell>
        </row>
        <row r="2947">
          <cell r="A2947">
            <v>22299020</v>
          </cell>
          <cell r="B2947" t="str">
            <v>25티어 장신구_백병_0</v>
          </cell>
        </row>
        <row r="2948">
          <cell r="A2948">
            <v>22299021</v>
          </cell>
          <cell r="B2948" t="str">
            <v>25티어 무기_충파</v>
          </cell>
        </row>
        <row r="2949">
          <cell r="A2949">
            <v>22299022</v>
          </cell>
          <cell r="B2949" t="str">
            <v>25티어 몸_충파</v>
          </cell>
        </row>
        <row r="2950">
          <cell r="A2950">
            <v>22299023</v>
          </cell>
          <cell r="B2950" t="str">
            <v>25티어 머리_충파</v>
          </cell>
        </row>
        <row r="2951">
          <cell r="A2951">
            <v>22299024</v>
          </cell>
          <cell r="B2951" t="str">
            <v>25티어 장신구_충파_0</v>
          </cell>
        </row>
        <row r="2952">
          <cell r="A2952">
            <v>22299025</v>
          </cell>
          <cell r="B2952" t="str">
            <v>20티어 무기_포격</v>
          </cell>
        </row>
        <row r="2953">
          <cell r="A2953">
            <v>22299026</v>
          </cell>
          <cell r="B2953" t="str">
            <v>20티어 몸_포격</v>
          </cell>
        </row>
        <row r="2954">
          <cell r="A2954">
            <v>22299027</v>
          </cell>
          <cell r="B2954" t="str">
            <v>20티어 머리_포격</v>
          </cell>
        </row>
        <row r="2955">
          <cell r="A2955">
            <v>22299028</v>
          </cell>
          <cell r="B2955" t="str">
            <v>20티어 장신구_포격_0</v>
          </cell>
        </row>
        <row r="2956">
          <cell r="A2956">
            <v>22299029</v>
          </cell>
          <cell r="B2956" t="str">
            <v>20티어 무기_백병</v>
          </cell>
        </row>
        <row r="2957">
          <cell r="A2957">
            <v>22299030</v>
          </cell>
          <cell r="B2957" t="str">
            <v>20티어 몸_백병</v>
          </cell>
        </row>
        <row r="2958">
          <cell r="A2958">
            <v>22299031</v>
          </cell>
          <cell r="B2958" t="str">
            <v>20티어 머리_백병</v>
          </cell>
        </row>
        <row r="2959">
          <cell r="A2959">
            <v>22299032</v>
          </cell>
          <cell r="B2959" t="str">
            <v>20티어 장신구_백병_0</v>
          </cell>
        </row>
        <row r="2960">
          <cell r="A2960">
            <v>22299033</v>
          </cell>
          <cell r="B2960" t="str">
            <v>20티어 무기_충파</v>
          </cell>
        </row>
        <row r="2961">
          <cell r="A2961">
            <v>22299034</v>
          </cell>
          <cell r="B2961" t="str">
            <v>20티어 몸_충파</v>
          </cell>
        </row>
        <row r="2962">
          <cell r="A2962">
            <v>22299035</v>
          </cell>
          <cell r="B2962" t="str">
            <v>20티어 머리_충파</v>
          </cell>
        </row>
        <row r="2963">
          <cell r="A2963">
            <v>22299036</v>
          </cell>
          <cell r="B2963" t="str">
            <v>20티어 장신구_충파_0</v>
          </cell>
        </row>
        <row r="2964">
          <cell r="A2964">
            <v>22299037</v>
          </cell>
          <cell r="B2964" t="str">
            <v>15티어 무기_포격</v>
          </cell>
        </row>
        <row r="2965">
          <cell r="A2965">
            <v>22299038</v>
          </cell>
          <cell r="B2965" t="str">
            <v>15티어 몸_포격</v>
          </cell>
        </row>
        <row r="2966">
          <cell r="A2966">
            <v>22299039</v>
          </cell>
          <cell r="B2966" t="str">
            <v>15티어 머리_포격</v>
          </cell>
        </row>
        <row r="2967">
          <cell r="A2967">
            <v>22299040</v>
          </cell>
          <cell r="B2967" t="str">
            <v>15티어 장신구_포격_0</v>
          </cell>
        </row>
        <row r="2968">
          <cell r="A2968">
            <v>22299041</v>
          </cell>
          <cell r="B2968" t="str">
            <v>15티어 무기_백병</v>
          </cell>
        </row>
        <row r="2969">
          <cell r="A2969">
            <v>22299042</v>
          </cell>
          <cell r="B2969" t="str">
            <v>15티어 몸_백병</v>
          </cell>
        </row>
        <row r="2970">
          <cell r="A2970">
            <v>22299043</v>
          </cell>
          <cell r="B2970" t="str">
            <v>15티어 머리_백병</v>
          </cell>
        </row>
        <row r="2971">
          <cell r="A2971">
            <v>22299044</v>
          </cell>
          <cell r="B2971" t="str">
            <v>15티어 장신구_백병_0</v>
          </cell>
        </row>
        <row r="2972">
          <cell r="A2972">
            <v>22299045</v>
          </cell>
          <cell r="B2972" t="str">
            <v>15티어 무기_충파</v>
          </cell>
        </row>
        <row r="2973">
          <cell r="A2973">
            <v>22299046</v>
          </cell>
          <cell r="B2973" t="str">
            <v>15티어 몸_충파</v>
          </cell>
        </row>
        <row r="2974">
          <cell r="A2974">
            <v>22299047</v>
          </cell>
          <cell r="B2974" t="str">
            <v>15티어 머리_충파</v>
          </cell>
        </row>
        <row r="2975">
          <cell r="A2975">
            <v>22299048</v>
          </cell>
          <cell r="B2975" t="str">
            <v>15티어 장신구_충파_0</v>
          </cell>
        </row>
        <row r="2976">
          <cell r="A2976">
            <v>22299049</v>
          </cell>
          <cell r="B2976" t="str">
            <v>10티어 무기_포격</v>
          </cell>
        </row>
        <row r="2977">
          <cell r="A2977">
            <v>22299050</v>
          </cell>
          <cell r="B2977" t="str">
            <v>10티어 몸_포격</v>
          </cell>
        </row>
        <row r="2978">
          <cell r="A2978">
            <v>22299051</v>
          </cell>
          <cell r="B2978" t="str">
            <v>10티어 머리_포격</v>
          </cell>
        </row>
        <row r="2979">
          <cell r="A2979">
            <v>22299052</v>
          </cell>
          <cell r="B2979" t="str">
            <v>10티어 장신구_포격_0</v>
          </cell>
        </row>
        <row r="2980">
          <cell r="A2980">
            <v>22299053</v>
          </cell>
          <cell r="B2980" t="str">
            <v>10티어 무기_백병</v>
          </cell>
        </row>
        <row r="2981">
          <cell r="A2981">
            <v>22299054</v>
          </cell>
          <cell r="B2981" t="str">
            <v>10티어 몸_백병</v>
          </cell>
        </row>
        <row r="2982">
          <cell r="A2982">
            <v>22299055</v>
          </cell>
          <cell r="B2982" t="str">
            <v>10티어 머리_백병</v>
          </cell>
        </row>
        <row r="2983">
          <cell r="A2983">
            <v>22299056</v>
          </cell>
          <cell r="B2983" t="str">
            <v>10티어 장신구_백병_0</v>
          </cell>
        </row>
        <row r="2984">
          <cell r="A2984">
            <v>22299057</v>
          </cell>
          <cell r="B2984" t="str">
            <v>10티어 무기_충파</v>
          </cell>
        </row>
        <row r="2985">
          <cell r="A2985">
            <v>22299058</v>
          </cell>
          <cell r="B2985" t="str">
            <v>10티어 몸_충파</v>
          </cell>
        </row>
        <row r="2986">
          <cell r="A2986">
            <v>22299059</v>
          </cell>
          <cell r="B2986" t="str">
            <v>10티어 머리_충파</v>
          </cell>
        </row>
        <row r="2987">
          <cell r="A2987">
            <v>22299060</v>
          </cell>
          <cell r="B2987" t="str">
            <v>10티어 장신구_충파_0</v>
          </cell>
        </row>
        <row r="2988">
          <cell r="A2988">
            <v>22299061</v>
          </cell>
          <cell r="B2988" t="str">
            <v>5티어 무기_포격</v>
          </cell>
        </row>
        <row r="2989">
          <cell r="A2989">
            <v>22299062</v>
          </cell>
          <cell r="B2989" t="str">
            <v>5티어 몸_포격</v>
          </cell>
        </row>
        <row r="2990">
          <cell r="A2990">
            <v>22299063</v>
          </cell>
          <cell r="B2990" t="str">
            <v>5티어 머리_포격</v>
          </cell>
        </row>
        <row r="2991">
          <cell r="A2991">
            <v>22299064</v>
          </cell>
          <cell r="B2991" t="str">
            <v>5티어 장신구_포격_0</v>
          </cell>
        </row>
        <row r="2992">
          <cell r="A2992">
            <v>22299065</v>
          </cell>
          <cell r="B2992" t="str">
            <v>5티어 무기_백병</v>
          </cell>
        </row>
        <row r="2993">
          <cell r="A2993">
            <v>22299066</v>
          </cell>
          <cell r="B2993" t="str">
            <v>5티어 몸_백병</v>
          </cell>
        </row>
        <row r="2994">
          <cell r="A2994">
            <v>22299067</v>
          </cell>
          <cell r="B2994" t="str">
            <v>5티어 머리_백병</v>
          </cell>
        </row>
        <row r="2995">
          <cell r="A2995">
            <v>22299068</v>
          </cell>
          <cell r="B2995" t="str">
            <v>5티어 장신구_백병_0</v>
          </cell>
        </row>
        <row r="2996">
          <cell r="A2996">
            <v>22299069</v>
          </cell>
          <cell r="B2996" t="str">
            <v>5티어 무기_충파</v>
          </cell>
        </row>
        <row r="2997">
          <cell r="A2997">
            <v>22299070</v>
          </cell>
          <cell r="B2997" t="str">
            <v>5티어 몸_충파</v>
          </cell>
        </row>
        <row r="2998">
          <cell r="A2998">
            <v>22299071</v>
          </cell>
          <cell r="B2998" t="str">
            <v>5티어 머리_충파</v>
          </cell>
        </row>
        <row r="2999">
          <cell r="A2999">
            <v>22299072</v>
          </cell>
          <cell r="B2999" t="str">
            <v>5티어 장신구_충파_0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">
          <cell r="A1" t="str">
            <v>id</v>
          </cell>
          <cell r="C1" t="str">
            <v>name</v>
          </cell>
        </row>
        <row r="2">
          <cell r="A2" t="str">
            <v>key:70100000~70199999</v>
          </cell>
          <cell r="C2" t="str">
            <v>text</v>
          </cell>
        </row>
        <row r="3">
          <cell r="A3" t="str">
            <v>:required</v>
          </cell>
          <cell r="C3">
            <v>1</v>
          </cell>
        </row>
        <row r="4">
          <cell r="A4" t="str">
            <v>:requiredInObject</v>
          </cell>
          <cell r="C4" t="str">
            <v>-</v>
          </cell>
        </row>
        <row r="5">
          <cell r="A5" t="str">
            <v>:min</v>
          </cell>
          <cell r="C5" t="str">
            <v>-</v>
          </cell>
        </row>
        <row r="6">
          <cell r="A6" t="str">
            <v>:max</v>
          </cell>
          <cell r="C6" t="str">
            <v>-</v>
          </cell>
        </row>
        <row r="7">
          <cell r="A7" t="str">
            <v>:enum</v>
          </cell>
          <cell r="C7" t="str">
            <v>-</v>
          </cell>
        </row>
        <row r="8">
          <cell r="A8" t="str">
            <v>:asset</v>
          </cell>
          <cell r="C8" t="str">
            <v>-</v>
          </cell>
        </row>
        <row r="9">
          <cell r="A9" t="str">
            <v>:links</v>
          </cell>
          <cell r="C9" t="str">
            <v>-</v>
          </cell>
        </row>
        <row r="10">
          <cell r="A10">
            <v>70100201</v>
          </cell>
          <cell r="C10" t="str">
            <v>기본 평사포</v>
          </cell>
        </row>
        <row r="11">
          <cell r="A11">
            <v>70100202</v>
          </cell>
          <cell r="C11" t="str">
            <v>기본 곡사포</v>
          </cell>
        </row>
        <row r="12">
          <cell r="A12">
            <v>70100203</v>
          </cell>
          <cell r="C12" t="str">
            <v>기본 박격포</v>
          </cell>
        </row>
        <row r="13">
          <cell r="A13">
            <v>70100204</v>
          </cell>
          <cell r="C13" t="str">
            <v>정식 대포</v>
          </cell>
        </row>
        <row r="14">
          <cell r="A14">
            <v>70100205</v>
          </cell>
          <cell r="C14" t="str">
            <v>프랑스 캐논</v>
          </cell>
        </row>
        <row r="15">
          <cell r="A15">
            <v>70100206</v>
          </cell>
          <cell r="C15" t="str">
            <v>이시비야</v>
          </cell>
        </row>
        <row r="16">
          <cell r="A16">
            <v>70100207</v>
          </cell>
          <cell r="C16" t="str">
            <v>팔코넷</v>
          </cell>
        </row>
        <row r="17">
          <cell r="A17">
            <v>70100208</v>
          </cell>
          <cell r="C17" t="str">
            <v>연대포</v>
          </cell>
        </row>
        <row r="18">
          <cell r="A18">
            <v>70100209</v>
          </cell>
          <cell r="C18" t="str">
            <v>고급 황자총통</v>
          </cell>
        </row>
        <row r="19">
          <cell r="A19">
            <v>70100210</v>
          </cell>
          <cell r="C19" t="str">
            <v>고급 팔콘</v>
          </cell>
        </row>
        <row r="20">
          <cell r="A20">
            <v>70100211</v>
          </cell>
          <cell r="C20" t="str">
            <v>고급 홍이포</v>
          </cell>
        </row>
        <row r="21">
          <cell r="A21">
            <v>70100212</v>
          </cell>
          <cell r="C21" t="str">
            <v>고급 세이커</v>
          </cell>
        </row>
        <row r="22">
          <cell r="A22">
            <v>70100213</v>
          </cell>
          <cell r="C22" t="str">
            <v>고급 현자총통</v>
          </cell>
        </row>
        <row r="23">
          <cell r="A23">
            <v>70100214</v>
          </cell>
          <cell r="C23" t="str">
            <v>고급 컬버린</v>
          </cell>
        </row>
        <row r="24">
          <cell r="A24">
            <v>70100215</v>
          </cell>
          <cell r="C24" t="str">
            <v>고급 지자총통</v>
          </cell>
        </row>
        <row r="25">
          <cell r="A25">
            <v>70100216</v>
          </cell>
          <cell r="C25" t="str">
            <v>고급 캐논</v>
          </cell>
        </row>
        <row r="26">
          <cell r="A26">
            <v>70100217</v>
          </cell>
          <cell r="C26" t="str">
            <v>고급 천자총통</v>
          </cell>
        </row>
        <row r="27">
          <cell r="A27">
            <v>70100218</v>
          </cell>
          <cell r="C27" t="str">
            <v>고급 바실리스크</v>
          </cell>
        </row>
        <row r="28">
          <cell r="A28">
            <v>70100219</v>
          </cell>
          <cell r="C28" t="str">
            <v>변형 로비넷</v>
          </cell>
        </row>
        <row r="29">
          <cell r="A29">
            <v>70100220</v>
          </cell>
          <cell r="C29" t="str">
            <v>변형 대포</v>
          </cell>
        </row>
        <row r="30">
          <cell r="A30">
            <v>70100221</v>
          </cell>
          <cell r="C30" t="str">
            <v>화제 대포</v>
          </cell>
        </row>
        <row r="31">
          <cell r="A31">
            <v>70100222</v>
          </cell>
          <cell r="C31" t="str">
            <v>에스메릴</v>
          </cell>
        </row>
        <row r="32">
          <cell r="A32">
            <v>70100223</v>
          </cell>
          <cell r="C32" t="str">
            <v>고급 완구</v>
          </cell>
        </row>
        <row r="33">
          <cell r="A33">
            <v>70100224</v>
          </cell>
          <cell r="C33" t="str">
            <v>고급 체리 대포</v>
          </cell>
        </row>
        <row r="34">
          <cell r="A34">
            <v>70100225</v>
          </cell>
          <cell r="C34" t="str">
            <v>고급 호준포</v>
          </cell>
        </row>
        <row r="35">
          <cell r="A35">
            <v>70100226</v>
          </cell>
          <cell r="C35" t="str">
            <v>고급 가죽포</v>
          </cell>
        </row>
        <row r="36">
          <cell r="A36">
            <v>70100227</v>
          </cell>
          <cell r="C36" t="str">
            <v>고급 대완구</v>
          </cell>
        </row>
        <row r="37">
          <cell r="A37">
            <v>70100228</v>
          </cell>
          <cell r="C37" t="str">
            <v>고급 코호른</v>
          </cell>
        </row>
        <row r="38">
          <cell r="A38">
            <v>70100229</v>
          </cell>
          <cell r="C38" t="str">
            <v>고급 득승포</v>
          </cell>
        </row>
        <row r="39">
          <cell r="A39">
            <v>70100230</v>
          </cell>
          <cell r="C39" t="str">
            <v>고급 구포</v>
          </cell>
        </row>
        <row r="40">
          <cell r="A40">
            <v>70100231</v>
          </cell>
          <cell r="C40" t="str">
            <v>고급 더블 컬버린</v>
          </cell>
        </row>
        <row r="41">
          <cell r="A41">
            <v>70100232</v>
          </cell>
          <cell r="C41" t="str">
            <v>고급 로열 캐논</v>
          </cell>
        </row>
        <row r="42">
          <cell r="A42">
            <v>70100233</v>
          </cell>
          <cell r="C42" t="str">
            <v>고급 장군화통</v>
          </cell>
        </row>
        <row r="43">
          <cell r="A43">
            <v>70100234</v>
          </cell>
          <cell r="C43" t="str">
            <v>백자총통</v>
          </cell>
        </row>
        <row r="44">
          <cell r="A44">
            <v>70100235</v>
          </cell>
          <cell r="C44" t="str">
            <v>로비넷</v>
          </cell>
        </row>
        <row r="45">
          <cell r="A45">
            <v>70100236</v>
          </cell>
          <cell r="C45" t="str">
            <v>란타카</v>
          </cell>
        </row>
        <row r="46">
          <cell r="A46">
            <v>70100237</v>
          </cell>
          <cell r="C46" t="str">
            <v>오르간포</v>
          </cell>
        </row>
        <row r="47">
          <cell r="A47">
            <v>70100238</v>
          </cell>
          <cell r="C47" t="str">
            <v>고급 위원포</v>
          </cell>
        </row>
        <row r="48">
          <cell r="A48">
            <v>70100239</v>
          </cell>
          <cell r="C48" t="str">
            <v>고급 미니온</v>
          </cell>
        </row>
        <row r="49">
          <cell r="A49">
            <v>70100240</v>
          </cell>
          <cell r="C49" t="str">
            <v>고급 보글러</v>
          </cell>
        </row>
        <row r="50">
          <cell r="A50">
            <v>70100241</v>
          </cell>
          <cell r="C50" t="str">
            <v>고급 자모포</v>
          </cell>
        </row>
        <row r="51">
          <cell r="A51">
            <v>70100242</v>
          </cell>
          <cell r="C51" t="str">
            <v>고급 데미 세이커</v>
          </cell>
        </row>
        <row r="52">
          <cell r="A52">
            <v>70100243</v>
          </cell>
          <cell r="C52" t="str">
            <v>고급 데미 컬버린</v>
          </cell>
        </row>
        <row r="53">
          <cell r="A53">
            <v>70100244</v>
          </cell>
          <cell r="C53" t="str">
            <v>고급 릴라 캐논</v>
          </cell>
        </row>
        <row r="54">
          <cell r="A54">
            <v>70100245</v>
          </cell>
          <cell r="C54" t="str">
            <v>고급 쿼터 캐논</v>
          </cell>
        </row>
        <row r="55">
          <cell r="A55">
            <v>70100246</v>
          </cell>
          <cell r="C55" t="str">
            <v>고급 데미 캐논</v>
          </cell>
        </row>
        <row r="56">
          <cell r="A56">
            <v>70100247</v>
          </cell>
          <cell r="C56" t="str">
            <v>고급 캐러네이드</v>
          </cell>
        </row>
        <row r="57">
          <cell r="A57">
            <v>70100248</v>
          </cell>
          <cell r="C57" t="str">
            <v>고급 대장군포</v>
          </cell>
        </row>
        <row r="58">
          <cell r="A58">
            <v>70100249</v>
          </cell>
          <cell r="C58" t="str">
            <v>낡은 이시비야</v>
          </cell>
        </row>
        <row r="59">
          <cell r="A59">
            <v>70100250</v>
          </cell>
          <cell r="C59" t="str">
            <v>강화 이시비야</v>
          </cell>
        </row>
        <row r="60">
          <cell r="A60">
            <v>70100251</v>
          </cell>
          <cell r="C60" t="str">
            <v>낡은 팔코넷</v>
          </cell>
        </row>
        <row r="61">
          <cell r="A61">
            <v>70100252</v>
          </cell>
          <cell r="C61" t="str">
            <v>강화 팔코넷</v>
          </cell>
        </row>
        <row r="62">
          <cell r="A62">
            <v>70100253</v>
          </cell>
          <cell r="C62" t="str">
            <v>낡은 연대포</v>
          </cell>
        </row>
        <row r="63">
          <cell r="A63">
            <v>70100254</v>
          </cell>
          <cell r="C63" t="str">
            <v>강화 연대포</v>
          </cell>
        </row>
        <row r="64">
          <cell r="A64">
            <v>70100255</v>
          </cell>
          <cell r="C64" t="str">
            <v>황자총통</v>
          </cell>
        </row>
        <row r="65">
          <cell r="A65">
            <v>70100256</v>
          </cell>
          <cell r="C65" t="str">
            <v>강화 황자총통</v>
          </cell>
        </row>
        <row r="66">
          <cell r="A66">
            <v>70100257</v>
          </cell>
          <cell r="C66" t="str">
            <v>팔콘</v>
          </cell>
        </row>
        <row r="67">
          <cell r="A67">
            <v>70100258</v>
          </cell>
          <cell r="C67" t="str">
            <v>강화 팔콘</v>
          </cell>
        </row>
        <row r="68">
          <cell r="A68">
            <v>70100259</v>
          </cell>
          <cell r="C68" t="str">
            <v>홍이포</v>
          </cell>
        </row>
        <row r="69">
          <cell r="A69">
            <v>70100260</v>
          </cell>
          <cell r="C69" t="str">
            <v>강화 홍이포</v>
          </cell>
        </row>
        <row r="70">
          <cell r="A70">
            <v>70100261</v>
          </cell>
          <cell r="C70" t="str">
            <v>세이커</v>
          </cell>
        </row>
        <row r="71">
          <cell r="A71">
            <v>70100262</v>
          </cell>
          <cell r="C71" t="str">
            <v>강화 세이커</v>
          </cell>
        </row>
        <row r="72">
          <cell r="A72">
            <v>70100263</v>
          </cell>
          <cell r="C72" t="str">
            <v>현자총통</v>
          </cell>
        </row>
        <row r="73">
          <cell r="A73">
            <v>70100264</v>
          </cell>
          <cell r="C73" t="str">
            <v>강화 현자총통</v>
          </cell>
        </row>
        <row r="74">
          <cell r="A74">
            <v>70100265</v>
          </cell>
          <cell r="C74" t="str">
            <v>컬버린</v>
          </cell>
        </row>
        <row r="75">
          <cell r="A75">
            <v>70100266</v>
          </cell>
          <cell r="C75" t="str">
            <v>강화 컬버린</v>
          </cell>
        </row>
        <row r="76">
          <cell r="A76">
            <v>70100267</v>
          </cell>
          <cell r="C76" t="str">
            <v>지자총통</v>
          </cell>
        </row>
        <row r="77">
          <cell r="A77">
            <v>70100268</v>
          </cell>
          <cell r="C77" t="str">
            <v>강화 지자총통</v>
          </cell>
        </row>
        <row r="78">
          <cell r="A78">
            <v>70100269</v>
          </cell>
          <cell r="C78" t="str">
            <v>캐논</v>
          </cell>
        </row>
        <row r="79">
          <cell r="A79">
            <v>70100270</v>
          </cell>
          <cell r="C79" t="str">
            <v>강화 캐논</v>
          </cell>
        </row>
        <row r="80">
          <cell r="A80">
            <v>70100271</v>
          </cell>
          <cell r="C80" t="str">
            <v>천자총통</v>
          </cell>
        </row>
        <row r="81">
          <cell r="A81">
            <v>70100272</v>
          </cell>
          <cell r="C81" t="str">
            <v>강화 천자총통</v>
          </cell>
        </row>
        <row r="82">
          <cell r="A82">
            <v>70100273</v>
          </cell>
          <cell r="C82" t="str">
            <v>바실리스크</v>
          </cell>
        </row>
        <row r="83">
          <cell r="A83">
            <v>70100274</v>
          </cell>
          <cell r="C83" t="str">
            <v>강화 바실리스크</v>
          </cell>
        </row>
        <row r="84">
          <cell r="A84">
            <v>70100275</v>
          </cell>
          <cell r="C84" t="str">
            <v>낡은 화제 대포</v>
          </cell>
        </row>
        <row r="85">
          <cell r="A85">
            <v>70100276</v>
          </cell>
          <cell r="C85" t="str">
            <v>강화 화제 대포</v>
          </cell>
        </row>
        <row r="86">
          <cell r="A86">
            <v>70100277</v>
          </cell>
          <cell r="C86" t="str">
            <v>낡은 에스메릴</v>
          </cell>
        </row>
        <row r="87">
          <cell r="A87">
            <v>70100278</v>
          </cell>
          <cell r="C87" t="str">
            <v>강화 에스메릴</v>
          </cell>
        </row>
        <row r="88">
          <cell r="A88">
            <v>70100279</v>
          </cell>
          <cell r="C88" t="str">
            <v>완구</v>
          </cell>
        </row>
        <row r="89">
          <cell r="A89">
            <v>70100280</v>
          </cell>
          <cell r="C89" t="str">
            <v>강화 완구</v>
          </cell>
        </row>
        <row r="90">
          <cell r="A90">
            <v>70100281</v>
          </cell>
          <cell r="C90" t="str">
            <v>체리 대포</v>
          </cell>
        </row>
        <row r="91">
          <cell r="A91">
            <v>70100282</v>
          </cell>
          <cell r="C91" t="str">
            <v>강화 체리 대포</v>
          </cell>
        </row>
        <row r="92">
          <cell r="A92">
            <v>70100283</v>
          </cell>
          <cell r="C92" t="str">
            <v>호준포</v>
          </cell>
        </row>
        <row r="93">
          <cell r="A93">
            <v>70100284</v>
          </cell>
          <cell r="C93" t="str">
            <v>강화 호준포</v>
          </cell>
        </row>
        <row r="94">
          <cell r="A94">
            <v>70100285</v>
          </cell>
          <cell r="C94" t="str">
            <v>가죽포</v>
          </cell>
        </row>
        <row r="95">
          <cell r="A95">
            <v>70100286</v>
          </cell>
          <cell r="C95" t="str">
            <v>강화 가죽포</v>
          </cell>
        </row>
        <row r="96">
          <cell r="A96">
            <v>70100287</v>
          </cell>
          <cell r="C96" t="str">
            <v>대완구</v>
          </cell>
        </row>
        <row r="97">
          <cell r="A97">
            <v>70100288</v>
          </cell>
          <cell r="C97" t="str">
            <v>강화 대완구</v>
          </cell>
        </row>
        <row r="98">
          <cell r="A98">
            <v>70100289</v>
          </cell>
          <cell r="C98" t="str">
            <v>코호른</v>
          </cell>
        </row>
        <row r="99">
          <cell r="A99">
            <v>70100290</v>
          </cell>
          <cell r="C99" t="str">
            <v>강화 코호른</v>
          </cell>
        </row>
        <row r="100">
          <cell r="A100">
            <v>70100291</v>
          </cell>
          <cell r="C100" t="str">
            <v>득승포</v>
          </cell>
        </row>
        <row r="101">
          <cell r="A101">
            <v>70100292</v>
          </cell>
          <cell r="C101" t="str">
            <v>강화 득승포</v>
          </cell>
        </row>
        <row r="102">
          <cell r="A102">
            <v>70100293</v>
          </cell>
          <cell r="C102" t="str">
            <v>구포</v>
          </cell>
        </row>
        <row r="103">
          <cell r="A103">
            <v>70100294</v>
          </cell>
          <cell r="C103" t="str">
            <v>강화 구포</v>
          </cell>
        </row>
        <row r="104">
          <cell r="A104">
            <v>70100295</v>
          </cell>
          <cell r="C104" t="str">
            <v>더블 컬버린</v>
          </cell>
        </row>
        <row r="105">
          <cell r="A105">
            <v>70100296</v>
          </cell>
          <cell r="C105" t="str">
            <v>강화 더블 컬버린</v>
          </cell>
        </row>
        <row r="106">
          <cell r="A106">
            <v>70100297</v>
          </cell>
          <cell r="C106" t="str">
            <v>로열 캐논</v>
          </cell>
        </row>
        <row r="107">
          <cell r="A107">
            <v>70100298</v>
          </cell>
          <cell r="C107" t="str">
            <v>강화 로열 캐논</v>
          </cell>
        </row>
        <row r="108">
          <cell r="A108">
            <v>70100299</v>
          </cell>
          <cell r="C108" t="str">
            <v>장군화통</v>
          </cell>
        </row>
        <row r="109">
          <cell r="A109">
            <v>70100300</v>
          </cell>
          <cell r="C109" t="str">
            <v>강화 장군화통</v>
          </cell>
        </row>
        <row r="110">
          <cell r="A110">
            <v>70100301</v>
          </cell>
          <cell r="C110" t="str">
            <v>낡은 란타카</v>
          </cell>
        </row>
        <row r="111">
          <cell r="A111">
            <v>70100302</v>
          </cell>
          <cell r="C111" t="str">
            <v>강화 란타카</v>
          </cell>
        </row>
        <row r="112">
          <cell r="A112">
            <v>70100303</v>
          </cell>
          <cell r="C112" t="str">
            <v>낡은 오르간포</v>
          </cell>
        </row>
        <row r="113">
          <cell r="A113">
            <v>70100304</v>
          </cell>
          <cell r="C113" t="str">
            <v>강화 오르간포</v>
          </cell>
        </row>
        <row r="114">
          <cell r="A114">
            <v>70100305</v>
          </cell>
          <cell r="C114" t="str">
            <v>위원포</v>
          </cell>
        </row>
        <row r="115">
          <cell r="A115">
            <v>70100306</v>
          </cell>
          <cell r="C115" t="str">
            <v>강화 위원포</v>
          </cell>
        </row>
        <row r="116">
          <cell r="A116">
            <v>70100307</v>
          </cell>
          <cell r="C116" t="str">
            <v>미니온</v>
          </cell>
        </row>
        <row r="117">
          <cell r="A117">
            <v>70100308</v>
          </cell>
          <cell r="C117" t="str">
            <v>강화 미니온</v>
          </cell>
        </row>
        <row r="118">
          <cell r="A118">
            <v>70100309</v>
          </cell>
          <cell r="C118" t="str">
            <v>보글러</v>
          </cell>
        </row>
        <row r="119">
          <cell r="A119">
            <v>70100310</v>
          </cell>
          <cell r="C119" t="str">
            <v>강화 보글러</v>
          </cell>
        </row>
        <row r="120">
          <cell r="A120">
            <v>70100311</v>
          </cell>
          <cell r="C120" t="str">
            <v>자모포</v>
          </cell>
        </row>
        <row r="121">
          <cell r="A121">
            <v>70100312</v>
          </cell>
          <cell r="C121" t="str">
            <v>강화 자모포</v>
          </cell>
        </row>
        <row r="122">
          <cell r="A122">
            <v>70100313</v>
          </cell>
          <cell r="C122" t="str">
            <v>데미 세이커</v>
          </cell>
        </row>
        <row r="123">
          <cell r="A123">
            <v>70100314</v>
          </cell>
          <cell r="C123" t="str">
            <v>강화 데미 세이커</v>
          </cell>
        </row>
        <row r="124">
          <cell r="A124">
            <v>70100315</v>
          </cell>
          <cell r="C124" t="str">
            <v>데미 컬버린</v>
          </cell>
        </row>
        <row r="125">
          <cell r="A125">
            <v>70100316</v>
          </cell>
          <cell r="C125" t="str">
            <v>강화 데미 컬버린</v>
          </cell>
        </row>
        <row r="126">
          <cell r="A126">
            <v>70100317</v>
          </cell>
          <cell r="C126" t="str">
            <v>릴라 캐논</v>
          </cell>
        </row>
        <row r="127">
          <cell r="A127">
            <v>70100318</v>
          </cell>
          <cell r="C127" t="str">
            <v>강화 릴라 캐논</v>
          </cell>
        </row>
        <row r="128">
          <cell r="A128">
            <v>70100319</v>
          </cell>
          <cell r="C128" t="str">
            <v>쿼터 캐논</v>
          </cell>
        </row>
        <row r="129">
          <cell r="A129">
            <v>70100320</v>
          </cell>
          <cell r="C129" t="str">
            <v>강화 쿼터 캐논</v>
          </cell>
        </row>
        <row r="130">
          <cell r="A130">
            <v>70100321</v>
          </cell>
          <cell r="C130" t="str">
            <v>데미 캐논</v>
          </cell>
        </row>
        <row r="131">
          <cell r="A131">
            <v>70100322</v>
          </cell>
          <cell r="C131" t="str">
            <v>강화 데미 캐논</v>
          </cell>
        </row>
        <row r="132">
          <cell r="A132">
            <v>70100323</v>
          </cell>
          <cell r="C132" t="str">
            <v>캐러네이드</v>
          </cell>
        </row>
        <row r="133">
          <cell r="A133">
            <v>70100324</v>
          </cell>
          <cell r="C133" t="str">
            <v>강화 캐러네이드</v>
          </cell>
        </row>
        <row r="134">
          <cell r="A134">
            <v>70100325</v>
          </cell>
          <cell r="C134" t="str">
            <v>대장군포</v>
          </cell>
        </row>
        <row r="135">
          <cell r="A135">
            <v>70100326</v>
          </cell>
          <cell r="C135" t="str">
            <v>강화 대장군포</v>
          </cell>
        </row>
        <row r="136">
          <cell r="A136">
            <v>70100327</v>
          </cell>
          <cell r="C136" t="str">
            <v>불멸의 해적단의 대포</v>
          </cell>
        </row>
        <row r="137">
          <cell r="A137">
            <v>70100328</v>
          </cell>
          <cell r="C137" t="str">
            <v>새내기 제독의 대포</v>
          </cell>
        </row>
        <row r="138">
          <cell r="A138">
            <v>70100329</v>
          </cell>
          <cell r="C138" t="str">
            <v>빙하 선단의 곡사포</v>
          </cell>
        </row>
        <row r="139">
          <cell r="A139">
            <v>70100330</v>
          </cell>
          <cell r="C139" t="str">
            <v>빙하 선단의 박격포</v>
          </cell>
        </row>
        <row r="140">
          <cell r="A140">
            <v>70100331</v>
          </cell>
          <cell r="C140" t="str">
            <v>빙하 선단의 평사포</v>
          </cell>
        </row>
        <row r="141">
          <cell r="A141">
            <v>70100332</v>
          </cell>
          <cell r="C141" t="str">
            <v>북해 연합의 곡사포</v>
          </cell>
        </row>
        <row r="142">
          <cell r="A142">
            <v>70100333</v>
          </cell>
          <cell r="C142" t="str">
            <v>북해 연합의 박격포</v>
          </cell>
        </row>
        <row r="143">
          <cell r="A143">
            <v>70100334</v>
          </cell>
          <cell r="C143" t="str">
            <v>북해 연합의 평사포</v>
          </cell>
        </row>
        <row r="144">
          <cell r="A144">
            <v>70100335</v>
          </cell>
          <cell r="C144" t="str">
            <v>상회의 대포</v>
          </cell>
        </row>
        <row r="145">
          <cell r="A145">
            <v>70100431</v>
          </cell>
          <cell r="C145" t="str">
            <v>기본 돛</v>
          </cell>
        </row>
        <row r="146">
          <cell r="A146">
            <v>70100432</v>
          </cell>
          <cell r="C146" t="str">
            <v>이너 지브</v>
          </cell>
        </row>
        <row r="147">
          <cell r="A147">
            <v>70100433</v>
          </cell>
          <cell r="C147" t="str">
            <v>아우터 지브</v>
          </cell>
        </row>
        <row r="148">
          <cell r="A148">
            <v>70100434</v>
          </cell>
          <cell r="C148" t="str">
            <v>고급 정크 세일</v>
          </cell>
        </row>
        <row r="149">
          <cell r="A149">
            <v>70100435</v>
          </cell>
          <cell r="C149" t="str">
            <v>고급 스테이 세일</v>
          </cell>
        </row>
        <row r="150">
          <cell r="A150">
            <v>70100436</v>
          </cell>
          <cell r="C150" t="str">
            <v>고급 톱 스테이 세일</v>
          </cell>
        </row>
        <row r="151">
          <cell r="A151">
            <v>70100437</v>
          </cell>
          <cell r="C151" t="str">
            <v>고급 로열 스테이 세일</v>
          </cell>
        </row>
        <row r="152">
          <cell r="A152">
            <v>70100438</v>
          </cell>
          <cell r="C152" t="str">
            <v>톱 갤런트 세일</v>
          </cell>
        </row>
        <row r="153">
          <cell r="A153">
            <v>70100439</v>
          </cell>
          <cell r="C153" t="str">
            <v>보닛</v>
          </cell>
        </row>
        <row r="154">
          <cell r="A154">
            <v>70100440</v>
          </cell>
          <cell r="C154" t="str">
            <v>고급 아시안 세일</v>
          </cell>
        </row>
        <row r="155">
          <cell r="A155">
            <v>70100441</v>
          </cell>
          <cell r="C155" t="str">
            <v>고급 로열 갤런트 세일</v>
          </cell>
        </row>
        <row r="156">
          <cell r="A156">
            <v>70100442</v>
          </cell>
          <cell r="C156" t="str">
            <v>고급 갤런트 보닛</v>
          </cell>
        </row>
        <row r="157">
          <cell r="A157">
            <v>70100443</v>
          </cell>
          <cell r="C157" t="str">
            <v>고급 갤런트 스테이 세일</v>
          </cell>
        </row>
        <row r="158">
          <cell r="A158">
            <v>70100444</v>
          </cell>
          <cell r="C158" t="str">
            <v>고급 톱 로열 세일</v>
          </cell>
        </row>
        <row r="159">
          <cell r="A159">
            <v>70100445</v>
          </cell>
          <cell r="C159" t="str">
            <v>고급 풀 리그드 세일</v>
          </cell>
        </row>
        <row r="160">
          <cell r="A160">
            <v>70100446</v>
          </cell>
          <cell r="C160" t="str">
            <v>낡은 이너 지브</v>
          </cell>
        </row>
        <row r="161">
          <cell r="A161">
            <v>70100447</v>
          </cell>
          <cell r="C161" t="str">
            <v>강화 이너 지브</v>
          </cell>
        </row>
        <row r="162">
          <cell r="A162">
            <v>70100448</v>
          </cell>
          <cell r="C162" t="str">
            <v>낡은 아우터 지브</v>
          </cell>
        </row>
        <row r="163">
          <cell r="A163">
            <v>70100449</v>
          </cell>
          <cell r="C163" t="str">
            <v>강화 아우터 지브</v>
          </cell>
        </row>
        <row r="164">
          <cell r="A164">
            <v>70100450</v>
          </cell>
          <cell r="C164" t="str">
            <v>정크 세일</v>
          </cell>
        </row>
        <row r="165">
          <cell r="A165">
            <v>70100451</v>
          </cell>
          <cell r="C165" t="str">
            <v>강화 정크 세일</v>
          </cell>
        </row>
        <row r="166">
          <cell r="A166">
            <v>70100452</v>
          </cell>
          <cell r="C166" t="str">
            <v>스테이 세일</v>
          </cell>
        </row>
        <row r="167">
          <cell r="A167">
            <v>70100453</v>
          </cell>
          <cell r="C167" t="str">
            <v>강화 스테이 세일</v>
          </cell>
        </row>
        <row r="168">
          <cell r="A168">
            <v>70100454</v>
          </cell>
          <cell r="C168" t="str">
            <v>톱 스테이 세일</v>
          </cell>
        </row>
        <row r="169">
          <cell r="A169">
            <v>70100455</v>
          </cell>
          <cell r="C169" t="str">
            <v>강화 톱 스테이 세일</v>
          </cell>
        </row>
        <row r="170">
          <cell r="A170">
            <v>70100456</v>
          </cell>
          <cell r="C170" t="str">
            <v>로열 스테이 세일</v>
          </cell>
        </row>
        <row r="171">
          <cell r="A171">
            <v>70100457</v>
          </cell>
          <cell r="C171" t="str">
            <v>강화 로열 스테이 세일</v>
          </cell>
        </row>
        <row r="172">
          <cell r="A172">
            <v>70100458</v>
          </cell>
          <cell r="C172" t="str">
            <v>낡은 보닛</v>
          </cell>
        </row>
        <row r="173">
          <cell r="A173">
            <v>70100459</v>
          </cell>
          <cell r="C173" t="str">
            <v>강화 보닛</v>
          </cell>
        </row>
        <row r="174">
          <cell r="A174">
            <v>70100460</v>
          </cell>
          <cell r="C174" t="str">
            <v>아시안 세일</v>
          </cell>
        </row>
        <row r="175">
          <cell r="A175">
            <v>70100461</v>
          </cell>
          <cell r="C175" t="str">
            <v>강화 아시안 세일</v>
          </cell>
        </row>
        <row r="176">
          <cell r="A176">
            <v>70100462</v>
          </cell>
          <cell r="C176" t="str">
            <v>로열 갤런트 세일</v>
          </cell>
        </row>
        <row r="177">
          <cell r="A177">
            <v>70100463</v>
          </cell>
          <cell r="C177" t="str">
            <v>강화 로열 갤런트 세일</v>
          </cell>
        </row>
        <row r="178">
          <cell r="A178">
            <v>70100464</v>
          </cell>
          <cell r="C178" t="str">
            <v>갤런트 보닛</v>
          </cell>
        </row>
        <row r="179">
          <cell r="A179">
            <v>70100465</v>
          </cell>
          <cell r="C179" t="str">
            <v>강화 갤런트 보닛</v>
          </cell>
        </row>
        <row r="180">
          <cell r="A180">
            <v>70100466</v>
          </cell>
          <cell r="C180" t="str">
            <v>갤런트 스테이 세일</v>
          </cell>
        </row>
        <row r="181">
          <cell r="A181">
            <v>70100467</v>
          </cell>
          <cell r="C181" t="str">
            <v>강화 갤런트 스테이 세일</v>
          </cell>
        </row>
        <row r="182">
          <cell r="A182">
            <v>70100468</v>
          </cell>
          <cell r="C182" t="str">
            <v>톱 로열 세일</v>
          </cell>
        </row>
        <row r="183">
          <cell r="A183">
            <v>70100469</v>
          </cell>
          <cell r="C183" t="str">
            <v>강화 톱 로열 세일</v>
          </cell>
        </row>
        <row r="184">
          <cell r="A184">
            <v>70100470</v>
          </cell>
          <cell r="C184" t="str">
            <v>풀 리그드 세일</v>
          </cell>
        </row>
        <row r="185">
          <cell r="A185">
            <v>70100471</v>
          </cell>
          <cell r="C185" t="str">
            <v>강화 풀 리그드 세일</v>
          </cell>
        </row>
        <row r="186">
          <cell r="A186">
            <v>70100472</v>
          </cell>
          <cell r="C186" t="str">
            <v>불멸의 해적단의 돛</v>
          </cell>
        </row>
        <row r="187">
          <cell r="A187">
            <v>70100473</v>
          </cell>
          <cell r="C187" t="str">
            <v>환상 섬의 돛</v>
          </cell>
        </row>
        <row r="188">
          <cell r="A188">
            <v>70100474</v>
          </cell>
          <cell r="C188" t="str">
            <v>바다 기사단의 돛</v>
          </cell>
        </row>
        <row r="189">
          <cell r="A189">
            <v>70100475</v>
          </cell>
          <cell r="C189" t="str">
            <v>새내기 제독의 돛</v>
          </cell>
        </row>
        <row r="190">
          <cell r="A190">
            <v>70100476</v>
          </cell>
          <cell r="C190" t="str">
            <v>상단 연합의 가로돛</v>
          </cell>
        </row>
        <row r="191">
          <cell r="A191">
            <v>70100477</v>
          </cell>
          <cell r="C191" t="str">
            <v>상단 연합의 세로돛</v>
          </cell>
        </row>
        <row r="192">
          <cell r="A192">
            <v>70100478</v>
          </cell>
          <cell r="C192" t="str">
            <v>폭풍 선단의 가로돛</v>
          </cell>
        </row>
        <row r="193">
          <cell r="A193">
            <v>70100479</v>
          </cell>
          <cell r="C193" t="str">
            <v>폭풍 선단의 세로돛</v>
          </cell>
        </row>
        <row r="194">
          <cell r="A194">
            <v>70100506</v>
          </cell>
          <cell r="C194" t="str">
            <v>미 장착</v>
          </cell>
        </row>
        <row r="195">
          <cell r="A195">
            <v>70100507</v>
          </cell>
          <cell r="C195" t="str">
            <v>삼나무판</v>
          </cell>
        </row>
        <row r="196">
          <cell r="A196">
            <v>70100508</v>
          </cell>
          <cell r="C196" t="str">
            <v>가문비나무판</v>
          </cell>
        </row>
        <row r="197">
          <cell r="A197">
            <v>70100509</v>
          </cell>
          <cell r="C197" t="str">
            <v>적송판</v>
          </cell>
        </row>
        <row r="198">
          <cell r="A198">
            <v>70100510</v>
          </cell>
          <cell r="C198" t="str">
            <v>오리나무판</v>
          </cell>
        </row>
        <row r="199">
          <cell r="A199">
            <v>70100511</v>
          </cell>
          <cell r="C199" t="str">
            <v>고급 너도밤나무판</v>
          </cell>
        </row>
        <row r="200">
          <cell r="A200">
            <v>70100512</v>
          </cell>
          <cell r="C200" t="str">
            <v>고급 동판</v>
          </cell>
        </row>
        <row r="201">
          <cell r="A201">
            <v>70100513</v>
          </cell>
          <cell r="C201" t="str">
            <v>고급 자작나무판</v>
          </cell>
        </row>
        <row r="202">
          <cell r="A202">
            <v>70100514</v>
          </cell>
          <cell r="C202" t="str">
            <v>고급 물푸레나무판</v>
          </cell>
        </row>
        <row r="203">
          <cell r="A203">
            <v>70100515</v>
          </cell>
          <cell r="C203" t="str">
            <v>고급 참나무판</v>
          </cell>
        </row>
        <row r="204">
          <cell r="A204">
            <v>70100516</v>
          </cell>
          <cell r="C204" t="str">
            <v>고급 철판</v>
          </cell>
        </row>
        <row r="205">
          <cell r="A205">
            <v>70100517</v>
          </cell>
          <cell r="C205" t="str">
            <v>고급 티크판</v>
          </cell>
        </row>
        <row r="206">
          <cell r="A206">
            <v>70100518</v>
          </cell>
          <cell r="C206" t="str">
            <v>고급 호두나무판</v>
          </cell>
        </row>
        <row r="207">
          <cell r="A207">
            <v>70100519</v>
          </cell>
          <cell r="C207" t="str">
            <v>고급 강판</v>
          </cell>
        </row>
        <row r="208">
          <cell r="A208">
            <v>70100520</v>
          </cell>
          <cell r="C208" t="str">
            <v>고급 자단나무판</v>
          </cell>
        </row>
        <row r="209">
          <cell r="A209">
            <v>70100521</v>
          </cell>
          <cell r="C209" t="str">
            <v>고급 흑단나무판</v>
          </cell>
        </row>
        <row r="210">
          <cell r="A210">
            <v>70100522</v>
          </cell>
          <cell r="C210" t="str">
            <v>낡은 적송판</v>
          </cell>
        </row>
        <row r="211">
          <cell r="A211">
            <v>70100523</v>
          </cell>
          <cell r="C211" t="str">
            <v>강화 적송판</v>
          </cell>
        </row>
        <row r="212">
          <cell r="A212">
            <v>70100524</v>
          </cell>
          <cell r="C212" t="str">
            <v>낡은 오리나무판</v>
          </cell>
        </row>
        <row r="213">
          <cell r="A213">
            <v>70100525</v>
          </cell>
          <cell r="C213" t="str">
            <v>강화 오리나무판</v>
          </cell>
        </row>
        <row r="214">
          <cell r="A214">
            <v>70100526</v>
          </cell>
          <cell r="C214" t="str">
            <v>너도밤나무판</v>
          </cell>
        </row>
        <row r="215">
          <cell r="A215">
            <v>70100527</v>
          </cell>
          <cell r="C215" t="str">
            <v>강화 너도밤나무판</v>
          </cell>
        </row>
        <row r="216">
          <cell r="A216">
            <v>70100528</v>
          </cell>
          <cell r="C216" t="str">
            <v>동판</v>
          </cell>
        </row>
        <row r="217">
          <cell r="A217">
            <v>70100529</v>
          </cell>
          <cell r="C217" t="str">
            <v>강화 동판</v>
          </cell>
        </row>
        <row r="218">
          <cell r="A218">
            <v>70100530</v>
          </cell>
          <cell r="C218" t="str">
            <v>자작나무판</v>
          </cell>
        </row>
        <row r="219">
          <cell r="A219">
            <v>70100531</v>
          </cell>
          <cell r="C219" t="str">
            <v>강화 자작나무판</v>
          </cell>
        </row>
        <row r="220">
          <cell r="A220">
            <v>70100532</v>
          </cell>
          <cell r="C220" t="str">
            <v>물푸레나무판</v>
          </cell>
        </row>
        <row r="221">
          <cell r="A221">
            <v>70100533</v>
          </cell>
          <cell r="C221" t="str">
            <v>강화 물푸레나무판</v>
          </cell>
        </row>
        <row r="222">
          <cell r="A222">
            <v>70100534</v>
          </cell>
          <cell r="C222" t="str">
            <v>참나무판</v>
          </cell>
        </row>
        <row r="223">
          <cell r="A223">
            <v>70100535</v>
          </cell>
          <cell r="C223" t="str">
            <v>강화 참나무판</v>
          </cell>
        </row>
        <row r="224">
          <cell r="A224">
            <v>70100536</v>
          </cell>
          <cell r="C224" t="str">
            <v>철판</v>
          </cell>
        </row>
        <row r="225">
          <cell r="A225">
            <v>70100537</v>
          </cell>
          <cell r="C225" t="str">
            <v>강화 철판</v>
          </cell>
        </row>
        <row r="226">
          <cell r="A226">
            <v>70100538</v>
          </cell>
          <cell r="C226" t="str">
            <v>티크판</v>
          </cell>
        </row>
        <row r="227">
          <cell r="A227">
            <v>70100539</v>
          </cell>
          <cell r="C227" t="str">
            <v>강화 티크판</v>
          </cell>
        </row>
        <row r="228">
          <cell r="A228">
            <v>70100540</v>
          </cell>
          <cell r="C228" t="str">
            <v>호두나무판</v>
          </cell>
        </row>
        <row r="229">
          <cell r="A229">
            <v>70100541</v>
          </cell>
          <cell r="C229" t="str">
            <v>강화 호두나무판</v>
          </cell>
        </row>
        <row r="230">
          <cell r="A230">
            <v>70100542</v>
          </cell>
          <cell r="C230" t="str">
            <v>강판</v>
          </cell>
        </row>
        <row r="231">
          <cell r="A231">
            <v>70100543</v>
          </cell>
          <cell r="C231" t="str">
            <v>강화 강판</v>
          </cell>
        </row>
        <row r="232">
          <cell r="A232">
            <v>70100544</v>
          </cell>
          <cell r="C232" t="str">
            <v>자단나무판</v>
          </cell>
        </row>
        <row r="233">
          <cell r="A233">
            <v>70100545</v>
          </cell>
          <cell r="C233" t="str">
            <v>강화 자단나무판</v>
          </cell>
        </row>
        <row r="234">
          <cell r="A234">
            <v>70100546</v>
          </cell>
          <cell r="C234" t="str">
            <v>흑단나무판</v>
          </cell>
        </row>
        <row r="235">
          <cell r="A235">
            <v>70100547</v>
          </cell>
          <cell r="C235" t="str">
            <v>강화 흑단나무판</v>
          </cell>
        </row>
        <row r="236">
          <cell r="A236">
            <v>70100548</v>
          </cell>
          <cell r="C236" t="str">
            <v>개량 삼나무판</v>
          </cell>
        </row>
        <row r="237">
          <cell r="A237">
            <v>70100549</v>
          </cell>
          <cell r="C237" t="str">
            <v>환상 섬의 장갑</v>
          </cell>
        </row>
        <row r="238">
          <cell r="A238">
            <v>70100550</v>
          </cell>
          <cell r="C238" t="str">
            <v>새내기 제독의 장갑</v>
          </cell>
        </row>
        <row r="239">
          <cell r="A239">
            <v>70100551</v>
          </cell>
          <cell r="C239" t="str">
            <v>붉은 산호섬의 장갑</v>
          </cell>
        </row>
        <row r="240">
          <cell r="A240">
            <v>70100552</v>
          </cell>
          <cell r="C240" t="str">
            <v>진주섬의 장갑</v>
          </cell>
        </row>
        <row r="241">
          <cell r="A241">
            <v>70100553</v>
          </cell>
          <cell r="C241" t="str">
            <v>상회의 장갑</v>
          </cell>
        </row>
        <row r="242">
          <cell r="A242">
            <v>70100585</v>
          </cell>
          <cell r="C242" t="str">
            <v>기본 충각</v>
          </cell>
        </row>
        <row r="243">
          <cell r="A243">
            <v>70100586</v>
          </cell>
          <cell r="C243" t="str">
            <v>미 장착</v>
          </cell>
        </row>
        <row r="244">
          <cell r="A244">
            <v>70100587</v>
          </cell>
          <cell r="C244" t="str">
            <v>마카나 충각</v>
          </cell>
        </row>
        <row r="245">
          <cell r="A245">
            <v>70100588</v>
          </cell>
          <cell r="C245" t="str">
            <v>나무 기둥 쐐기</v>
          </cell>
        </row>
        <row r="246">
          <cell r="A246">
            <v>70100589</v>
          </cell>
          <cell r="C246" t="str">
            <v>리부르나형 쐐기</v>
          </cell>
        </row>
        <row r="247">
          <cell r="A247">
            <v>70100590</v>
          </cell>
          <cell r="C247" t="str">
            <v>목제 꺾쇠 충각</v>
          </cell>
        </row>
        <row r="248">
          <cell r="A248">
            <v>70100591</v>
          </cell>
          <cell r="C248" t="str">
            <v>이단노선형 쐐기</v>
          </cell>
        </row>
        <row r="249">
          <cell r="A249">
            <v>70100592</v>
          </cell>
          <cell r="C249" t="str">
            <v>철퇴형 충각</v>
          </cell>
        </row>
        <row r="250">
          <cell r="A250">
            <v>70100593</v>
          </cell>
          <cell r="C250" t="str">
            <v>반달도끼 충각</v>
          </cell>
        </row>
        <row r="251">
          <cell r="A251">
            <v>70100594</v>
          </cell>
          <cell r="C251" t="str">
            <v>창형 충각</v>
          </cell>
        </row>
        <row r="252">
          <cell r="A252">
            <v>70100595</v>
          </cell>
          <cell r="C252" t="str">
            <v>고급 폴암형 충각</v>
          </cell>
        </row>
        <row r="253">
          <cell r="A253">
            <v>70100596</v>
          </cell>
          <cell r="C253" t="str">
            <v>고급 할라디 충각</v>
          </cell>
        </row>
        <row r="254">
          <cell r="A254">
            <v>70100597</v>
          </cell>
          <cell r="C254" t="str">
            <v>고급 갈퀴 충각</v>
          </cell>
        </row>
        <row r="255">
          <cell r="A255">
            <v>70100598</v>
          </cell>
          <cell r="C255" t="str">
            <v>고급 무쇠 충각</v>
          </cell>
        </row>
        <row r="256">
          <cell r="A256">
            <v>70100599</v>
          </cell>
          <cell r="C256" t="str">
            <v>고급 삼단노선형 쐐기</v>
          </cell>
        </row>
        <row r="257">
          <cell r="A257">
            <v>70100600</v>
          </cell>
          <cell r="C257" t="str">
            <v>고급 레이피어 충각</v>
          </cell>
        </row>
        <row r="258">
          <cell r="A258">
            <v>70100601</v>
          </cell>
          <cell r="C258" t="str">
            <v>고급 니레카 충각</v>
          </cell>
        </row>
        <row r="259">
          <cell r="A259">
            <v>70100602</v>
          </cell>
          <cell r="C259" t="str">
            <v>고급 세락 파각</v>
          </cell>
        </row>
        <row r="260">
          <cell r="A260">
            <v>70100603</v>
          </cell>
          <cell r="C260" t="str">
            <v>고급 역날검 충각</v>
          </cell>
        </row>
        <row r="261">
          <cell r="A261">
            <v>70100604</v>
          </cell>
          <cell r="C261" t="str">
            <v>고급 톱날 충각</v>
          </cell>
        </row>
        <row r="262">
          <cell r="A262">
            <v>70100605</v>
          </cell>
          <cell r="C262" t="str">
            <v>고급 초승달형 충각</v>
          </cell>
        </row>
        <row r="263">
          <cell r="A263">
            <v>70100606</v>
          </cell>
          <cell r="C263" t="str">
            <v>고급 오단 노선형 쐐기</v>
          </cell>
        </row>
        <row r="264">
          <cell r="A264">
            <v>70100607</v>
          </cell>
          <cell r="C264" t="str">
            <v>고급 일각고래의 뿔</v>
          </cell>
        </row>
        <row r="265">
          <cell r="A265">
            <v>70100608</v>
          </cell>
          <cell r="C265" t="str">
            <v>고급 무한의 호른</v>
          </cell>
        </row>
        <row r="266">
          <cell r="A266">
            <v>70100609</v>
          </cell>
          <cell r="C266" t="str">
            <v>고급 우아한 은제 충각</v>
          </cell>
        </row>
        <row r="267">
          <cell r="A267">
            <v>70100610</v>
          </cell>
          <cell r="C267" t="str">
            <v>고급 드로몬형 충각</v>
          </cell>
        </row>
        <row r="268">
          <cell r="A268">
            <v>70100611</v>
          </cell>
          <cell r="C268" t="str">
            <v>고급 해신의 창 충각</v>
          </cell>
        </row>
        <row r="269">
          <cell r="A269">
            <v>70100612</v>
          </cell>
          <cell r="C269" t="str">
            <v>고급 라우타로의 불</v>
          </cell>
        </row>
        <row r="270">
          <cell r="A270">
            <v>70100613</v>
          </cell>
          <cell r="C270" t="str">
            <v>고급 헤라클레스의 철권</v>
          </cell>
        </row>
        <row r="271">
          <cell r="A271">
            <v>70100614</v>
          </cell>
          <cell r="C271" t="str">
            <v>고급 삼단 대형 충각</v>
          </cell>
        </row>
        <row r="272">
          <cell r="A272">
            <v>70100615</v>
          </cell>
          <cell r="C272" t="str">
            <v>고급 파도 무늬 황금 충각</v>
          </cell>
        </row>
        <row r="273">
          <cell r="A273">
            <v>70100616</v>
          </cell>
          <cell r="C273" t="str">
            <v>고급 별을 찾는 자</v>
          </cell>
        </row>
        <row r="274">
          <cell r="A274">
            <v>70100617</v>
          </cell>
          <cell r="C274" t="str">
            <v>고급 프랑스식 방패 충각</v>
          </cell>
        </row>
        <row r="275">
          <cell r="A275">
            <v>70100618</v>
          </cell>
          <cell r="C275" t="str">
            <v>고급 기사의 투구 충각</v>
          </cell>
        </row>
        <row r="276">
          <cell r="A276">
            <v>70100619</v>
          </cell>
          <cell r="C276" t="str">
            <v>고급 바이킹 투구 충각</v>
          </cell>
        </row>
        <row r="277">
          <cell r="A277">
            <v>70100620</v>
          </cell>
          <cell r="C277" t="str">
            <v>고급 스웨덴제 쇠구슬 충각</v>
          </cell>
        </row>
        <row r="278">
          <cell r="A278">
            <v>70100621</v>
          </cell>
          <cell r="C278" t="str">
            <v>고급 그리핀의 부리</v>
          </cell>
        </row>
        <row r="279">
          <cell r="A279">
            <v>70100622</v>
          </cell>
          <cell r="C279" t="str">
            <v>고급 기사의 랜스 충각</v>
          </cell>
        </row>
        <row r="280">
          <cell r="A280">
            <v>70100623</v>
          </cell>
          <cell r="C280" t="str">
            <v>고급 황금 코브라 충각</v>
          </cell>
        </row>
        <row r="281">
          <cell r="A281">
            <v>70100624</v>
          </cell>
          <cell r="C281" t="str">
            <v>고급 흑전갈 충각</v>
          </cell>
        </row>
        <row r="282">
          <cell r="A282">
            <v>70100625</v>
          </cell>
          <cell r="C282" t="str">
            <v>고급 타란툴라 충각</v>
          </cell>
        </row>
        <row r="283">
          <cell r="A283">
            <v>70100626</v>
          </cell>
          <cell r="C283" t="str">
            <v>고급 청새치 충각</v>
          </cell>
        </row>
        <row r="284">
          <cell r="A284">
            <v>70100627</v>
          </cell>
          <cell r="C284" t="str">
            <v>고급 청룡언월도 충각</v>
          </cell>
        </row>
        <row r="285">
          <cell r="A285">
            <v>70100628</v>
          </cell>
          <cell r="C285" t="str">
            <v>고급 장팔사모 충각</v>
          </cell>
        </row>
        <row r="286">
          <cell r="A286">
            <v>70100629</v>
          </cell>
          <cell r="C286" t="str">
            <v>고급 소림사 금강저 충각</v>
          </cell>
        </row>
        <row r="287">
          <cell r="A287">
            <v>70100630</v>
          </cell>
          <cell r="C287" t="str">
            <v>고급 니드호그의 발톱</v>
          </cell>
        </row>
        <row r="288">
          <cell r="A288">
            <v>70100631</v>
          </cell>
          <cell r="C288" t="str">
            <v>고급 구르즈 충각</v>
          </cell>
        </row>
        <row r="289">
          <cell r="A289">
            <v>70100632</v>
          </cell>
          <cell r="C289" t="str">
            <v>고급 피톤의 머리</v>
          </cell>
        </row>
        <row r="290">
          <cell r="A290">
            <v>70100633</v>
          </cell>
          <cell r="C290" t="str">
            <v>고급 집게발 충각</v>
          </cell>
        </row>
        <row r="291">
          <cell r="A291">
            <v>70100634</v>
          </cell>
          <cell r="C291" t="str">
            <v>고급 술리톱 충각</v>
          </cell>
        </row>
        <row r="292">
          <cell r="A292">
            <v>70100635</v>
          </cell>
          <cell r="C292" t="str">
            <v>고급 묠니르 충각</v>
          </cell>
        </row>
        <row r="293">
          <cell r="A293">
            <v>70100636</v>
          </cell>
          <cell r="C293" t="str">
            <v>고급 메두사의 쐐기</v>
          </cell>
        </row>
        <row r="294">
          <cell r="A294">
            <v>70100637</v>
          </cell>
          <cell r="C294" t="str">
            <v>고급 역날형 다이아몬드 충각</v>
          </cell>
        </row>
        <row r="295">
          <cell r="A295">
            <v>70100638</v>
          </cell>
          <cell r="C295" t="str">
            <v>낡은 이단노선형 쐐기</v>
          </cell>
        </row>
        <row r="296">
          <cell r="A296">
            <v>70100639</v>
          </cell>
          <cell r="C296" t="str">
            <v>강화 이단노선형 쐐기</v>
          </cell>
        </row>
        <row r="297">
          <cell r="A297">
            <v>70100640</v>
          </cell>
          <cell r="C297" t="str">
            <v>낡은 철퇴형 충각</v>
          </cell>
        </row>
        <row r="298">
          <cell r="A298">
            <v>70100641</v>
          </cell>
          <cell r="C298" t="str">
            <v>강화 철퇴형 충각</v>
          </cell>
        </row>
        <row r="299">
          <cell r="A299">
            <v>70100642</v>
          </cell>
          <cell r="C299" t="str">
            <v>낡은 반달도끼 충각</v>
          </cell>
        </row>
        <row r="300">
          <cell r="A300">
            <v>70100643</v>
          </cell>
          <cell r="C300" t="str">
            <v>강화 반달도끼 충각</v>
          </cell>
        </row>
        <row r="301">
          <cell r="A301">
            <v>70100644</v>
          </cell>
          <cell r="C301" t="str">
            <v>낡은 창형 충각</v>
          </cell>
        </row>
        <row r="302">
          <cell r="A302">
            <v>70100645</v>
          </cell>
          <cell r="C302" t="str">
            <v>강화 창형 충각</v>
          </cell>
        </row>
        <row r="303">
          <cell r="A303">
            <v>70100646</v>
          </cell>
          <cell r="C303" t="str">
            <v>폴암형 충각</v>
          </cell>
        </row>
        <row r="304">
          <cell r="A304">
            <v>70100647</v>
          </cell>
          <cell r="C304" t="str">
            <v>강화 폴암형 충각</v>
          </cell>
        </row>
        <row r="305">
          <cell r="A305">
            <v>70100648</v>
          </cell>
          <cell r="C305" t="str">
            <v>할라디 충각</v>
          </cell>
        </row>
        <row r="306">
          <cell r="A306">
            <v>70100649</v>
          </cell>
          <cell r="C306" t="str">
            <v>강화 할라디 충각</v>
          </cell>
        </row>
        <row r="307">
          <cell r="A307">
            <v>70100650</v>
          </cell>
          <cell r="C307" t="str">
            <v>갈퀴 충각</v>
          </cell>
        </row>
        <row r="308">
          <cell r="A308">
            <v>70100651</v>
          </cell>
          <cell r="C308" t="str">
            <v>강화 갈퀴 충각</v>
          </cell>
        </row>
        <row r="309">
          <cell r="A309">
            <v>70100652</v>
          </cell>
          <cell r="C309" t="str">
            <v>무쇠 충각</v>
          </cell>
        </row>
        <row r="310">
          <cell r="A310">
            <v>70100653</v>
          </cell>
          <cell r="C310" t="str">
            <v>강화 무쇠 충각</v>
          </cell>
        </row>
        <row r="311">
          <cell r="A311">
            <v>70100654</v>
          </cell>
          <cell r="C311" t="str">
            <v>삼단노선형 쐐기</v>
          </cell>
        </row>
        <row r="312">
          <cell r="A312">
            <v>70100655</v>
          </cell>
          <cell r="C312" t="str">
            <v>강화 삼단노선형 쐐기</v>
          </cell>
        </row>
        <row r="313">
          <cell r="A313">
            <v>70100656</v>
          </cell>
          <cell r="C313" t="str">
            <v>레이피어 충각</v>
          </cell>
        </row>
        <row r="314">
          <cell r="A314">
            <v>70100657</v>
          </cell>
          <cell r="C314" t="str">
            <v>강화 레이피어 충각</v>
          </cell>
        </row>
        <row r="315">
          <cell r="A315">
            <v>70100658</v>
          </cell>
          <cell r="C315" t="str">
            <v>니레카 충각</v>
          </cell>
        </row>
        <row r="316">
          <cell r="A316">
            <v>70100659</v>
          </cell>
          <cell r="C316" t="str">
            <v>강화 니레카 충각</v>
          </cell>
        </row>
        <row r="317">
          <cell r="A317">
            <v>70100660</v>
          </cell>
          <cell r="C317" t="str">
            <v>세락 파각</v>
          </cell>
        </row>
        <row r="318">
          <cell r="A318">
            <v>70100661</v>
          </cell>
          <cell r="C318" t="str">
            <v>강화 세락 파각</v>
          </cell>
        </row>
        <row r="319">
          <cell r="A319">
            <v>70100662</v>
          </cell>
          <cell r="C319" t="str">
            <v>역날검 충각</v>
          </cell>
        </row>
        <row r="320">
          <cell r="A320">
            <v>70100663</v>
          </cell>
          <cell r="C320" t="str">
            <v>강화 역날검 충각</v>
          </cell>
        </row>
        <row r="321">
          <cell r="A321">
            <v>70100664</v>
          </cell>
          <cell r="C321" t="str">
            <v>톱날 충각</v>
          </cell>
        </row>
        <row r="322">
          <cell r="A322">
            <v>70100665</v>
          </cell>
          <cell r="C322" t="str">
            <v>강화 톱날 충각</v>
          </cell>
        </row>
        <row r="323">
          <cell r="A323">
            <v>70100666</v>
          </cell>
          <cell r="C323" t="str">
            <v>초승달형 충각</v>
          </cell>
        </row>
        <row r="324">
          <cell r="A324">
            <v>70100667</v>
          </cell>
          <cell r="C324" t="str">
            <v>강화 초승달형 충각</v>
          </cell>
        </row>
        <row r="325">
          <cell r="A325">
            <v>70100668</v>
          </cell>
          <cell r="C325" t="str">
            <v>오단 노선형 쐐기</v>
          </cell>
        </row>
        <row r="326">
          <cell r="A326">
            <v>70100669</v>
          </cell>
          <cell r="C326" t="str">
            <v>강화 오단 노선형 쐐기</v>
          </cell>
        </row>
        <row r="327">
          <cell r="A327">
            <v>70100670</v>
          </cell>
          <cell r="C327" t="str">
            <v>일각고래의 뿔</v>
          </cell>
        </row>
        <row r="328">
          <cell r="A328">
            <v>70100671</v>
          </cell>
          <cell r="C328" t="str">
            <v>강화 일각고래의 뿔</v>
          </cell>
        </row>
        <row r="329">
          <cell r="A329">
            <v>70100672</v>
          </cell>
          <cell r="C329" t="str">
            <v>무한의 호른</v>
          </cell>
        </row>
        <row r="330">
          <cell r="A330">
            <v>70100673</v>
          </cell>
          <cell r="C330" t="str">
            <v>강화 무한의 호른</v>
          </cell>
        </row>
        <row r="331">
          <cell r="A331">
            <v>70100674</v>
          </cell>
          <cell r="C331" t="str">
            <v>우아한 은제 충각</v>
          </cell>
        </row>
        <row r="332">
          <cell r="A332">
            <v>70100675</v>
          </cell>
          <cell r="C332" t="str">
            <v>강화 우아한 은제 충각</v>
          </cell>
        </row>
        <row r="333">
          <cell r="A333">
            <v>70100676</v>
          </cell>
          <cell r="C333" t="str">
            <v>드로몬형 충각</v>
          </cell>
        </row>
        <row r="334">
          <cell r="A334">
            <v>70100677</v>
          </cell>
          <cell r="C334" t="str">
            <v>강화 드로몬형 충각</v>
          </cell>
        </row>
        <row r="335">
          <cell r="A335">
            <v>70100678</v>
          </cell>
          <cell r="C335" t="str">
            <v>해신의 창 충각</v>
          </cell>
        </row>
        <row r="336">
          <cell r="A336">
            <v>70100679</v>
          </cell>
          <cell r="C336" t="str">
            <v>강화 해신의 창 충각</v>
          </cell>
        </row>
        <row r="337">
          <cell r="A337">
            <v>70100680</v>
          </cell>
          <cell r="C337" t="str">
            <v>라우타로의 불</v>
          </cell>
        </row>
        <row r="338">
          <cell r="A338">
            <v>70100681</v>
          </cell>
          <cell r="C338" t="str">
            <v>강화 라우타로의 불</v>
          </cell>
        </row>
        <row r="339">
          <cell r="A339">
            <v>70100682</v>
          </cell>
          <cell r="C339" t="str">
            <v>헤라클레스의 철권</v>
          </cell>
        </row>
        <row r="340">
          <cell r="A340">
            <v>70100683</v>
          </cell>
          <cell r="C340" t="str">
            <v>강화 헤라클레스의 철권</v>
          </cell>
        </row>
        <row r="341">
          <cell r="A341">
            <v>70100684</v>
          </cell>
          <cell r="C341" t="str">
            <v>삼단 대형 충각</v>
          </cell>
        </row>
        <row r="342">
          <cell r="A342">
            <v>70100685</v>
          </cell>
          <cell r="C342" t="str">
            <v>강화 삼단 대형 충각</v>
          </cell>
        </row>
        <row r="343">
          <cell r="A343">
            <v>70100686</v>
          </cell>
          <cell r="C343" t="str">
            <v>파도 무늬 황금 충각</v>
          </cell>
        </row>
        <row r="344">
          <cell r="A344">
            <v>70100687</v>
          </cell>
          <cell r="C344" t="str">
            <v>강화 파도 무늬 황금 충각</v>
          </cell>
        </row>
        <row r="345">
          <cell r="A345">
            <v>70100688</v>
          </cell>
          <cell r="C345" t="str">
            <v>별을 찾는 자</v>
          </cell>
        </row>
        <row r="346">
          <cell r="A346">
            <v>70100689</v>
          </cell>
          <cell r="C346" t="str">
            <v>강화 별을 찾는 자</v>
          </cell>
        </row>
        <row r="347">
          <cell r="A347">
            <v>70100690</v>
          </cell>
          <cell r="C347" t="str">
            <v>프랑스식 방패 충각</v>
          </cell>
        </row>
        <row r="348">
          <cell r="A348">
            <v>70100691</v>
          </cell>
          <cell r="C348" t="str">
            <v>강화 프랑스식 방패 충각</v>
          </cell>
        </row>
        <row r="349">
          <cell r="A349">
            <v>70100692</v>
          </cell>
          <cell r="C349" t="str">
            <v>기사의 투구 충각</v>
          </cell>
        </row>
        <row r="350">
          <cell r="A350">
            <v>70100693</v>
          </cell>
          <cell r="C350" t="str">
            <v>강화 기사의 투구 충각</v>
          </cell>
        </row>
        <row r="351">
          <cell r="A351">
            <v>70100694</v>
          </cell>
          <cell r="C351" t="str">
            <v>바이킹 투구 충각</v>
          </cell>
        </row>
        <row r="352">
          <cell r="A352">
            <v>70100695</v>
          </cell>
          <cell r="C352" t="str">
            <v>강화 바이킹 투구 충각</v>
          </cell>
        </row>
        <row r="353">
          <cell r="A353">
            <v>70100696</v>
          </cell>
          <cell r="C353" t="str">
            <v>스웨덴제 쇠구슬 충각</v>
          </cell>
        </row>
        <row r="354">
          <cell r="A354">
            <v>70100697</v>
          </cell>
          <cell r="C354" t="str">
            <v>강화 스웨덴제 쇠구슬 충각</v>
          </cell>
        </row>
        <row r="355">
          <cell r="A355">
            <v>70100698</v>
          </cell>
          <cell r="C355" t="str">
            <v>그리핀의 부리</v>
          </cell>
        </row>
        <row r="356">
          <cell r="A356">
            <v>70100699</v>
          </cell>
          <cell r="C356" t="str">
            <v>강화 그리핀의 부리</v>
          </cell>
        </row>
        <row r="357">
          <cell r="A357">
            <v>70100700</v>
          </cell>
          <cell r="C357" t="str">
            <v>기사의 랜스 충각</v>
          </cell>
        </row>
        <row r="358">
          <cell r="A358">
            <v>70100701</v>
          </cell>
          <cell r="C358" t="str">
            <v>강화 기사의 랜스 충각</v>
          </cell>
        </row>
        <row r="359">
          <cell r="A359">
            <v>70100702</v>
          </cell>
          <cell r="C359" t="str">
            <v>황금 코브라 충각</v>
          </cell>
        </row>
        <row r="360">
          <cell r="A360">
            <v>70100703</v>
          </cell>
          <cell r="C360" t="str">
            <v>강화 황금 코브라 충각</v>
          </cell>
        </row>
        <row r="361">
          <cell r="A361">
            <v>70100704</v>
          </cell>
          <cell r="C361" t="str">
            <v>흑전갈 충각</v>
          </cell>
        </row>
        <row r="362">
          <cell r="A362">
            <v>70100705</v>
          </cell>
          <cell r="C362" t="str">
            <v>강화 흑전갈 충각</v>
          </cell>
        </row>
        <row r="363">
          <cell r="A363">
            <v>70100706</v>
          </cell>
          <cell r="C363" t="str">
            <v>타란툴라 충각</v>
          </cell>
        </row>
        <row r="364">
          <cell r="A364">
            <v>70100707</v>
          </cell>
          <cell r="C364" t="str">
            <v>강화 타란툴라 충각</v>
          </cell>
        </row>
        <row r="365">
          <cell r="A365">
            <v>70100708</v>
          </cell>
          <cell r="C365" t="str">
            <v>청새치 충각</v>
          </cell>
        </row>
        <row r="366">
          <cell r="A366">
            <v>70100709</v>
          </cell>
          <cell r="C366" t="str">
            <v>강화 청새치 충각</v>
          </cell>
        </row>
        <row r="367">
          <cell r="A367">
            <v>70100710</v>
          </cell>
          <cell r="C367" t="str">
            <v>청룡언월도 충각</v>
          </cell>
        </row>
        <row r="368">
          <cell r="A368">
            <v>70100711</v>
          </cell>
          <cell r="C368" t="str">
            <v>강화 청룡언월도 충각</v>
          </cell>
        </row>
        <row r="369">
          <cell r="A369">
            <v>70100712</v>
          </cell>
          <cell r="C369" t="str">
            <v>장팔사모 충각</v>
          </cell>
        </row>
        <row r="370">
          <cell r="A370">
            <v>70100713</v>
          </cell>
          <cell r="C370" t="str">
            <v>강화 장팔사모 충각</v>
          </cell>
        </row>
        <row r="371">
          <cell r="A371">
            <v>70100714</v>
          </cell>
          <cell r="C371" t="str">
            <v>소림사 금강저 충각</v>
          </cell>
        </row>
        <row r="372">
          <cell r="A372">
            <v>70100715</v>
          </cell>
          <cell r="C372" t="str">
            <v>강화 소림사 금강저 충각</v>
          </cell>
        </row>
        <row r="373">
          <cell r="A373">
            <v>70100716</v>
          </cell>
          <cell r="C373" t="str">
            <v>니드호그의 발톱</v>
          </cell>
        </row>
        <row r="374">
          <cell r="A374">
            <v>70100717</v>
          </cell>
          <cell r="C374" t="str">
            <v>강화 니드호그의 발톱</v>
          </cell>
        </row>
        <row r="375">
          <cell r="A375">
            <v>70100718</v>
          </cell>
          <cell r="C375" t="str">
            <v>구르즈 충각</v>
          </cell>
        </row>
        <row r="376">
          <cell r="A376">
            <v>70100719</v>
          </cell>
          <cell r="C376" t="str">
            <v>강화 구르즈 충각</v>
          </cell>
        </row>
        <row r="377">
          <cell r="A377">
            <v>70100720</v>
          </cell>
          <cell r="C377" t="str">
            <v>피톤의 머리</v>
          </cell>
        </row>
        <row r="378">
          <cell r="A378">
            <v>70100721</v>
          </cell>
          <cell r="C378" t="str">
            <v>강화 피톤의 머리</v>
          </cell>
        </row>
        <row r="379">
          <cell r="A379">
            <v>70100722</v>
          </cell>
          <cell r="C379" t="str">
            <v>집게발 충각</v>
          </cell>
        </row>
        <row r="380">
          <cell r="A380">
            <v>70100723</v>
          </cell>
          <cell r="C380" t="str">
            <v>강화 집게발 충각</v>
          </cell>
        </row>
        <row r="381">
          <cell r="A381">
            <v>70100724</v>
          </cell>
          <cell r="C381" t="str">
            <v>술리톱 충각</v>
          </cell>
        </row>
        <row r="382">
          <cell r="A382">
            <v>70100725</v>
          </cell>
          <cell r="C382" t="str">
            <v>강화 술리톱 충각</v>
          </cell>
        </row>
        <row r="383">
          <cell r="A383">
            <v>70100726</v>
          </cell>
          <cell r="C383" t="str">
            <v>묠니르 충각</v>
          </cell>
        </row>
        <row r="384">
          <cell r="A384">
            <v>70100727</v>
          </cell>
          <cell r="C384" t="str">
            <v>강화 묠니르 충각</v>
          </cell>
        </row>
        <row r="385">
          <cell r="A385">
            <v>70100728</v>
          </cell>
          <cell r="C385" t="str">
            <v>메두사의 쐐기</v>
          </cell>
        </row>
        <row r="386">
          <cell r="A386">
            <v>70100729</v>
          </cell>
          <cell r="C386" t="str">
            <v>강화 메두사의 쐐기</v>
          </cell>
        </row>
        <row r="387">
          <cell r="A387">
            <v>70100730</v>
          </cell>
          <cell r="C387" t="str">
            <v>역날형 다이아몬드 충각</v>
          </cell>
        </row>
        <row r="388">
          <cell r="A388">
            <v>70100731</v>
          </cell>
          <cell r="C388" t="str">
            <v>강화 역날형 다이아몬드 충각</v>
          </cell>
        </row>
        <row r="389">
          <cell r="A389">
            <v>70100732</v>
          </cell>
          <cell r="C389" t="str">
            <v>바다 기사단의 충각</v>
          </cell>
        </row>
        <row r="390">
          <cell r="A390">
            <v>70100733</v>
          </cell>
          <cell r="C390" t="str">
            <v>새내기 제독의 충각</v>
          </cell>
        </row>
        <row r="391">
          <cell r="A391">
            <v>70100734</v>
          </cell>
          <cell r="C391" t="str">
            <v>상단 연합의 돌진 충각</v>
          </cell>
        </row>
        <row r="392">
          <cell r="A392">
            <v>70100735</v>
          </cell>
          <cell r="C392" t="str">
            <v>상단 연합의 분쇄 충각</v>
          </cell>
        </row>
        <row r="393">
          <cell r="A393">
            <v>70100736</v>
          </cell>
          <cell r="C393" t="str">
            <v>폭풍 선단의 전투 충각</v>
          </cell>
        </row>
        <row r="394">
          <cell r="A394">
            <v>70100737</v>
          </cell>
          <cell r="C394" t="str">
            <v>폭풍 선단의 돌진 충각</v>
          </cell>
        </row>
        <row r="395">
          <cell r="A395">
            <v>70100738</v>
          </cell>
          <cell r="C395" t="str">
            <v>폭풍 선단의 분쇄 충각</v>
          </cell>
        </row>
        <row r="396">
          <cell r="A396">
            <v>70100739</v>
          </cell>
          <cell r="C396" t="str">
            <v>상회의 충각</v>
          </cell>
        </row>
        <row r="397">
          <cell r="A397">
            <v>70100846</v>
          </cell>
          <cell r="C397" t="str">
            <v>미 장착</v>
          </cell>
        </row>
        <row r="398">
          <cell r="A398">
            <v>70100847</v>
          </cell>
          <cell r="C398" t="str">
            <v>범고래상</v>
          </cell>
        </row>
        <row r="399">
          <cell r="A399">
            <v>70100848</v>
          </cell>
          <cell r="C399" t="str">
            <v>호랑이상</v>
          </cell>
        </row>
        <row r="400">
          <cell r="A400">
            <v>70100849</v>
          </cell>
          <cell r="C400" t="str">
            <v>표범상</v>
          </cell>
        </row>
        <row r="401">
          <cell r="A401">
            <v>70100850</v>
          </cell>
          <cell r="C401" t="str">
            <v>송골매상</v>
          </cell>
        </row>
        <row r="402">
          <cell r="A402">
            <v>70100851</v>
          </cell>
          <cell r="C402" t="str">
            <v>푸른솔개상</v>
          </cell>
        </row>
        <row r="403">
          <cell r="A403">
            <v>70100852</v>
          </cell>
          <cell r="C403" t="str">
            <v>돌고래상</v>
          </cell>
        </row>
        <row r="404">
          <cell r="A404">
            <v>70100853</v>
          </cell>
          <cell r="C404" t="str">
            <v>고래상</v>
          </cell>
        </row>
        <row r="405">
          <cell r="A405">
            <v>70100854</v>
          </cell>
          <cell r="C405" t="str">
            <v>매의 상</v>
          </cell>
        </row>
        <row r="406">
          <cell r="A406">
            <v>70100855</v>
          </cell>
          <cell r="C406" t="str">
            <v>솔개상</v>
          </cell>
        </row>
        <row r="407">
          <cell r="A407">
            <v>70100856</v>
          </cell>
          <cell r="C407" t="str">
            <v>라나팰콘상</v>
          </cell>
        </row>
        <row r="408">
          <cell r="A408">
            <v>70100857</v>
          </cell>
          <cell r="C408" t="str">
            <v>상어상</v>
          </cell>
        </row>
        <row r="409">
          <cell r="A409">
            <v>70100858</v>
          </cell>
          <cell r="C409" t="str">
            <v>화이트사이드의상</v>
          </cell>
        </row>
        <row r="410">
          <cell r="A410">
            <v>70100859</v>
          </cell>
          <cell r="C410" t="str">
            <v>독수리상</v>
          </cell>
        </row>
        <row r="411">
          <cell r="A411">
            <v>70100860</v>
          </cell>
          <cell r="C411" t="str">
            <v>거북상</v>
          </cell>
        </row>
        <row r="412">
          <cell r="A412">
            <v>70100861</v>
          </cell>
          <cell r="C412" t="str">
            <v>사자상</v>
          </cell>
        </row>
        <row r="413">
          <cell r="A413">
            <v>70100862</v>
          </cell>
          <cell r="C413" t="str">
            <v>쥐돌고래상</v>
          </cell>
        </row>
        <row r="414">
          <cell r="A414">
            <v>70100863</v>
          </cell>
          <cell r="C414" t="str">
            <v>처녀상</v>
          </cell>
        </row>
        <row r="415">
          <cell r="A415">
            <v>70100864</v>
          </cell>
          <cell r="C415" t="str">
            <v>흰돌고래상</v>
          </cell>
        </row>
        <row r="416">
          <cell r="A416">
            <v>70100865</v>
          </cell>
          <cell r="C416" t="str">
            <v>나고래상</v>
          </cell>
        </row>
        <row r="417">
          <cell r="A417">
            <v>70100866</v>
          </cell>
          <cell r="C417" t="str">
            <v>나이트 호크상</v>
          </cell>
        </row>
        <row r="418">
          <cell r="A418">
            <v>70100867</v>
          </cell>
          <cell r="C418" t="str">
            <v>고스 호크상</v>
          </cell>
        </row>
        <row r="419">
          <cell r="A419">
            <v>70100868</v>
          </cell>
          <cell r="C419" t="str">
            <v>긴수염고래상</v>
          </cell>
        </row>
        <row r="420">
          <cell r="A420">
            <v>70100869</v>
          </cell>
          <cell r="C420" t="str">
            <v>매너티의 상</v>
          </cell>
        </row>
        <row r="421">
          <cell r="A421">
            <v>70100870</v>
          </cell>
          <cell r="C421" t="str">
            <v>케스트랄상</v>
          </cell>
        </row>
        <row r="422">
          <cell r="A422">
            <v>70100871</v>
          </cell>
          <cell r="C422" t="str">
            <v>스패로 호크상</v>
          </cell>
        </row>
        <row r="423">
          <cell r="A423">
            <v>70100872</v>
          </cell>
          <cell r="C423" t="str">
            <v>고급 천사상</v>
          </cell>
        </row>
        <row r="424">
          <cell r="A424">
            <v>70100873</v>
          </cell>
          <cell r="C424" t="str">
            <v>벌쳐상</v>
          </cell>
        </row>
        <row r="425">
          <cell r="A425">
            <v>70100874</v>
          </cell>
          <cell r="C425" t="str">
            <v>세이렌상</v>
          </cell>
        </row>
        <row r="426">
          <cell r="A426">
            <v>70100875</v>
          </cell>
          <cell r="C426" t="str">
            <v>불사조상</v>
          </cell>
        </row>
        <row r="427">
          <cell r="A427">
            <v>70100876</v>
          </cell>
          <cell r="C427" t="str">
            <v>흰긴수염고래상</v>
          </cell>
        </row>
        <row r="428">
          <cell r="A428">
            <v>70100877</v>
          </cell>
          <cell r="C428" t="str">
            <v>바위새상</v>
          </cell>
        </row>
        <row r="429">
          <cell r="A429">
            <v>70100878</v>
          </cell>
          <cell r="C429" t="str">
            <v>고급 여신상</v>
          </cell>
        </row>
        <row r="430">
          <cell r="A430">
            <v>70100879</v>
          </cell>
          <cell r="C430" t="str">
            <v>고급 듀공상</v>
          </cell>
        </row>
        <row r="431">
          <cell r="A431">
            <v>70100880</v>
          </cell>
          <cell r="C431" t="str">
            <v>고급 금독수리상</v>
          </cell>
        </row>
        <row r="432">
          <cell r="A432">
            <v>70100881</v>
          </cell>
          <cell r="C432" t="str">
            <v>고급 해신상</v>
          </cell>
        </row>
        <row r="433">
          <cell r="A433">
            <v>70100882</v>
          </cell>
          <cell r="C433" t="str">
            <v>고급 성모상</v>
          </cell>
        </row>
        <row r="434">
          <cell r="A434">
            <v>70100883</v>
          </cell>
          <cell r="C434" t="str">
            <v>고급 왕자상</v>
          </cell>
        </row>
        <row r="435">
          <cell r="A435">
            <v>70100884</v>
          </cell>
          <cell r="C435" t="str">
            <v>고급 용사상</v>
          </cell>
        </row>
        <row r="436">
          <cell r="A436">
            <v>70100885</v>
          </cell>
          <cell r="C436" t="str">
            <v>고급 에우로페상</v>
          </cell>
        </row>
        <row r="437">
          <cell r="A437">
            <v>70100886</v>
          </cell>
          <cell r="C437" t="str">
            <v>고급 백상어상</v>
          </cell>
        </row>
        <row r="438">
          <cell r="A438">
            <v>70100887</v>
          </cell>
          <cell r="C438" t="str">
            <v>고급 위인상</v>
          </cell>
        </row>
        <row r="439">
          <cell r="A439">
            <v>70100888</v>
          </cell>
          <cell r="C439" t="str">
            <v>고급 톱상어상</v>
          </cell>
        </row>
        <row r="440">
          <cell r="A440">
            <v>70100889</v>
          </cell>
          <cell r="C440" t="str">
            <v>고급 안드로메다상</v>
          </cell>
        </row>
        <row r="441">
          <cell r="A441">
            <v>70100890</v>
          </cell>
          <cell r="C441" t="str">
            <v>고급 샌드타이거상</v>
          </cell>
        </row>
        <row r="442">
          <cell r="A442">
            <v>70100891</v>
          </cell>
          <cell r="C442" t="str">
            <v>고급 해수상</v>
          </cell>
        </row>
        <row r="443">
          <cell r="A443">
            <v>70100892</v>
          </cell>
          <cell r="C443" t="str">
            <v>고급 에로스상</v>
          </cell>
        </row>
        <row r="444">
          <cell r="A444">
            <v>70100893</v>
          </cell>
          <cell r="C444" t="str">
            <v>고급 파리스상</v>
          </cell>
        </row>
        <row r="445">
          <cell r="A445">
            <v>70100894</v>
          </cell>
          <cell r="C445" t="str">
            <v>고급 네르바 황제상</v>
          </cell>
        </row>
        <row r="446">
          <cell r="A446">
            <v>70100895</v>
          </cell>
          <cell r="C446" t="str">
            <v>고급 피우스 황제상</v>
          </cell>
        </row>
        <row r="447">
          <cell r="A447">
            <v>70100896</v>
          </cell>
          <cell r="C447" t="str">
            <v>고급 하드리아누스 황제상</v>
          </cell>
        </row>
        <row r="448">
          <cell r="A448">
            <v>70100897</v>
          </cell>
          <cell r="C448" t="str">
            <v>고급 아가멤논상</v>
          </cell>
        </row>
        <row r="449">
          <cell r="A449">
            <v>70100898</v>
          </cell>
          <cell r="C449" t="str">
            <v>고급 큐피트상</v>
          </cell>
        </row>
        <row r="450">
          <cell r="A450">
            <v>70100899</v>
          </cell>
          <cell r="C450" t="str">
            <v>고급 미다스왕의 선수상</v>
          </cell>
        </row>
        <row r="451">
          <cell r="A451">
            <v>70100900</v>
          </cell>
          <cell r="C451" t="str">
            <v>고급 아르키메데스상</v>
          </cell>
        </row>
        <row r="452">
          <cell r="A452">
            <v>70100901</v>
          </cell>
          <cell r="C452" t="str">
            <v>고급 트라야누스 황제상</v>
          </cell>
        </row>
        <row r="453">
          <cell r="A453">
            <v>70100902</v>
          </cell>
          <cell r="C453" t="str">
            <v>고급 흰머리 독수리상</v>
          </cell>
        </row>
        <row r="454">
          <cell r="A454">
            <v>70100903</v>
          </cell>
          <cell r="C454" t="str">
            <v>고급 천룡상</v>
          </cell>
        </row>
        <row r="455">
          <cell r="A455">
            <v>70100904</v>
          </cell>
          <cell r="C455" t="str">
            <v>고급 판도라상</v>
          </cell>
        </row>
        <row r="456">
          <cell r="A456">
            <v>70100905</v>
          </cell>
          <cell r="C456" t="str">
            <v>고급 벤누의상</v>
          </cell>
        </row>
        <row r="457">
          <cell r="A457">
            <v>70100906</v>
          </cell>
          <cell r="C457" t="str">
            <v>고급 와이번상</v>
          </cell>
        </row>
        <row r="458">
          <cell r="A458">
            <v>70100907</v>
          </cell>
          <cell r="C458" t="str">
            <v>고급 성인상</v>
          </cell>
        </row>
        <row r="459">
          <cell r="A459">
            <v>70100908</v>
          </cell>
          <cell r="C459" t="str">
            <v>고급 티아마트상</v>
          </cell>
        </row>
        <row r="460">
          <cell r="A460">
            <v>70100909</v>
          </cell>
          <cell r="C460" t="str">
            <v>고급 양쯔강돌고래상</v>
          </cell>
        </row>
        <row r="461">
          <cell r="A461">
            <v>70100910</v>
          </cell>
          <cell r="C461" t="str">
            <v>고급 리바이어던상</v>
          </cell>
        </row>
        <row r="462">
          <cell r="A462">
            <v>70100911</v>
          </cell>
          <cell r="C462" t="str">
            <v>고급 케살코아틀상</v>
          </cell>
        </row>
        <row r="463">
          <cell r="A463">
            <v>70100912</v>
          </cell>
          <cell r="C463" t="str">
            <v>고급 아르테미스상</v>
          </cell>
        </row>
        <row r="464">
          <cell r="A464">
            <v>70100913</v>
          </cell>
          <cell r="C464" t="str">
            <v>고급 가고일상</v>
          </cell>
        </row>
        <row r="465">
          <cell r="A465">
            <v>70100914</v>
          </cell>
          <cell r="C465" t="str">
            <v>고급 아이네이아스상</v>
          </cell>
        </row>
        <row r="466">
          <cell r="A466">
            <v>70100915</v>
          </cell>
          <cell r="C466" t="str">
            <v>고급 익스타브상</v>
          </cell>
        </row>
        <row r="467">
          <cell r="A467">
            <v>70100916</v>
          </cell>
          <cell r="C467" t="str">
            <v>고급 디아나상</v>
          </cell>
        </row>
        <row r="468">
          <cell r="A468">
            <v>70100917</v>
          </cell>
          <cell r="C468" t="str">
            <v>고급 아디 다하카상</v>
          </cell>
        </row>
        <row r="469">
          <cell r="A469">
            <v>70100918</v>
          </cell>
          <cell r="C469" t="str">
            <v>고급 성안드레상</v>
          </cell>
        </row>
        <row r="470">
          <cell r="A470">
            <v>70100919</v>
          </cell>
          <cell r="C470" t="str">
            <v>고급 시서펜트상</v>
          </cell>
        </row>
        <row r="471">
          <cell r="A471">
            <v>70100920</v>
          </cell>
          <cell r="C471" t="str">
            <v>고급 아난타상</v>
          </cell>
        </row>
        <row r="472">
          <cell r="A472">
            <v>70100921</v>
          </cell>
          <cell r="C472" t="str">
            <v>고급 라 선수상</v>
          </cell>
        </row>
        <row r="473">
          <cell r="A473">
            <v>70100922</v>
          </cell>
          <cell r="C473" t="str">
            <v>고급 정화함대의 선수상</v>
          </cell>
        </row>
        <row r="474">
          <cell r="A474">
            <v>70100923</v>
          </cell>
          <cell r="C474" t="str">
            <v>고급 브리트라상</v>
          </cell>
        </row>
        <row r="475">
          <cell r="A475">
            <v>70100924</v>
          </cell>
          <cell r="C475" t="str">
            <v>고급 성페테로상</v>
          </cell>
        </row>
        <row r="476">
          <cell r="A476">
            <v>70100925</v>
          </cell>
          <cell r="C476" t="str">
            <v>고급 플라톤상</v>
          </cell>
        </row>
        <row r="477">
          <cell r="A477">
            <v>70100926</v>
          </cell>
          <cell r="C477" t="str">
            <v>고급 마우상</v>
          </cell>
        </row>
        <row r="478">
          <cell r="A478">
            <v>70100927</v>
          </cell>
          <cell r="C478" t="str">
            <v>고급 살라딘의 상</v>
          </cell>
        </row>
        <row r="479">
          <cell r="A479">
            <v>70100928</v>
          </cell>
          <cell r="C479" t="str">
            <v>고급 한니발상</v>
          </cell>
        </row>
        <row r="480">
          <cell r="A480">
            <v>70100929</v>
          </cell>
          <cell r="C480" t="str">
            <v>고급 용머리 선수상</v>
          </cell>
        </row>
        <row r="481">
          <cell r="A481">
            <v>70100930</v>
          </cell>
          <cell r="C481" t="str">
            <v>고급 아누비스 선수상</v>
          </cell>
        </row>
        <row r="482">
          <cell r="A482">
            <v>70100931</v>
          </cell>
          <cell r="C482" t="str">
            <v>고급 성브렌던상</v>
          </cell>
        </row>
        <row r="483">
          <cell r="A483">
            <v>70100932</v>
          </cell>
          <cell r="C483" t="str">
            <v>고급 다누상</v>
          </cell>
        </row>
        <row r="484">
          <cell r="A484">
            <v>70100933</v>
          </cell>
          <cell r="C484" t="str">
            <v>고급 파프니르상</v>
          </cell>
        </row>
        <row r="485">
          <cell r="A485">
            <v>70100934</v>
          </cell>
          <cell r="C485" t="str">
            <v>고급 쿠크르칸상</v>
          </cell>
        </row>
        <row r="486">
          <cell r="A486">
            <v>70100935</v>
          </cell>
          <cell r="C486" t="str">
            <v>고급 오디세우스의 상</v>
          </cell>
        </row>
        <row r="487">
          <cell r="A487">
            <v>70100936</v>
          </cell>
          <cell r="C487" t="str">
            <v>고급 소크라테스상</v>
          </cell>
        </row>
        <row r="488">
          <cell r="A488">
            <v>70100937</v>
          </cell>
          <cell r="C488" t="str">
            <v>고급 성커스버트상</v>
          </cell>
        </row>
        <row r="489">
          <cell r="A489">
            <v>70100938</v>
          </cell>
          <cell r="C489" t="str">
            <v>고급 잔 다르크상</v>
          </cell>
        </row>
        <row r="490">
          <cell r="A490">
            <v>70100939</v>
          </cell>
          <cell r="C490" t="str">
            <v>고급 아우렐리우스 황제상</v>
          </cell>
        </row>
        <row r="491">
          <cell r="A491">
            <v>70100940</v>
          </cell>
          <cell r="C491" t="str">
            <v>고급 알라시드상</v>
          </cell>
        </row>
        <row r="492">
          <cell r="A492">
            <v>70100941</v>
          </cell>
          <cell r="C492" t="str">
            <v>고급 그리폰상</v>
          </cell>
        </row>
        <row r="493">
          <cell r="A493">
            <v>70100942</v>
          </cell>
          <cell r="C493" t="str">
            <v>고급 요르문간드상</v>
          </cell>
        </row>
        <row r="494">
          <cell r="A494">
            <v>70100943</v>
          </cell>
          <cell r="C494" t="str">
            <v>고급 이슈타르상</v>
          </cell>
        </row>
        <row r="495">
          <cell r="A495">
            <v>70100944</v>
          </cell>
          <cell r="C495" t="str">
            <v>고급 아나히타상</v>
          </cell>
        </row>
        <row r="496">
          <cell r="A496">
            <v>70100945</v>
          </cell>
          <cell r="C496" t="str">
            <v>고급 프레이아상</v>
          </cell>
        </row>
        <row r="497">
          <cell r="A497">
            <v>70100946</v>
          </cell>
          <cell r="C497" t="str">
            <v>고급 포세이돈상</v>
          </cell>
        </row>
        <row r="498">
          <cell r="A498">
            <v>70100947</v>
          </cell>
          <cell r="C498" t="str">
            <v>고급 성마르코상</v>
          </cell>
        </row>
        <row r="499">
          <cell r="A499">
            <v>70100948</v>
          </cell>
          <cell r="C499" t="str">
            <v>고급 성크리스토퍼상</v>
          </cell>
        </row>
        <row r="500">
          <cell r="A500">
            <v>70100949</v>
          </cell>
          <cell r="C500" t="str">
            <v>고급 아쇼카왕상</v>
          </cell>
        </row>
        <row r="501">
          <cell r="A501">
            <v>70100950</v>
          </cell>
          <cell r="C501" t="str">
            <v>고급 사라스바티의 상</v>
          </cell>
        </row>
        <row r="502">
          <cell r="A502">
            <v>70100951</v>
          </cell>
          <cell r="C502" t="str">
            <v>고급 잉어상</v>
          </cell>
        </row>
        <row r="503">
          <cell r="A503">
            <v>70100952</v>
          </cell>
          <cell r="C503" t="str">
            <v>고급 람세스 2세의 상</v>
          </cell>
        </row>
        <row r="504">
          <cell r="A504">
            <v>70100953</v>
          </cell>
          <cell r="C504" t="str">
            <v>고급 해골상</v>
          </cell>
        </row>
        <row r="505">
          <cell r="A505">
            <v>70100954</v>
          </cell>
          <cell r="C505" t="str">
            <v>고급 코끼리상</v>
          </cell>
        </row>
        <row r="506">
          <cell r="A506">
            <v>70100955</v>
          </cell>
          <cell r="C506" t="str">
            <v>고급 넵투누스상</v>
          </cell>
        </row>
        <row r="507">
          <cell r="A507">
            <v>70100956</v>
          </cell>
          <cell r="C507" t="str">
            <v>고급 문어상</v>
          </cell>
        </row>
        <row r="508">
          <cell r="A508">
            <v>70100957</v>
          </cell>
          <cell r="C508" t="str">
            <v>고급 곰상</v>
          </cell>
        </row>
        <row r="509">
          <cell r="A509">
            <v>70100958</v>
          </cell>
          <cell r="C509" t="str">
            <v>고급 성마그달레나상</v>
          </cell>
        </row>
        <row r="510">
          <cell r="A510">
            <v>70100959</v>
          </cell>
          <cell r="C510" t="str">
            <v>고급 헤라상</v>
          </cell>
        </row>
        <row r="511">
          <cell r="A511">
            <v>70100960</v>
          </cell>
          <cell r="C511" t="str">
            <v>고급 펜리르상</v>
          </cell>
        </row>
        <row r="512">
          <cell r="A512">
            <v>70100961</v>
          </cell>
          <cell r="C512" t="str">
            <v>고급 비너스상</v>
          </cell>
        </row>
        <row r="513">
          <cell r="A513">
            <v>70100962</v>
          </cell>
          <cell r="C513" t="str">
            <v>고급 용상</v>
          </cell>
        </row>
        <row r="514">
          <cell r="A514">
            <v>70100963</v>
          </cell>
          <cell r="C514" t="str">
            <v>고급 성아가타상</v>
          </cell>
        </row>
        <row r="515">
          <cell r="A515">
            <v>70100964</v>
          </cell>
          <cell r="C515" t="str">
            <v>고급 가루다상</v>
          </cell>
        </row>
        <row r="516">
          <cell r="A516">
            <v>70100965</v>
          </cell>
          <cell r="C516" t="str">
            <v>고급 아프로디테상</v>
          </cell>
        </row>
        <row r="517">
          <cell r="A517">
            <v>70100966</v>
          </cell>
          <cell r="C517" t="str">
            <v>고급 동자승상</v>
          </cell>
        </row>
        <row r="518">
          <cell r="A518">
            <v>70100967</v>
          </cell>
          <cell r="C518" t="str">
            <v>고급 맨티코어상</v>
          </cell>
        </row>
        <row r="519">
          <cell r="A519">
            <v>70100968</v>
          </cell>
          <cell r="C519" t="str">
            <v>고급 라크슈미의상</v>
          </cell>
        </row>
        <row r="520">
          <cell r="A520">
            <v>70100969</v>
          </cell>
          <cell r="C520" t="str">
            <v>고급 유노상</v>
          </cell>
        </row>
        <row r="521">
          <cell r="A521">
            <v>70100970</v>
          </cell>
          <cell r="C521" t="str">
            <v>고급 성니코라우스상</v>
          </cell>
        </row>
        <row r="522">
          <cell r="A522">
            <v>70100971</v>
          </cell>
          <cell r="C522" t="str">
            <v>고급 팔바티상</v>
          </cell>
        </row>
        <row r="523">
          <cell r="A523">
            <v>70100972</v>
          </cell>
          <cell r="C523" t="str">
            <v>고급 성게오르기우스상</v>
          </cell>
        </row>
        <row r="524">
          <cell r="A524">
            <v>70100973</v>
          </cell>
          <cell r="C524" t="str">
            <v>고급 성바바라상</v>
          </cell>
        </row>
        <row r="525">
          <cell r="A525">
            <v>70100974</v>
          </cell>
          <cell r="C525" t="str">
            <v>고급 물소상</v>
          </cell>
        </row>
        <row r="526">
          <cell r="A526">
            <v>70100975</v>
          </cell>
          <cell r="C526" t="str">
            <v>고급 이시스상</v>
          </cell>
        </row>
        <row r="527">
          <cell r="A527">
            <v>70100976</v>
          </cell>
          <cell r="C527" t="str">
            <v>고급 코뿔소상</v>
          </cell>
        </row>
        <row r="528">
          <cell r="A528">
            <v>70100977</v>
          </cell>
          <cell r="C528" t="str">
            <v>고급 아틀라스 선수상</v>
          </cell>
        </row>
        <row r="529">
          <cell r="A529">
            <v>70100978</v>
          </cell>
          <cell r="C529" t="str">
            <v>고급 해태상</v>
          </cell>
        </row>
        <row r="530">
          <cell r="A530">
            <v>70100979</v>
          </cell>
          <cell r="C530" t="str">
            <v>고급 관우상</v>
          </cell>
        </row>
        <row r="531">
          <cell r="A531">
            <v>70100980</v>
          </cell>
          <cell r="C531" t="str">
            <v>고급 세종대왕상</v>
          </cell>
        </row>
        <row r="532">
          <cell r="A532">
            <v>70100981</v>
          </cell>
          <cell r="C532" t="str">
            <v>고급 장비상</v>
          </cell>
        </row>
        <row r="533">
          <cell r="A533">
            <v>70100982</v>
          </cell>
          <cell r="C533" t="str">
            <v>고급 칭기즈칸 상</v>
          </cell>
        </row>
        <row r="534">
          <cell r="A534">
            <v>70100983</v>
          </cell>
          <cell r="C534" t="str">
            <v>고급 석가모니상</v>
          </cell>
        </row>
        <row r="535">
          <cell r="A535">
            <v>70100984</v>
          </cell>
          <cell r="C535" t="str">
            <v>고급 인어상</v>
          </cell>
        </row>
        <row r="536">
          <cell r="A536">
            <v>70100985</v>
          </cell>
          <cell r="C536" t="str">
            <v>고급 바하무트상</v>
          </cell>
        </row>
        <row r="537">
          <cell r="A537">
            <v>70100986</v>
          </cell>
          <cell r="C537" t="str">
            <v>고급 일루얀카스상</v>
          </cell>
        </row>
        <row r="538">
          <cell r="A538">
            <v>70100987</v>
          </cell>
          <cell r="C538" t="str">
            <v>고급 황제 독수리상</v>
          </cell>
        </row>
        <row r="539">
          <cell r="A539">
            <v>70100988</v>
          </cell>
          <cell r="C539" t="str">
            <v>고급 화랑상</v>
          </cell>
        </row>
        <row r="540">
          <cell r="A540">
            <v>70100989</v>
          </cell>
          <cell r="C540" t="str">
            <v>고급 오니상</v>
          </cell>
        </row>
        <row r="541">
          <cell r="A541">
            <v>70100990</v>
          </cell>
          <cell r="C541" t="str">
            <v>고급 사무라이상</v>
          </cell>
        </row>
        <row r="542">
          <cell r="A542">
            <v>70101373</v>
          </cell>
          <cell r="C542" t="str">
            <v>새내기 제독의 선수상</v>
          </cell>
        </row>
        <row r="543">
          <cell r="A543">
            <v>70100991</v>
          </cell>
          <cell r="C543" t="str">
            <v>미 장착</v>
          </cell>
        </row>
        <row r="544">
          <cell r="A544">
            <v>70100992</v>
          </cell>
          <cell r="C544" t="str">
            <v>강화 스플릿</v>
          </cell>
        </row>
        <row r="545">
          <cell r="A545">
            <v>70100993</v>
          </cell>
          <cell r="C545" t="str">
            <v>강화 스팽커</v>
          </cell>
        </row>
        <row r="546">
          <cell r="A546">
            <v>70100994</v>
          </cell>
          <cell r="C546" t="str">
            <v>아카시아 노</v>
          </cell>
        </row>
        <row r="547">
          <cell r="A547">
            <v>70100995</v>
          </cell>
          <cell r="C547" t="str">
            <v>방향타</v>
          </cell>
        </row>
        <row r="548">
          <cell r="A548">
            <v>70100996</v>
          </cell>
          <cell r="C548" t="str">
            <v>강화 수조</v>
          </cell>
        </row>
        <row r="549">
          <cell r="A549">
            <v>70100997</v>
          </cell>
          <cell r="C549" t="str">
            <v>개조 현장</v>
          </cell>
        </row>
        <row r="550">
          <cell r="A550">
            <v>70100998</v>
          </cell>
          <cell r="C550" t="str">
            <v>강화 수밀격벽</v>
          </cell>
        </row>
        <row r="551">
          <cell r="A551">
            <v>70100999</v>
          </cell>
          <cell r="C551" t="str">
            <v>특제 리깅</v>
          </cell>
        </row>
        <row r="552">
          <cell r="A552">
            <v>70101000</v>
          </cell>
          <cell r="C552" t="str">
            <v>악기 보관함</v>
          </cell>
        </row>
        <row r="553">
          <cell r="A553">
            <v>70101001</v>
          </cell>
          <cell r="C553" t="str">
            <v>강화 방벽</v>
          </cell>
        </row>
        <row r="554">
          <cell r="A554">
            <v>70101002</v>
          </cell>
          <cell r="C554" t="str">
            <v>강화 캡스턴</v>
          </cell>
        </row>
        <row r="555">
          <cell r="A555">
            <v>70101003</v>
          </cell>
          <cell r="C555" t="str">
            <v>정찰정</v>
          </cell>
        </row>
        <row r="556">
          <cell r="A556">
            <v>70101004</v>
          </cell>
          <cell r="C556" t="str">
            <v>구조정</v>
          </cell>
        </row>
        <row r="557">
          <cell r="A557">
            <v>70101005</v>
          </cell>
          <cell r="C557" t="str">
            <v>돛대등</v>
          </cell>
        </row>
        <row r="558">
          <cell r="A558">
            <v>70101006</v>
          </cell>
          <cell r="C558" t="str">
            <v>섬광등</v>
          </cell>
        </row>
        <row r="559">
          <cell r="A559">
            <v>70101007</v>
          </cell>
          <cell r="C559" t="str">
            <v>대형 선창</v>
          </cell>
        </row>
        <row r="560">
          <cell r="A560">
            <v>70101008</v>
          </cell>
          <cell r="C560" t="str">
            <v>소해정</v>
          </cell>
        </row>
        <row r="561">
          <cell r="A561">
            <v>70101009</v>
          </cell>
          <cell r="C561" t="str">
            <v>귀선 등갑</v>
          </cell>
        </row>
        <row r="562">
          <cell r="A562">
            <v>70101010</v>
          </cell>
          <cell r="C562" t="str">
            <v>선수포 개조</v>
          </cell>
        </row>
        <row r="563">
          <cell r="A563">
            <v>70101011</v>
          </cell>
          <cell r="C563" t="str">
            <v>선미포 개조</v>
          </cell>
        </row>
        <row r="564">
          <cell r="A564">
            <v>70101013</v>
          </cell>
          <cell r="C564" t="str">
            <v>신기전</v>
          </cell>
        </row>
        <row r="565">
          <cell r="A565">
            <v>70101014</v>
          </cell>
          <cell r="C565" t="str">
            <v>대신기전</v>
          </cell>
        </row>
        <row r="566">
          <cell r="A566">
            <v>70101015</v>
          </cell>
          <cell r="C566" t="str">
            <v>용머리 화포</v>
          </cell>
        </row>
        <row r="567">
          <cell r="A567">
            <v>70101016</v>
          </cell>
          <cell r="C567" t="str">
            <v>그리스의 불</v>
          </cell>
        </row>
        <row r="568">
          <cell r="A568">
            <v>70101017</v>
          </cell>
          <cell r="C568" t="str">
            <v>화염방사기</v>
          </cell>
        </row>
        <row r="569">
          <cell r="A569">
            <v>70101018</v>
          </cell>
          <cell r="C569" t="str">
            <v>갈고리 발사대</v>
          </cell>
        </row>
        <row r="570">
          <cell r="A570">
            <v>70101019</v>
          </cell>
          <cell r="C570" t="str">
            <v>내화벽</v>
          </cell>
        </row>
        <row r="571">
          <cell r="A571">
            <v>70101020</v>
          </cell>
          <cell r="C571" t="str">
            <v>풍등</v>
          </cell>
        </row>
        <row r="572">
          <cell r="A572">
            <v>70101021</v>
          </cell>
          <cell r="C572" t="str">
            <v>연</v>
          </cell>
        </row>
        <row r="573">
          <cell r="A573">
            <v>70101022</v>
          </cell>
          <cell r="C573" t="str">
            <v>#선박 특성 부품(탱커)</v>
          </cell>
        </row>
        <row r="574">
          <cell r="A574">
            <v>70101023</v>
          </cell>
          <cell r="C574" t="str">
            <v>#포격 특성 부품(원딜)</v>
          </cell>
        </row>
        <row r="575">
          <cell r="A575">
            <v>70101024</v>
          </cell>
          <cell r="C575" t="str">
            <v>#백병 특성 부품(근딜)</v>
          </cell>
        </row>
        <row r="576">
          <cell r="A576">
            <v>70101025</v>
          </cell>
          <cell r="C576" t="str">
            <v>#지원 특성 부품(힐러)</v>
          </cell>
        </row>
        <row r="577">
          <cell r="A577">
            <v>70101385</v>
          </cell>
          <cell r="C577" t="str">
            <v>파랑용 덧판</v>
          </cell>
        </row>
        <row r="578">
          <cell r="A578">
            <v>70101386</v>
          </cell>
          <cell r="C578" t="str">
            <v>해류용 덧판</v>
          </cell>
        </row>
        <row r="579">
          <cell r="A579">
            <v>70101387</v>
          </cell>
          <cell r="C579" t="str">
            <v>해빙용 덧판</v>
          </cell>
        </row>
        <row r="580">
          <cell r="A580">
            <v>70101388</v>
          </cell>
          <cell r="C580" t="str">
            <v>허름한 노</v>
          </cell>
        </row>
        <row r="581">
          <cell r="A581">
            <v>70101389</v>
          </cell>
          <cell r="C581" t="str">
            <v>소형 가로 연돛</v>
          </cell>
        </row>
        <row r="582">
          <cell r="A582">
            <v>70101390</v>
          </cell>
          <cell r="C582" t="str">
            <v>소형 세로 연돛</v>
          </cell>
        </row>
        <row r="583">
          <cell r="A583">
            <v>70101391</v>
          </cell>
          <cell r="C583" t="str">
            <v>적재용 보따리</v>
          </cell>
        </row>
        <row r="584">
          <cell r="A584">
            <v>70101392</v>
          </cell>
          <cell r="C584" t="str">
            <v>지휘용 단상</v>
          </cell>
        </row>
        <row r="585">
          <cell r="A585">
            <v>70101393</v>
          </cell>
          <cell r="C585" t="str">
            <v>간이 침상</v>
          </cell>
        </row>
        <row r="586">
          <cell r="A586">
            <v>70101394</v>
          </cell>
          <cell r="C586" t="str">
            <v>파랑용 외판</v>
          </cell>
        </row>
        <row r="587">
          <cell r="A587">
            <v>70101395</v>
          </cell>
          <cell r="C587" t="str">
            <v>해류용 외판</v>
          </cell>
        </row>
        <row r="588">
          <cell r="A588">
            <v>70101396</v>
          </cell>
          <cell r="C588" t="str">
            <v>해빙용 외판</v>
          </cell>
        </row>
        <row r="589">
          <cell r="A589">
            <v>70101397</v>
          </cell>
          <cell r="C589" t="str">
            <v>튼튼한 노</v>
          </cell>
        </row>
        <row r="590">
          <cell r="A590">
            <v>70101398</v>
          </cell>
          <cell r="C590" t="str">
            <v>중형 가로 연돛</v>
          </cell>
        </row>
        <row r="591">
          <cell r="A591">
            <v>70101399</v>
          </cell>
          <cell r="C591" t="str">
            <v>중형 세로 연돛</v>
          </cell>
        </row>
        <row r="592">
          <cell r="A592">
            <v>70101400</v>
          </cell>
          <cell r="C592" t="str">
            <v>적재용 상자</v>
          </cell>
        </row>
        <row r="593">
          <cell r="A593">
            <v>70101401</v>
          </cell>
          <cell r="C593" t="str">
            <v>지휘용 연단</v>
          </cell>
        </row>
        <row r="594">
          <cell r="A594">
            <v>70101402</v>
          </cell>
          <cell r="C594" t="str">
            <v>이인용 간이 침상</v>
          </cell>
        </row>
        <row r="595">
          <cell r="A595">
            <v>70101403</v>
          </cell>
          <cell r="C595" t="str">
            <v>파랑용 외골격</v>
          </cell>
        </row>
        <row r="596">
          <cell r="A596">
            <v>70101404</v>
          </cell>
          <cell r="C596" t="str">
            <v>해류용 외골격</v>
          </cell>
        </row>
        <row r="597">
          <cell r="A597">
            <v>70101405</v>
          </cell>
          <cell r="C597" t="str">
            <v>해빙용 외골격</v>
          </cell>
        </row>
        <row r="598">
          <cell r="A598">
            <v>70101406</v>
          </cell>
          <cell r="C598" t="str">
            <v>튼튼한 자단나무 노</v>
          </cell>
        </row>
        <row r="599">
          <cell r="A599">
            <v>70101407</v>
          </cell>
          <cell r="C599" t="str">
            <v>대형 가로 연돛</v>
          </cell>
        </row>
        <row r="600">
          <cell r="A600">
            <v>70101408</v>
          </cell>
          <cell r="C600" t="str">
            <v>대형 세로 연돛</v>
          </cell>
        </row>
        <row r="601">
          <cell r="A601">
            <v>70101409</v>
          </cell>
          <cell r="C601" t="str">
            <v>대량 적재용 상자</v>
          </cell>
        </row>
        <row r="602">
          <cell r="A602">
            <v>70101410</v>
          </cell>
          <cell r="C602" t="str">
            <v>지휘용 대형 연단</v>
          </cell>
        </row>
        <row r="603">
          <cell r="A603">
            <v>70101411</v>
          </cell>
          <cell r="C603" t="str">
            <v>삼인용 간이 침상</v>
          </cell>
        </row>
        <row r="604">
          <cell r="A604">
            <v>70101026</v>
          </cell>
          <cell r="C604" t="str">
            <v>낡은 솔개상</v>
          </cell>
        </row>
        <row r="605">
          <cell r="A605">
            <v>70101027</v>
          </cell>
          <cell r="C605" t="str">
            <v>강화 솔개상</v>
          </cell>
        </row>
        <row r="606">
          <cell r="A606">
            <v>70101028</v>
          </cell>
          <cell r="C606" t="str">
            <v>낡은 라나팰콘상</v>
          </cell>
        </row>
        <row r="607">
          <cell r="A607">
            <v>70101029</v>
          </cell>
          <cell r="C607" t="str">
            <v>강화 라나팰콘상</v>
          </cell>
        </row>
        <row r="608">
          <cell r="A608">
            <v>70101030</v>
          </cell>
          <cell r="C608" t="str">
            <v>낡은 상어상</v>
          </cell>
        </row>
        <row r="609">
          <cell r="A609">
            <v>70101031</v>
          </cell>
          <cell r="C609" t="str">
            <v>강화 상어상</v>
          </cell>
        </row>
        <row r="610">
          <cell r="A610">
            <v>70101032</v>
          </cell>
          <cell r="C610" t="str">
            <v>낡은 화이트사이드의상</v>
          </cell>
        </row>
        <row r="611">
          <cell r="A611">
            <v>70101033</v>
          </cell>
          <cell r="C611" t="str">
            <v>강화 화이트사이드의상</v>
          </cell>
        </row>
        <row r="612">
          <cell r="A612">
            <v>70101034</v>
          </cell>
          <cell r="C612" t="str">
            <v>낡은 독수리상</v>
          </cell>
        </row>
        <row r="613">
          <cell r="A613">
            <v>70101035</v>
          </cell>
          <cell r="C613" t="str">
            <v>강화 독수리상</v>
          </cell>
        </row>
        <row r="614">
          <cell r="A614">
            <v>70101036</v>
          </cell>
          <cell r="C614" t="str">
            <v>낡은 거북상</v>
          </cell>
        </row>
        <row r="615">
          <cell r="A615">
            <v>70101037</v>
          </cell>
          <cell r="C615" t="str">
            <v>강화 거북상</v>
          </cell>
        </row>
        <row r="616">
          <cell r="A616">
            <v>70101038</v>
          </cell>
          <cell r="C616" t="str">
            <v>낡은 사자상</v>
          </cell>
        </row>
        <row r="617">
          <cell r="A617">
            <v>70101039</v>
          </cell>
          <cell r="C617" t="str">
            <v>강화 사자상</v>
          </cell>
        </row>
        <row r="618">
          <cell r="A618">
            <v>70101040</v>
          </cell>
          <cell r="C618" t="str">
            <v>낡은 쥐돌고래상</v>
          </cell>
        </row>
        <row r="619">
          <cell r="A619">
            <v>70101041</v>
          </cell>
          <cell r="C619" t="str">
            <v>강화 쥐돌고래상</v>
          </cell>
        </row>
        <row r="620">
          <cell r="A620">
            <v>70101042</v>
          </cell>
          <cell r="C620" t="str">
            <v>낡은 처녀상</v>
          </cell>
        </row>
        <row r="621">
          <cell r="A621">
            <v>70101043</v>
          </cell>
          <cell r="C621" t="str">
            <v>강화 처녀상</v>
          </cell>
        </row>
        <row r="622">
          <cell r="A622">
            <v>70101044</v>
          </cell>
          <cell r="C622" t="str">
            <v>낡은 흰돌고래상</v>
          </cell>
        </row>
        <row r="623">
          <cell r="A623">
            <v>70101045</v>
          </cell>
          <cell r="C623" t="str">
            <v>강화 흰돌고래상</v>
          </cell>
        </row>
        <row r="624">
          <cell r="A624">
            <v>70101046</v>
          </cell>
          <cell r="C624" t="str">
            <v>낡은 나고래상</v>
          </cell>
        </row>
        <row r="625">
          <cell r="A625">
            <v>70101047</v>
          </cell>
          <cell r="C625" t="str">
            <v>강화 나고래상</v>
          </cell>
        </row>
        <row r="626">
          <cell r="A626">
            <v>70101048</v>
          </cell>
          <cell r="C626" t="str">
            <v>낡은 나이트 호크상</v>
          </cell>
        </row>
        <row r="627">
          <cell r="A627">
            <v>70101049</v>
          </cell>
          <cell r="C627" t="str">
            <v>강화 나이트 호크상</v>
          </cell>
        </row>
        <row r="628">
          <cell r="A628">
            <v>70101050</v>
          </cell>
          <cell r="C628" t="str">
            <v>낡은 고스 호크상</v>
          </cell>
        </row>
        <row r="629">
          <cell r="A629">
            <v>70101051</v>
          </cell>
          <cell r="C629" t="str">
            <v>강화 고스 호크상</v>
          </cell>
        </row>
        <row r="630">
          <cell r="A630">
            <v>70101052</v>
          </cell>
          <cell r="C630" t="str">
            <v>낡은 긴수염고래상</v>
          </cell>
        </row>
        <row r="631">
          <cell r="A631">
            <v>70101053</v>
          </cell>
          <cell r="C631" t="str">
            <v>강화 긴수염고래상</v>
          </cell>
        </row>
        <row r="632">
          <cell r="A632">
            <v>70101054</v>
          </cell>
          <cell r="C632" t="str">
            <v>낡은 매너티의 상</v>
          </cell>
        </row>
        <row r="633">
          <cell r="A633">
            <v>70101055</v>
          </cell>
          <cell r="C633" t="str">
            <v>강화 매너티의 상</v>
          </cell>
        </row>
        <row r="634">
          <cell r="A634">
            <v>70101056</v>
          </cell>
          <cell r="C634" t="str">
            <v>낡은 케스트랄상</v>
          </cell>
        </row>
        <row r="635">
          <cell r="A635">
            <v>70101057</v>
          </cell>
          <cell r="C635" t="str">
            <v>강화 케스트랄상</v>
          </cell>
        </row>
        <row r="636">
          <cell r="A636">
            <v>70101058</v>
          </cell>
          <cell r="C636" t="str">
            <v>낡은 스패로 호크상</v>
          </cell>
        </row>
        <row r="637">
          <cell r="A637">
            <v>70101059</v>
          </cell>
          <cell r="C637" t="str">
            <v>강화 스패로 호크상</v>
          </cell>
        </row>
        <row r="638">
          <cell r="A638">
            <v>70101060</v>
          </cell>
          <cell r="C638" t="str">
            <v>천사상</v>
          </cell>
        </row>
        <row r="639">
          <cell r="A639">
            <v>70101061</v>
          </cell>
          <cell r="C639" t="str">
            <v>강화 천사상</v>
          </cell>
        </row>
        <row r="640">
          <cell r="A640">
            <v>70101062</v>
          </cell>
          <cell r="C640" t="str">
            <v>낡은 벌쳐상</v>
          </cell>
        </row>
        <row r="641">
          <cell r="A641">
            <v>70101063</v>
          </cell>
          <cell r="C641" t="str">
            <v>강화 벌쳐상</v>
          </cell>
        </row>
        <row r="642">
          <cell r="A642">
            <v>70101064</v>
          </cell>
          <cell r="C642" t="str">
            <v>낡은 세이렌상</v>
          </cell>
        </row>
        <row r="643">
          <cell r="A643">
            <v>70101065</v>
          </cell>
          <cell r="C643" t="str">
            <v>강화 세이렌상</v>
          </cell>
        </row>
        <row r="644">
          <cell r="A644">
            <v>70101066</v>
          </cell>
          <cell r="C644" t="str">
            <v>낡은 불사조상</v>
          </cell>
        </row>
        <row r="645">
          <cell r="A645">
            <v>70101067</v>
          </cell>
          <cell r="C645" t="str">
            <v>강화 불사조상</v>
          </cell>
        </row>
        <row r="646">
          <cell r="A646">
            <v>70101068</v>
          </cell>
          <cell r="C646" t="str">
            <v>낡은 흰긴수염고래상</v>
          </cell>
        </row>
        <row r="647">
          <cell r="A647">
            <v>70101069</v>
          </cell>
          <cell r="C647" t="str">
            <v>강화 흰긴수염고래상</v>
          </cell>
        </row>
        <row r="648">
          <cell r="A648">
            <v>70101070</v>
          </cell>
          <cell r="C648" t="str">
            <v>낡은 바위새상</v>
          </cell>
        </row>
        <row r="649">
          <cell r="A649">
            <v>70101071</v>
          </cell>
          <cell r="C649" t="str">
            <v>강화 바위새상</v>
          </cell>
        </row>
        <row r="650">
          <cell r="A650">
            <v>70101072</v>
          </cell>
          <cell r="C650" t="str">
            <v>여신상</v>
          </cell>
        </row>
        <row r="651">
          <cell r="A651">
            <v>70101073</v>
          </cell>
          <cell r="C651" t="str">
            <v>강화 여신상</v>
          </cell>
        </row>
        <row r="652">
          <cell r="A652">
            <v>70101074</v>
          </cell>
          <cell r="C652" t="str">
            <v>듀공상</v>
          </cell>
        </row>
        <row r="653">
          <cell r="A653">
            <v>70101075</v>
          </cell>
          <cell r="C653" t="str">
            <v>강화 듀공상</v>
          </cell>
        </row>
        <row r="654">
          <cell r="A654">
            <v>70101076</v>
          </cell>
          <cell r="C654" t="str">
            <v>금독수리상</v>
          </cell>
        </row>
        <row r="655">
          <cell r="A655">
            <v>70101077</v>
          </cell>
          <cell r="C655" t="str">
            <v>강화 금독수리상</v>
          </cell>
        </row>
        <row r="656">
          <cell r="A656">
            <v>70101078</v>
          </cell>
          <cell r="C656" t="str">
            <v>해신상</v>
          </cell>
        </row>
        <row r="657">
          <cell r="A657">
            <v>70101079</v>
          </cell>
          <cell r="C657" t="str">
            <v>강화 해신상</v>
          </cell>
        </row>
        <row r="658">
          <cell r="A658">
            <v>70101080</v>
          </cell>
          <cell r="C658" t="str">
            <v>성모상</v>
          </cell>
        </row>
        <row r="659">
          <cell r="A659">
            <v>70101081</v>
          </cell>
          <cell r="C659" t="str">
            <v>강화 성모상</v>
          </cell>
        </row>
        <row r="660">
          <cell r="A660">
            <v>70101082</v>
          </cell>
          <cell r="C660" t="str">
            <v>왕자상</v>
          </cell>
        </row>
        <row r="661">
          <cell r="A661">
            <v>70101083</v>
          </cell>
          <cell r="C661" t="str">
            <v>강화 왕자상</v>
          </cell>
        </row>
        <row r="662">
          <cell r="A662">
            <v>70101084</v>
          </cell>
          <cell r="C662" t="str">
            <v>용사상</v>
          </cell>
        </row>
        <row r="663">
          <cell r="A663">
            <v>70101085</v>
          </cell>
          <cell r="C663" t="str">
            <v>강화 용사상</v>
          </cell>
        </row>
        <row r="664">
          <cell r="A664">
            <v>70101086</v>
          </cell>
          <cell r="C664" t="str">
            <v>에우로페상</v>
          </cell>
        </row>
        <row r="665">
          <cell r="A665">
            <v>70101087</v>
          </cell>
          <cell r="C665" t="str">
            <v>강화 에우로페상</v>
          </cell>
        </row>
        <row r="666">
          <cell r="A666">
            <v>70101088</v>
          </cell>
          <cell r="C666" t="str">
            <v>백상어상</v>
          </cell>
        </row>
        <row r="667">
          <cell r="A667">
            <v>70101089</v>
          </cell>
          <cell r="C667" t="str">
            <v>강화 백상어상</v>
          </cell>
        </row>
        <row r="668">
          <cell r="A668">
            <v>70101090</v>
          </cell>
          <cell r="C668" t="str">
            <v>위인상</v>
          </cell>
        </row>
        <row r="669">
          <cell r="A669">
            <v>70101091</v>
          </cell>
          <cell r="C669" t="str">
            <v>강화 위인상</v>
          </cell>
        </row>
        <row r="670">
          <cell r="A670">
            <v>70101092</v>
          </cell>
          <cell r="C670" t="str">
            <v>톱상어상</v>
          </cell>
        </row>
        <row r="671">
          <cell r="A671">
            <v>70101093</v>
          </cell>
          <cell r="C671" t="str">
            <v>강화 톱상어상</v>
          </cell>
        </row>
        <row r="672">
          <cell r="A672">
            <v>70101094</v>
          </cell>
          <cell r="C672" t="str">
            <v>안드로메다상</v>
          </cell>
        </row>
        <row r="673">
          <cell r="A673">
            <v>70101095</v>
          </cell>
          <cell r="C673" t="str">
            <v>강화 안드로메다상</v>
          </cell>
        </row>
        <row r="674">
          <cell r="A674">
            <v>70101096</v>
          </cell>
          <cell r="C674" t="str">
            <v>샌드타이거상</v>
          </cell>
        </row>
        <row r="675">
          <cell r="A675">
            <v>70101097</v>
          </cell>
          <cell r="C675" t="str">
            <v>강화 샌드타이거상</v>
          </cell>
        </row>
        <row r="676">
          <cell r="A676">
            <v>70101098</v>
          </cell>
          <cell r="C676" t="str">
            <v>해수상</v>
          </cell>
        </row>
        <row r="677">
          <cell r="A677">
            <v>70101099</v>
          </cell>
          <cell r="C677" t="str">
            <v>강화 해수상</v>
          </cell>
        </row>
        <row r="678">
          <cell r="A678">
            <v>70101100</v>
          </cell>
          <cell r="C678" t="str">
            <v>에로스상</v>
          </cell>
        </row>
        <row r="679">
          <cell r="A679">
            <v>70101101</v>
          </cell>
          <cell r="C679" t="str">
            <v>강화 에로스상</v>
          </cell>
        </row>
        <row r="680">
          <cell r="A680">
            <v>70101102</v>
          </cell>
          <cell r="C680" t="str">
            <v>파리스상</v>
          </cell>
        </row>
        <row r="681">
          <cell r="A681">
            <v>70101103</v>
          </cell>
          <cell r="C681" t="str">
            <v>강화 파리스상</v>
          </cell>
        </row>
        <row r="682">
          <cell r="A682">
            <v>70101104</v>
          </cell>
          <cell r="C682" t="str">
            <v>네르바 황제상</v>
          </cell>
        </row>
        <row r="683">
          <cell r="A683">
            <v>70101105</v>
          </cell>
          <cell r="C683" t="str">
            <v>강화 네르바 황제상</v>
          </cell>
        </row>
        <row r="684">
          <cell r="A684">
            <v>70101106</v>
          </cell>
          <cell r="C684" t="str">
            <v>피우스 황제상</v>
          </cell>
        </row>
        <row r="685">
          <cell r="A685">
            <v>70101107</v>
          </cell>
          <cell r="C685" t="str">
            <v>강화 피우스 황제상</v>
          </cell>
        </row>
        <row r="686">
          <cell r="A686">
            <v>70101108</v>
          </cell>
          <cell r="C686" t="str">
            <v>하드리아누스 황제상</v>
          </cell>
        </row>
        <row r="687">
          <cell r="A687">
            <v>70101109</v>
          </cell>
          <cell r="C687" t="str">
            <v>강화 하드리아누스 황제상</v>
          </cell>
        </row>
        <row r="688">
          <cell r="A688">
            <v>70101110</v>
          </cell>
          <cell r="C688" t="str">
            <v>아가멤논상</v>
          </cell>
        </row>
        <row r="689">
          <cell r="A689">
            <v>70101111</v>
          </cell>
          <cell r="C689" t="str">
            <v>강화 아가멤논상</v>
          </cell>
        </row>
        <row r="690">
          <cell r="A690">
            <v>70101112</v>
          </cell>
          <cell r="C690" t="str">
            <v>큐피트상</v>
          </cell>
        </row>
        <row r="691">
          <cell r="A691">
            <v>70101113</v>
          </cell>
          <cell r="C691" t="str">
            <v>강화 큐피트상</v>
          </cell>
        </row>
        <row r="692">
          <cell r="A692">
            <v>70101114</v>
          </cell>
          <cell r="C692" t="str">
            <v>미다스왕의 선수상</v>
          </cell>
        </row>
        <row r="693">
          <cell r="A693">
            <v>70101115</v>
          </cell>
          <cell r="C693" t="str">
            <v>강화 미다스왕의 선수상</v>
          </cell>
        </row>
        <row r="694">
          <cell r="A694">
            <v>70101116</v>
          </cell>
          <cell r="C694" t="str">
            <v>아르키메데스상</v>
          </cell>
        </row>
        <row r="695">
          <cell r="A695">
            <v>70101117</v>
          </cell>
          <cell r="C695" t="str">
            <v>강화 아르키메데스상</v>
          </cell>
        </row>
        <row r="696">
          <cell r="A696">
            <v>70101118</v>
          </cell>
          <cell r="C696" t="str">
            <v>트라야누스 황제상</v>
          </cell>
        </row>
        <row r="697">
          <cell r="A697">
            <v>70101119</v>
          </cell>
          <cell r="C697" t="str">
            <v>강화 트라야누스 황제상</v>
          </cell>
        </row>
        <row r="698">
          <cell r="A698">
            <v>70101120</v>
          </cell>
          <cell r="C698" t="str">
            <v>흰머리 독수리상</v>
          </cell>
        </row>
        <row r="699">
          <cell r="A699">
            <v>70101121</v>
          </cell>
          <cell r="C699" t="str">
            <v>강화 흰머리 독수리상</v>
          </cell>
        </row>
        <row r="700">
          <cell r="A700">
            <v>70101122</v>
          </cell>
          <cell r="C700" t="str">
            <v>천룡상</v>
          </cell>
        </row>
        <row r="701">
          <cell r="A701">
            <v>70101123</v>
          </cell>
          <cell r="C701" t="str">
            <v>강화 천룡상</v>
          </cell>
        </row>
        <row r="702">
          <cell r="A702">
            <v>70101124</v>
          </cell>
          <cell r="C702" t="str">
            <v>판도라상</v>
          </cell>
        </row>
        <row r="703">
          <cell r="A703">
            <v>70101125</v>
          </cell>
          <cell r="C703" t="str">
            <v>강화 판도라상</v>
          </cell>
        </row>
        <row r="704">
          <cell r="A704">
            <v>70101126</v>
          </cell>
          <cell r="C704" t="str">
            <v>벤누의상</v>
          </cell>
        </row>
        <row r="705">
          <cell r="A705">
            <v>70101127</v>
          </cell>
          <cell r="C705" t="str">
            <v>강화 벤누의상</v>
          </cell>
        </row>
        <row r="706">
          <cell r="A706">
            <v>70101128</v>
          </cell>
          <cell r="C706" t="str">
            <v>와이번상</v>
          </cell>
        </row>
        <row r="707">
          <cell r="A707">
            <v>70101129</v>
          </cell>
          <cell r="C707" t="str">
            <v>강화 와이번상</v>
          </cell>
        </row>
        <row r="708">
          <cell r="A708">
            <v>70101130</v>
          </cell>
          <cell r="C708" t="str">
            <v>성인상</v>
          </cell>
        </row>
        <row r="709">
          <cell r="A709">
            <v>70101131</v>
          </cell>
          <cell r="C709" t="str">
            <v>강화 성인상</v>
          </cell>
        </row>
        <row r="710">
          <cell r="A710">
            <v>70101132</v>
          </cell>
          <cell r="C710" t="str">
            <v>티아마트상</v>
          </cell>
        </row>
        <row r="711">
          <cell r="A711">
            <v>70101133</v>
          </cell>
          <cell r="C711" t="str">
            <v>강화 티아마트상</v>
          </cell>
        </row>
        <row r="712">
          <cell r="A712">
            <v>70101134</v>
          </cell>
          <cell r="C712" t="str">
            <v>양쯔강돌고래상</v>
          </cell>
        </row>
        <row r="713">
          <cell r="A713">
            <v>70101135</v>
          </cell>
          <cell r="C713" t="str">
            <v>강화 양쯔강돌고래상</v>
          </cell>
        </row>
        <row r="714">
          <cell r="A714">
            <v>70101136</v>
          </cell>
          <cell r="C714" t="str">
            <v>리바이어던상</v>
          </cell>
        </row>
        <row r="715">
          <cell r="A715">
            <v>70101137</v>
          </cell>
          <cell r="C715" t="str">
            <v>강화 리바이어던상</v>
          </cell>
        </row>
        <row r="716">
          <cell r="A716">
            <v>70101138</v>
          </cell>
          <cell r="C716" t="str">
            <v>케살코아틀상</v>
          </cell>
        </row>
        <row r="717">
          <cell r="A717">
            <v>70101139</v>
          </cell>
          <cell r="C717" t="str">
            <v>강화 케살코아틀상</v>
          </cell>
        </row>
        <row r="718">
          <cell r="A718">
            <v>70101140</v>
          </cell>
          <cell r="C718" t="str">
            <v>아르테미스상</v>
          </cell>
        </row>
        <row r="719">
          <cell r="A719">
            <v>70101141</v>
          </cell>
          <cell r="C719" t="str">
            <v>강화 아르테미스상</v>
          </cell>
        </row>
        <row r="720">
          <cell r="A720">
            <v>70101142</v>
          </cell>
          <cell r="C720" t="str">
            <v>가고일상</v>
          </cell>
        </row>
        <row r="721">
          <cell r="A721">
            <v>70101143</v>
          </cell>
          <cell r="C721" t="str">
            <v>강화 가고일상</v>
          </cell>
        </row>
        <row r="722">
          <cell r="A722">
            <v>70101144</v>
          </cell>
          <cell r="C722" t="str">
            <v>아이네이아스상</v>
          </cell>
        </row>
        <row r="723">
          <cell r="A723">
            <v>70101145</v>
          </cell>
          <cell r="C723" t="str">
            <v>강화 아이네이아스상</v>
          </cell>
        </row>
        <row r="724">
          <cell r="A724">
            <v>70101146</v>
          </cell>
          <cell r="C724" t="str">
            <v>익스타브상</v>
          </cell>
        </row>
        <row r="725">
          <cell r="A725">
            <v>70101147</v>
          </cell>
          <cell r="C725" t="str">
            <v>강화 익스타브상</v>
          </cell>
        </row>
        <row r="726">
          <cell r="A726">
            <v>70101148</v>
          </cell>
          <cell r="C726" t="str">
            <v>디아나상</v>
          </cell>
        </row>
        <row r="727">
          <cell r="A727">
            <v>70101149</v>
          </cell>
          <cell r="C727" t="str">
            <v>강화 디아나상</v>
          </cell>
        </row>
        <row r="728">
          <cell r="A728">
            <v>70101150</v>
          </cell>
          <cell r="C728" t="str">
            <v>아디 다하카상</v>
          </cell>
        </row>
        <row r="729">
          <cell r="A729">
            <v>70101151</v>
          </cell>
          <cell r="C729" t="str">
            <v>강화 아디 다하카상</v>
          </cell>
        </row>
        <row r="730">
          <cell r="A730">
            <v>70101152</v>
          </cell>
          <cell r="C730" t="str">
            <v>성안드레상</v>
          </cell>
        </row>
        <row r="731">
          <cell r="A731">
            <v>70101153</v>
          </cell>
          <cell r="C731" t="str">
            <v>강화 성안드레상</v>
          </cell>
        </row>
        <row r="732">
          <cell r="A732">
            <v>70101154</v>
          </cell>
          <cell r="C732" t="str">
            <v>시서펜트상</v>
          </cell>
        </row>
        <row r="733">
          <cell r="A733">
            <v>70101155</v>
          </cell>
          <cell r="C733" t="str">
            <v>강화 시서펜트상</v>
          </cell>
        </row>
        <row r="734">
          <cell r="A734">
            <v>70101156</v>
          </cell>
          <cell r="C734" t="str">
            <v>아난타상</v>
          </cell>
        </row>
        <row r="735">
          <cell r="A735">
            <v>70101157</v>
          </cell>
          <cell r="C735" t="str">
            <v>강화 아난타상</v>
          </cell>
        </row>
        <row r="736">
          <cell r="A736">
            <v>70101158</v>
          </cell>
          <cell r="C736" t="str">
            <v>라 선수상</v>
          </cell>
        </row>
        <row r="737">
          <cell r="A737">
            <v>70101159</v>
          </cell>
          <cell r="C737" t="str">
            <v>강화 라 선수상</v>
          </cell>
        </row>
        <row r="738">
          <cell r="A738">
            <v>70101160</v>
          </cell>
          <cell r="C738" t="str">
            <v>정화함대의 선수상</v>
          </cell>
        </row>
        <row r="739">
          <cell r="A739">
            <v>70101161</v>
          </cell>
          <cell r="C739" t="str">
            <v>강화 정화함대의 선수상</v>
          </cell>
        </row>
        <row r="740">
          <cell r="A740">
            <v>70101162</v>
          </cell>
          <cell r="C740" t="str">
            <v>브리트라상</v>
          </cell>
        </row>
        <row r="741">
          <cell r="A741">
            <v>70101163</v>
          </cell>
          <cell r="C741" t="str">
            <v>강화 브리트라상</v>
          </cell>
        </row>
        <row r="742">
          <cell r="A742">
            <v>70101164</v>
          </cell>
          <cell r="C742" t="str">
            <v>성페테로상</v>
          </cell>
        </row>
        <row r="743">
          <cell r="A743">
            <v>70101165</v>
          </cell>
          <cell r="C743" t="str">
            <v>미 장착</v>
          </cell>
        </row>
        <row r="744">
          <cell r="A744">
            <v>70101166</v>
          </cell>
          <cell r="C744" t="str">
            <v>목재 닻</v>
          </cell>
        </row>
        <row r="745">
          <cell r="A745">
            <v>70101167</v>
          </cell>
          <cell r="C745" t="str">
            <v>녹슨 철재 닻</v>
          </cell>
        </row>
        <row r="746">
          <cell r="A746">
            <v>70101168</v>
          </cell>
          <cell r="C746" t="str">
            <v>철재 닻</v>
          </cell>
        </row>
        <row r="747">
          <cell r="A747">
            <v>70101169</v>
          </cell>
          <cell r="C747" t="str">
            <v>철재 도검 닻</v>
          </cell>
        </row>
        <row r="748">
          <cell r="A748">
            <v>70101170</v>
          </cell>
          <cell r="C748" t="str">
            <v>무쇠 닻</v>
          </cell>
        </row>
        <row r="749">
          <cell r="A749">
            <v>70101171</v>
          </cell>
          <cell r="C749" t="str">
            <v>하트 닻</v>
          </cell>
        </row>
        <row r="750">
          <cell r="A750">
            <v>70101172</v>
          </cell>
          <cell r="C750" t="str">
            <v>고급 쌍둥이 돌고래 닻</v>
          </cell>
        </row>
        <row r="751">
          <cell r="A751">
            <v>70101173</v>
          </cell>
          <cell r="C751" t="str">
            <v>고급 해골 닻</v>
          </cell>
        </row>
        <row r="752">
          <cell r="A752">
            <v>70101174</v>
          </cell>
          <cell r="C752" t="str">
            <v>고급 뱀 닻</v>
          </cell>
        </row>
        <row r="753">
          <cell r="A753">
            <v>70101175</v>
          </cell>
          <cell r="C753" t="str">
            <v>고급 석정</v>
          </cell>
        </row>
        <row r="754">
          <cell r="A754">
            <v>70101176</v>
          </cell>
          <cell r="C754" t="str">
            <v>고급 고대 닻</v>
          </cell>
        </row>
        <row r="755">
          <cell r="A755">
            <v>70101177</v>
          </cell>
          <cell r="C755" t="str">
            <v>고급 초승달 닻</v>
          </cell>
        </row>
        <row r="756">
          <cell r="A756">
            <v>70101178</v>
          </cell>
          <cell r="C756" t="str">
            <v>고급 상어 닻</v>
          </cell>
        </row>
        <row r="757">
          <cell r="A757">
            <v>70101179</v>
          </cell>
          <cell r="C757" t="str">
            <v>고급 쌍둥이 뱀 닻</v>
          </cell>
        </row>
        <row r="758">
          <cell r="A758">
            <v>70101180</v>
          </cell>
          <cell r="C758" t="str">
            <v>고급 조선 목묘</v>
          </cell>
        </row>
        <row r="759">
          <cell r="A759">
            <v>70101181</v>
          </cell>
          <cell r="C759" t="str">
            <v>고급 대형 목묘</v>
          </cell>
        </row>
        <row r="760">
          <cell r="A760">
            <v>70101182</v>
          </cell>
          <cell r="C760" t="str">
            <v>고급 사조철묘</v>
          </cell>
        </row>
        <row r="761">
          <cell r="A761">
            <v>70101183</v>
          </cell>
          <cell r="C761" t="str">
            <v>고급 인어 닻</v>
          </cell>
        </row>
        <row r="762">
          <cell r="A762">
            <v>70101184</v>
          </cell>
          <cell r="C762" t="str">
            <v>고급 사신 닻</v>
          </cell>
        </row>
        <row r="763">
          <cell r="A763">
            <v>70101185</v>
          </cell>
          <cell r="C763" t="str">
            <v>고급 크라켄 닻</v>
          </cell>
        </row>
        <row r="764">
          <cell r="A764">
            <v>70101186</v>
          </cell>
          <cell r="C764" t="str">
            <v>고급 카누 닻</v>
          </cell>
        </row>
        <row r="765">
          <cell r="A765">
            <v>70101187</v>
          </cell>
          <cell r="C765" t="str">
            <v>고급 다이아몬드 닻</v>
          </cell>
        </row>
        <row r="766">
          <cell r="A766">
            <v>70101188</v>
          </cell>
          <cell r="C766" t="str">
            <v>고급 돌고래 닻</v>
          </cell>
        </row>
        <row r="767">
          <cell r="A767">
            <v>70101189</v>
          </cell>
          <cell r="C767" t="str">
            <v>고급 쌍둥이 닻</v>
          </cell>
        </row>
        <row r="768">
          <cell r="A768">
            <v>70101190</v>
          </cell>
          <cell r="C768" t="str">
            <v>키장식 닻</v>
          </cell>
        </row>
        <row r="769">
          <cell r="A769">
            <v>70101191</v>
          </cell>
          <cell r="C769" t="str">
            <v>고급 목묘</v>
          </cell>
        </row>
        <row r="770">
          <cell r="A770">
            <v>70101192</v>
          </cell>
          <cell r="C770" t="str">
            <v>호미모양 닻</v>
          </cell>
        </row>
        <row r="771">
          <cell r="A771">
            <v>70101193</v>
          </cell>
          <cell r="C771" t="str">
            <v>강화 성페테로상</v>
          </cell>
        </row>
        <row r="772">
          <cell r="A772">
            <v>70101194</v>
          </cell>
          <cell r="C772" t="str">
            <v>플라톤상</v>
          </cell>
        </row>
        <row r="773">
          <cell r="A773">
            <v>70101195</v>
          </cell>
          <cell r="C773" t="str">
            <v>강화 플라톤상</v>
          </cell>
        </row>
        <row r="774">
          <cell r="A774">
            <v>70101196</v>
          </cell>
          <cell r="C774" t="str">
            <v>마우상</v>
          </cell>
        </row>
        <row r="775">
          <cell r="A775">
            <v>70101197</v>
          </cell>
          <cell r="C775" t="str">
            <v>강화 마우상</v>
          </cell>
        </row>
        <row r="776">
          <cell r="A776">
            <v>70101198</v>
          </cell>
          <cell r="C776" t="str">
            <v>살라딘의 상</v>
          </cell>
        </row>
        <row r="777">
          <cell r="A777">
            <v>70101199</v>
          </cell>
          <cell r="C777" t="str">
            <v>강화 살라딘의 상</v>
          </cell>
        </row>
        <row r="778">
          <cell r="A778">
            <v>70101200</v>
          </cell>
          <cell r="C778" t="str">
            <v>한니발상</v>
          </cell>
        </row>
        <row r="779">
          <cell r="A779">
            <v>70101201</v>
          </cell>
          <cell r="C779" t="str">
            <v>강화 한니발상</v>
          </cell>
        </row>
        <row r="780">
          <cell r="A780">
            <v>70101202</v>
          </cell>
          <cell r="C780" t="str">
            <v>용머리 선수상</v>
          </cell>
        </row>
        <row r="781">
          <cell r="A781">
            <v>70101203</v>
          </cell>
          <cell r="C781" t="str">
            <v>강화 용머리 선수상</v>
          </cell>
        </row>
        <row r="782">
          <cell r="A782">
            <v>70101204</v>
          </cell>
          <cell r="C782" t="str">
            <v>아누비스 선수상</v>
          </cell>
        </row>
        <row r="783">
          <cell r="A783">
            <v>70101205</v>
          </cell>
          <cell r="C783" t="str">
            <v>강화 아누비스 선수상</v>
          </cell>
        </row>
        <row r="784">
          <cell r="A784">
            <v>70101206</v>
          </cell>
          <cell r="C784" t="str">
            <v>성브렌던상</v>
          </cell>
        </row>
        <row r="785">
          <cell r="A785">
            <v>70101207</v>
          </cell>
          <cell r="C785" t="str">
            <v>강화 성브렌던상</v>
          </cell>
        </row>
        <row r="786">
          <cell r="A786">
            <v>70101208</v>
          </cell>
          <cell r="C786" t="str">
            <v>다누상</v>
          </cell>
        </row>
        <row r="787">
          <cell r="A787">
            <v>70101209</v>
          </cell>
          <cell r="C787" t="str">
            <v>강화 다누상</v>
          </cell>
        </row>
        <row r="788">
          <cell r="A788">
            <v>70101210</v>
          </cell>
          <cell r="C788" t="str">
            <v>파프니르상</v>
          </cell>
        </row>
        <row r="789">
          <cell r="A789">
            <v>70101211</v>
          </cell>
          <cell r="C789" t="str">
            <v>강화 파프니르상</v>
          </cell>
        </row>
        <row r="790">
          <cell r="A790">
            <v>70101212</v>
          </cell>
          <cell r="C790" t="str">
            <v>쿠크르칸상</v>
          </cell>
        </row>
        <row r="791">
          <cell r="A791">
            <v>70101213</v>
          </cell>
          <cell r="C791" t="str">
            <v>강화 쿠크르칸상</v>
          </cell>
        </row>
        <row r="792">
          <cell r="A792">
            <v>70101214</v>
          </cell>
          <cell r="C792" t="str">
            <v>오디세우스의 상</v>
          </cell>
        </row>
        <row r="793">
          <cell r="A793">
            <v>70101215</v>
          </cell>
          <cell r="C793" t="str">
            <v>강화 오디세우스의 상</v>
          </cell>
        </row>
        <row r="794">
          <cell r="A794">
            <v>70101216</v>
          </cell>
          <cell r="C794" t="str">
            <v>소크라테스상</v>
          </cell>
        </row>
        <row r="795">
          <cell r="A795">
            <v>70101217</v>
          </cell>
          <cell r="C795" t="str">
            <v>강화 소크라테스상</v>
          </cell>
        </row>
        <row r="796">
          <cell r="A796">
            <v>70101218</v>
          </cell>
          <cell r="C796" t="str">
            <v>성커스버트상</v>
          </cell>
        </row>
        <row r="797">
          <cell r="A797">
            <v>70101219</v>
          </cell>
          <cell r="C797" t="str">
            <v>강화 성커스버트상</v>
          </cell>
        </row>
        <row r="798">
          <cell r="A798">
            <v>70101220</v>
          </cell>
          <cell r="C798" t="str">
            <v>잔 다르크상</v>
          </cell>
        </row>
        <row r="799">
          <cell r="A799">
            <v>70101221</v>
          </cell>
          <cell r="C799" t="str">
            <v>강화 잔 다르크상</v>
          </cell>
        </row>
        <row r="800">
          <cell r="A800">
            <v>70101222</v>
          </cell>
          <cell r="C800" t="str">
            <v>아우렐리우스 황제상</v>
          </cell>
        </row>
        <row r="801">
          <cell r="A801">
            <v>70101223</v>
          </cell>
          <cell r="C801" t="str">
            <v>강화 아우렐리우스 황제상</v>
          </cell>
        </row>
        <row r="802">
          <cell r="A802">
            <v>70101224</v>
          </cell>
          <cell r="C802" t="str">
            <v>알라시드상</v>
          </cell>
        </row>
        <row r="803">
          <cell r="A803">
            <v>70101225</v>
          </cell>
          <cell r="C803" t="str">
            <v>강화 알라시드상</v>
          </cell>
        </row>
        <row r="804">
          <cell r="A804">
            <v>70101226</v>
          </cell>
          <cell r="C804" t="str">
            <v>그리폰상</v>
          </cell>
        </row>
        <row r="805">
          <cell r="A805">
            <v>70101227</v>
          </cell>
          <cell r="C805" t="str">
            <v>강화 그리폰상</v>
          </cell>
        </row>
        <row r="806">
          <cell r="A806">
            <v>70101228</v>
          </cell>
          <cell r="C806" t="str">
            <v>요르문간드상</v>
          </cell>
        </row>
        <row r="807">
          <cell r="A807">
            <v>70101229</v>
          </cell>
          <cell r="C807" t="str">
            <v>강화 요르문간드상</v>
          </cell>
        </row>
        <row r="808">
          <cell r="A808">
            <v>70101230</v>
          </cell>
          <cell r="C808" t="str">
            <v>이슈타르상</v>
          </cell>
        </row>
        <row r="809">
          <cell r="A809">
            <v>70101231</v>
          </cell>
          <cell r="C809" t="str">
            <v>강화 이슈타르상</v>
          </cell>
        </row>
        <row r="810">
          <cell r="A810">
            <v>70101232</v>
          </cell>
          <cell r="C810" t="str">
            <v>아나히타상</v>
          </cell>
        </row>
        <row r="811">
          <cell r="A811">
            <v>70101233</v>
          </cell>
          <cell r="C811" t="str">
            <v>강화 아나히타상</v>
          </cell>
        </row>
        <row r="812">
          <cell r="A812">
            <v>70101234</v>
          </cell>
          <cell r="C812" t="str">
            <v>프레이아상</v>
          </cell>
        </row>
        <row r="813">
          <cell r="A813">
            <v>70101235</v>
          </cell>
          <cell r="C813" t="str">
            <v>강화 프레이아상</v>
          </cell>
        </row>
        <row r="814">
          <cell r="A814">
            <v>70101236</v>
          </cell>
          <cell r="C814" t="str">
            <v>포세이돈상</v>
          </cell>
        </row>
        <row r="815">
          <cell r="A815">
            <v>70101237</v>
          </cell>
          <cell r="C815" t="str">
            <v>강화 포세이돈상</v>
          </cell>
        </row>
        <row r="816">
          <cell r="A816">
            <v>70101238</v>
          </cell>
          <cell r="C816" t="str">
            <v>성마르코상</v>
          </cell>
        </row>
        <row r="817">
          <cell r="A817">
            <v>70101239</v>
          </cell>
          <cell r="C817" t="str">
            <v>강화 성마르코상</v>
          </cell>
        </row>
        <row r="818">
          <cell r="A818">
            <v>70101240</v>
          </cell>
          <cell r="C818" t="str">
            <v>성크리스토퍼상</v>
          </cell>
        </row>
        <row r="819">
          <cell r="A819">
            <v>70101241</v>
          </cell>
          <cell r="C819" t="str">
            <v>강화 성크리스토퍼상</v>
          </cell>
        </row>
        <row r="820">
          <cell r="A820">
            <v>70101242</v>
          </cell>
          <cell r="C820" t="str">
            <v>아쇼카왕상</v>
          </cell>
        </row>
        <row r="821">
          <cell r="A821">
            <v>70101243</v>
          </cell>
          <cell r="C821" t="str">
            <v>강화 아쇼카왕상</v>
          </cell>
        </row>
        <row r="822">
          <cell r="A822">
            <v>70101244</v>
          </cell>
          <cell r="C822" t="str">
            <v>사라스바티의 상</v>
          </cell>
        </row>
        <row r="823">
          <cell r="A823">
            <v>70101245</v>
          </cell>
          <cell r="C823" t="str">
            <v>강화 사라스바티의 상</v>
          </cell>
        </row>
        <row r="824">
          <cell r="A824">
            <v>70101246</v>
          </cell>
          <cell r="C824" t="str">
            <v>잉어상</v>
          </cell>
        </row>
        <row r="825">
          <cell r="A825">
            <v>70101247</v>
          </cell>
          <cell r="C825" t="str">
            <v>강화 잉어상</v>
          </cell>
        </row>
        <row r="826">
          <cell r="A826">
            <v>70101248</v>
          </cell>
          <cell r="C826" t="str">
            <v>람세스 2세의 상</v>
          </cell>
        </row>
        <row r="827">
          <cell r="A827">
            <v>70101249</v>
          </cell>
          <cell r="C827" t="str">
            <v>강화 람세스 2세의 상</v>
          </cell>
        </row>
        <row r="828">
          <cell r="A828">
            <v>70101250</v>
          </cell>
          <cell r="C828" t="str">
            <v>해골상</v>
          </cell>
        </row>
        <row r="829">
          <cell r="A829">
            <v>70101251</v>
          </cell>
          <cell r="C829" t="str">
            <v>강화 해골상</v>
          </cell>
        </row>
        <row r="830">
          <cell r="A830">
            <v>70101252</v>
          </cell>
          <cell r="C830" t="str">
            <v>코끼리상</v>
          </cell>
        </row>
        <row r="831">
          <cell r="A831">
            <v>70101253</v>
          </cell>
          <cell r="C831" t="str">
            <v>강화 코끼리상</v>
          </cell>
        </row>
        <row r="832">
          <cell r="A832">
            <v>70101254</v>
          </cell>
          <cell r="C832" t="str">
            <v>넵투누스상</v>
          </cell>
        </row>
        <row r="833">
          <cell r="A833">
            <v>70101255</v>
          </cell>
          <cell r="C833" t="str">
            <v>강화 넵투누스상</v>
          </cell>
        </row>
        <row r="834">
          <cell r="A834">
            <v>70101256</v>
          </cell>
          <cell r="C834" t="str">
            <v>문어상</v>
          </cell>
        </row>
        <row r="835">
          <cell r="A835">
            <v>70101257</v>
          </cell>
          <cell r="C835" t="str">
            <v>강화 문어상</v>
          </cell>
        </row>
        <row r="836">
          <cell r="A836">
            <v>70101258</v>
          </cell>
          <cell r="C836" t="str">
            <v>곰상</v>
          </cell>
        </row>
        <row r="837">
          <cell r="A837">
            <v>70101259</v>
          </cell>
          <cell r="C837" t="str">
            <v>강화 곰상</v>
          </cell>
        </row>
        <row r="838">
          <cell r="A838">
            <v>70101260</v>
          </cell>
          <cell r="C838" t="str">
            <v>성마그달레나상</v>
          </cell>
        </row>
        <row r="839">
          <cell r="A839">
            <v>70101261</v>
          </cell>
          <cell r="C839" t="str">
            <v>강화 성마그달레나상</v>
          </cell>
        </row>
        <row r="840">
          <cell r="A840">
            <v>70101262</v>
          </cell>
          <cell r="C840" t="str">
            <v>헤라상</v>
          </cell>
        </row>
        <row r="841">
          <cell r="A841">
            <v>70101263</v>
          </cell>
          <cell r="C841" t="str">
            <v>강화 헤라상</v>
          </cell>
        </row>
        <row r="842">
          <cell r="A842">
            <v>70101264</v>
          </cell>
          <cell r="C842" t="str">
            <v>펜리르상</v>
          </cell>
        </row>
        <row r="843">
          <cell r="A843">
            <v>70101265</v>
          </cell>
          <cell r="C843" t="str">
            <v>강화 펜리르상</v>
          </cell>
        </row>
        <row r="844">
          <cell r="A844">
            <v>70101266</v>
          </cell>
          <cell r="C844" t="str">
            <v>비너스상</v>
          </cell>
        </row>
        <row r="845">
          <cell r="A845">
            <v>70101267</v>
          </cell>
          <cell r="C845" t="str">
            <v>강화 비너스상</v>
          </cell>
        </row>
        <row r="846">
          <cell r="A846">
            <v>70101268</v>
          </cell>
          <cell r="C846" t="str">
            <v>용상</v>
          </cell>
        </row>
        <row r="847">
          <cell r="A847">
            <v>70101269</v>
          </cell>
          <cell r="C847" t="str">
            <v>강화 용상</v>
          </cell>
        </row>
        <row r="848">
          <cell r="A848">
            <v>70101270</v>
          </cell>
          <cell r="C848" t="str">
            <v>성아가타상</v>
          </cell>
        </row>
        <row r="849">
          <cell r="A849">
            <v>70101271</v>
          </cell>
          <cell r="C849" t="str">
            <v>강화 성아가타상</v>
          </cell>
        </row>
        <row r="850">
          <cell r="A850">
            <v>70101272</v>
          </cell>
          <cell r="C850" t="str">
            <v>가루다상</v>
          </cell>
        </row>
        <row r="851">
          <cell r="A851">
            <v>70101273</v>
          </cell>
          <cell r="C851" t="str">
            <v>강화 가루다상</v>
          </cell>
        </row>
        <row r="852">
          <cell r="A852">
            <v>70101274</v>
          </cell>
          <cell r="C852" t="str">
            <v>아프로디테상</v>
          </cell>
        </row>
        <row r="853">
          <cell r="A853">
            <v>70101275</v>
          </cell>
          <cell r="C853" t="str">
            <v>강화 아프로디테상</v>
          </cell>
        </row>
        <row r="854">
          <cell r="A854">
            <v>70101276</v>
          </cell>
          <cell r="C854" t="str">
            <v>동자승상</v>
          </cell>
        </row>
        <row r="855">
          <cell r="A855">
            <v>70101277</v>
          </cell>
          <cell r="C855" t="str">
            <v>강화 동자승상</v>
          </cell>
        </row>
        <row r="856">
          <cell r="A856">
            <v>70101278</v>
          </cell>
          <cell r="C856" t="str">
            <v>맨티코어상</v>
          </cell>
        </row>
        <row r="857">
          <cell r="A857">
            <v>70101279</v>
          </cell>
          <cell r="C857" t="str">
            <v>강화 맨티코어상</v>
          </cell>
        </row>
        <row r="858">
          <cell r="A858">
            <v>70101280</v>
          </cell>
          <cell r="C858" t="str">
            <v>라크슈미의상</v>
          </cell>
        </row>
        <row r="859">
          <cell r="A859">
            <v>70101281</v>
          </cell>
          <cell r="C859" t="str">
            <v>강화 라크슈미의상</v>
          </cell>
        </row>
        <row r="860">
          <cell r="A860">
            <v>70101282</v>
          </cell>
          <cell r="C860" t="str">
            <v>유노상</v>
          </cell>
        </row>
        <row r="861">
          <cell r="A861">
            <v>70101283</v>
          </cell>
          <cell r="C861" t="str">
            <v>강화 유노상</v>
          </cell>
        </row>
        <row r="862">
          <cell r="A862">
            <v>70101284</v>
          </cell>
          <cell r="C862" t="str">
            <v>성니코라우스상</v>
          </cell>
        </row>
        <row r="863">
          <cell r="A863">
            <v>70101285</v>
          </cell>
          <cell r="C863" t="str">
            <v>강화 성니코라우스상</v>
          </cell>
        </row>
        <row r="864">
          <cell r="A864">
            <v>70101286</v>
          </cell>
          <cell r="C864" t="str">
            <v>팔바티상</v>
          </cell>
        </row>
        <row r="865">
          <cell r="A865">
            <v>70101287</v>
          </cell>
          <cell r="C865" t="str">
            <v>강화 팔바티상</v>
          </cell>
        </row>
        <row r="866">
          <cell r="A866">
            <v>70101288</v>
          </cell>
          <cell r="C866" t="str">
            <v>성게오르기우스상</v>
          </cell>
        </row>
        <row r="867">
          <cell r="A867">
            <v>70101289</v>
          </cell>
          <cell r="C867" t="str">
            <v>강화 성게오르기우스상</v>
          </cell>
        </row>
        <row r="868">
          <cell r="A868">
            <v>70101290</v>
          </cell>
          <cell r="C868" t="str">
            <v>성바바라상</v>
          </cell>
        </row>
        <row r="869">
          <cell r="A869">
            <v>70101291</v>
          </cell>
          <cell r="C869" t="str">
            <v>강화 성바바라상</v>
          </cell>
        </row>
        <row r="870">
          <cell r="A870">
            <v>70101292</v>
          </cell>
          <cell r="C870" t="str">
            <v>물소상</v>
          </cell>
        </row>
        <row r="871">
          <cell r="A871">
            <v>70101293</v>
          </cell>
          <cell r="C871" t="str">
            <v>강화 물소상</v>
          </cell>
        </row>
        <row r="872">
          <cell r="A872">
            <v>70101294</v>
          </cell>
          <cell r="C872" t="str">
            <v>이시스상</v>
          </cell>
        </row>
        <row r="873">
          <cell r="A873">
            <v>70101295</v>
          </cell>
          <cell r="C873" t="str">
            <v>강화 이시스상</v>
          </cell>
        </row>
        <row r="874">
          <cell r="A874">
            <v>70101296</v>
          </cell>
          <cell r="C874" t="str">
            <v>코뿔소상</v>
          </cell>
        </row>
        <row r="875">
          <cell r="A875">
            <v>70101297</v>
          </cell>
          <cell r="C875" t="str">
            <v>강화 코뿔소상</v>
          </cell>
        </row>
        <row r="876">
          <cell r="A876">
            <v>70101298</v>
          </cell>
          <cell r="C876" t="str">
            <v>아틀라스 선수상</v>
          </cell>
        </row>
        <row r="877">
          <cell r="A877">
            <v>70101299</v>
          </cell>
          <cell r="C877" t="str">
            <v>강화 아틀라스 선수상</v>
          </cell>
        </row>
        <row r="878">
          <cell r="A878">
            <v>70101300</v>
          </cell>
          <cell r="C878" t="str">
            <v>해태상</v>
          </cell>
        </row>
        <row r="879">
          <cell r="A879">
            <v>70101301</v>
          </cell>
          <cell r="C879" t="str">
            <v>강화 해태상</v>
          </cell>
        </row>
        <row r="880">
          <cell r="A880">
            <v>70101302</v>
          </cell>
          <cell r="C880" t="str">
            <v>관우상</v>
          </cell>
        </row>
        <row r="881">
          <cell r="A881">
            <v>70101303</v>
          </cell>
          <cell r="C881" t="str">
            <v>강화 관우상</v>
          </cell>
        </row>
        <row r="882">
          <cell r="A882">
            <v>70101304</v>
          </cell>
          <cell r="C882" t="str">
            <v>세종대왕상</v>
          </cell>
        </row>
        <row r="883">
          <cell r="A883">
            <v>70101305</v>
          </cell>
          <cell r="C883" t="str">
            <v>강화 세종대왕상</v>
          </cell>
        </row>
        <row r="884">
          <cell r="A884">
            <v>70101306</v>
          </cell>
          <cell r="C884" t="str">
            <v>장비상</v>
          </cell>
        </row>
        <row r="885">
          <cell r="A885">
            <v>70101307</v>
          </cell>
          <cell r="C885" t="str">
            <v>강화 장비상</v>
          </cell>
        </row>
        <row r="886">
          <cell r="A886">
            <v>70101308</v>
          </cell>
          <cell r="C886" t="str">
            <v>칭기즈칸 상</v>
          </cell>
        </row>
        <row r="887">
          <cell r="A887">
            <v>70101309</v>
          </cell>
          <cell r="C887" t="str">
            <v>강화 칭기즈칸 상</v>
          </cell>
        </row>
        <row r="888">
          <cell r="A888">
            <v>70101310</v>
          </cell>
          <cell r="C888" t="str">
            <v>석가모니상</v>
          </cell>
        </row>
        <row r="889">
          <cell r="A889">
            <v>70101311</v>
          </cell>
          <cell r="C889" t="str">
            <v>강화 석가모니상</v>
          </cell>
        </row>
        <row r="890">
          <cell r="A890">
            <v>70101312</v>
          </cell>
          <cell r="C890" t="str">
            <v>인어상</v>
          </cell>
        </row>
        <row r="891">
          <cell r="A891">
            <v>70101313</v>
          </cell>
          <cell r="C891" t="str">
            <v>강화 인어상</v>
          </cell>
        </row>
        <row r="892">
          <cell r="A892">
            <v>70101314</v>
          </cell>
          <cell r="C892" t="str">
            <v>바하무트상</v>
          </cell>
        </row>
        <row r="893">
          <cell r="A893">
            <v>70101315</v>
          </cell>
          <cell r="C893" t="str">
            <v>강화 바하무트상</v>
          </cell>
        </row>
        <row r="894">
          <cell r="A894">
            <v>70101316</v>
          </cell>
          <cell r="C894" t="str">
            <v>일루얀카스상</v>
          </cell>
        </row>
        <row r="895">
          <cell r="A895">
            <v>70101317</v>
          </cell>
          <cell r="C895" t="str">
            <v>강화 일루얀카스상</v>
          </cell>
        </row>
        <row r="896">
          <cell r="A896">
            <v>70101318</v>
          </cell>
          <cell r="C896" t="str">
            <v>황제 독수리상</v>
          </cell>
        </row>
        <row r="897">
          <cell r="A897">
            <v>70101319</v>
          </cell>
          <cell r="C897" t="str">
            <v>강화 황제 독수리상</v>
          </cell>
        </row>
        <row r="898">
          <cell r="A898">
            <v>70101320</v>
          </cell>
          <cell r="C898" t="str">
            <v>화랑상</v>
          </cell>
        </row>
        <row r="899">
          <cell r="A899">
            <v>70101321</v>
          </cell>
          <cell r="C899" t="str">
            <v>강화 화랑상</v>
          </cell>
        </row>
        <row r="900">
          <cell r="A900">
            <v>70101322</v>
          </cell>
          <cell r="C900" t="str">
            <v>오니상</v>
          </cell>
        </row>
        <row r="901">
          <cell r="A901">
            <v>70101323</v>
          </cell>
          <cell r="C901" t="str">
            <v>강화 오니상</v>
          </cell>
        </row>
        <row r="902">
          <cell r="A902">
            <v>70101324</v>
          </cell>
          <cell r="C902" t="str">
            <v>사무라이상</v>
          </cell>
        </row>
        <row r="903">
          <cell r="A903">
            <v>70101325</v>
          </cell>
          <cell r="C903" t="str">
            <v>강화 사무라이상</v>
          </cell>
        </row>
        <row r="904">
          <cell r="A904">
            <v>70101326</v>
          </cell>
          <cell r="C904" t="str">
            <v>낡은 철재 도검 닻</v>
          </cell>
        </row>
        <row r="905">
          <cell r="A905">
            <v>70101327</v>
          </cell>
          <cell r="C905" t="str">
            <v>강화 철재 도검 닻</v>
          </cell>
        </row>
        <row r="906">
          <cell r="A906">
            <v>70101328</v>
          </cell>
          <cell r="C906" t="str">
            <v>낡은 무쇠 닻</v>
          </cell>
        </row>
        <row r="907">
          <cell r="A907">
            <v>70101329</v>
          </cell>
          <cell r="C907" t="str">
            <v>강화 무쇠 닻</v>
          </cell>
        </row>
        <row r="908">
          <cell r="A908">
            <v>70101330</v>
          </cell>
          <cell r="C908" t="str">
            <v>낡은 하트 닻</v>
          </cell>
        </row>
        <row r="909">
          <cell r="A909">
            <v>70101331</v>
          </cell>
          <cell r="C909" t="str">
            <v>강화 하트 닻</v>
          </cell>
        </row>
        <row r="910">
          <cell r="A910">
            <v>70101332</v>
          </cell>
          <cell r="C910" t="str">
            <v>쌍둥이 돌고래 닻</v>
          </cell>
        </row>
        <row r="911">
          <cell r="A911">
            <v>70101333</v>
          </cell>
          <cell r="C911" t="str">
            <v>강화 쌍둥이 돌고래 닻</v>
          </cell>
        </row>
        <row r="912">
          <cell r="A912">
            <v>70101334</v>
          </cell>
          <cell r="C912" t="str">
            <v>해골 닻</v>
          </cell>
        </row>
        <row r="913">
          <cell r="A913">
            <v>70101335</v>
          </cell>
          <cell r="C913" t="str">
            <v>강화 해골 닻</v>
          </cell>
        </row>
        <row r="914">
          <cell r="A914">
            <v>70101336</v>
          </cell>
          <cell r="C914" t="str">
            <v>뱀 닻</v>
          </cell>
        </row>
        <row r="915">
          <cell r="A915">
            <v>70101337</v>
          </cell>
          <cell r="C915" t="str">
            <v>강화 뱀 닻</v>
          </cell>
        </row>
        <row r="916">
          <cell r="A916">
            <v>70101338</v>
          </cell>
          <cell r="C916" t="str">
            <v>석정</v>
          </cell>
        </row>
        <row r="917">
          <cell r="A917">
            <v>70101339</v>
          </cell>
          <cell r="C917" t="str">
            <v>강화 석정</v>
          </cell>
        </row>
        <row r="918">
          <cell r="A918">
            <v>70101340</v>
          </cell>
          <cell r="C918" t="str">
            <v>고대 닻</v>
          </cell>
        </row>
        <row r="919">
          <cell r="A919">
            <v>70101341</v>
          </cell>
          <cell r="C919" t="str">
            <v>강화 고대 닻</v>
          </cell>
        </row>
        <row r="920">
          <cell r="A920">
            <v>70101342</v>
          </cell>
          <cell r="C920" t="str">
            <v>초승달 닻</v>
          </cell>
        </row>
        <row r="921">
          <cell r="A921">
            <v>70101343</v>
          </cell>
          <cell r="C921" t="str">
            <v>강화 초승달 닻</v>
          </cell>
        </row>
        <row r="922">
          <cell r="A922">
            <v>70101344</v>
          </cell>
          <cell r="C922" t="str">
            <v>상어 닻</v>
          </cell>
        </row>
        <row r="923">
          <cell r="A923">
            <v>70101345</v>
          </cell>
          <cell r="C923" t="str">
            <v>강화 상어 닻</v>
          </cell>
        </row>
        <row r="924">
          <cell r="A924">
            <v>70101346</v>
          </cell>
          <cell r="C924" t="str">
            <v>쌍둥이 뱀 닻</v>
          </cell>
        </row>
        <row r="925">
          <cell r="A925">
            <v>70101347</v>
          </cell>
          <cell r="C925" t="str">
            <v>강화 쌍둥이 뱀 닻</v>
          </cell>
        </row>
        <row r="926">
          <cell r="A926">
            <v>70101348</v>
          </cell>
          <cell r="C926" t="str">
            <v>조선 목묘</v>
          </cell>
        </row>
        <row r="927">
          <cell r="A927">
            <v>70101349</v>
          </cell>
          <cell r="C927" t="str">
            <v>강화 조선 목묘</v>
          </cell>
        </row>
        <row r="928">
          <cell r="A928">
            <v>70101350</v>
          </cell>
          <cell r="C928" t="str">
            <v>대형 목묘</v>
          </cell>
        </row>
        <row r="929">
          <cell r="A929">
            <v>70101351</v>
          </cell>
          <cell r="C929" t="str">
            <v>강화 대형 목묘</v>
          </cell>
        </row>
        <row r="930">
          <cell r="A930">
            <v>70101352</v>
          </cell>
          <cell r="C930" t="str">
            <v>사조철묘</v>
          </cell>
        </row>
        <row r="931">
          <cell r="A931">
            <v>70101353</v>
          </cell>
          <cell r="C931" t="str">
            <v>강화 사조철묘</v>
          </cell>
        </row>
        <row r="932">
          <cell r="A932">
            <v>70101354</v>
          </cell>
          <cell r="C932" t="str">
            <v>인어 닻</v>
          </cell>
        </row>
        <row r="933">
          <cell r="A933">
            <v>70101355</v>
          </cell>
          <cell r="C933" t="str">
            <v>강화 인어 닻</v>
          </cell>
        </row>
        <row r="934">
          <cell r="A934">
            <v>70101356</v>
          </cell>
          <cell r="C934" t="str">
            <v>사신 닻</v>
          </cell>
        </row>
        <row r="935">
          <cell r="A935">
            <v>70101357</v>
          </cell>
          <cell r="C935" t="str">
            <v>강화 사신 닻</v>
          </cell>
        </row>
        <row r="936">
          <cell r="A936">
            <v>70101358</v>
          </cell>
          <cell r="C936" t="str">
            <v>크라켄 닻</v>
          </cell>
        </row>
        <row r="937">
          <cell r="A937">
            <v>70101359</v>
          </cell>
          <cell r="C937" t="str">
            <v>강화 크라켄 닻</v>
          </cell>
        </row>
        <row r="938">
          <cell r="A938">
            <v>70101360</v>
          </cell>
          <cell r="C938" t="str">
            <v>카누 닻</v>
          </cell>
        </row>
        <row r="939">
          <cell r="A939">
            <v>70101361</v>
          </cell>
          <cell r="C939" t="str">
            <v>강화 카누 닻</v>
          </cell>
        </row>
        <row r="940">
          <cell r="A940">
            <v>70101362</v>
          </cell>
          <cell r="C940" t="str">
            <v>다이아몬드 닻</v>
          </cell>
        </row>
        <row r="941">
          <cell r="A941">
            <v>70101363</v>
          </cell>
          <cell r="C941" t="str">
            <v>강화 다이아몬드 닻</v>
          </cell>
        </row>
        <row r="942">
          <cell r="A942">
            <v>70101364</v>
          </cell>
          <cell r="C942" t="str">
            <v>돌고래 닻</v>
          </cell>
        </row>
        <row r="943">
          <cell r="A943">
            <v>70101365</v>
          </cell>
          <cell r="C943" t="str">
            <v>강화 돌고래 닻</v>
          </cell>
        </row>
        <row r="944">
          <cell r="A944">
            <v>70101366</v>
          </cell>
          <cell r="C944" t="str">
            <v>쌍둥이 닻</v>
          </cell>
        </row>
        <row r="945">
          <cell r="A945">
            <v>70101367</v>
          </cell>
          <cell r="C945" t="str">
            <v>강화 쌍둥이 닻</v>
          </cell>
        </row>
        <row r="946">
          <cell r="A946">
            <v>70101368</v>
          </cell>
          <cell r="C946" t="str">
            <v>쇄빙 키장식 닻</v>
          </cell>
        </row>
        <row r="947">
          <cell r="A947">
            <v>70101369</v>
          </cell>
          <cell r="C947" t="str">
            <v>범용 키장식 닻</v>
          </cell>
        </row>
        <row r="948">
          <cell r="A948">
            <v>70101370</v>
          </cell>
          <cell r="C948" t="str">
            <v>목묘</v>
          </cell>
        </row>
        <row r="949">
          <cell r="A949">
            <v>70101371</v>
          </cell>
          <cell r="C949" t="str">
            <v>강화 목묘</v>
          </cell>
        </row>
        <row r="950">
          <cell r="A950">
            <v>70101372</v>
          </cell>
          <cell r="C950" t="str">
            <v>출항의 닻</v>
          </cell>
        </row>
        <row r="951">
          <cell r="A951">
            <v>70101374</v>
          </cell>
          <cell r="C951" t="str">
            <v>새내기 제독의 닻</v>
          </cell>
        </row>
        <row r="952">
          <cell r="A952">
            <v>70101375</v>
          </cell>
          <cell r="C952" t="str">
            <v>빙하 선단의 닻</v>
          </cell>
        </row>
        <row r="953">
          <cell r="A953">
            <v>70101376</v>
          </cell>
          <cell r="C953" t="str">
            <v>북해 연합의 닻</v>
          </cell>
        </row>
        <row r="954">
          <cell r="A954">
            <v>70101377</v>
          </cell>
          <cell r="C954" t="str">
            <v>붉은 산호섬의 수호상</v>
          </cell>
        </row>
        <row r="955">
          <cell r="A955">
            <v>70101378</v>
          </cell>
          <cell r="C955" t="str">
            <v>붉은 산호섬의 보호상</v>
          </cell>
        </row>
        <row r="956">
          <cell r="A956">
            <v>70101379</v>
          </cell>
          <cell r="C956" t="str">
            <v>붉은 산호섬의 자애상</v>
          </cell>
        </row>
        <row r="957">
          <cell r="A957">
            <v>70101380</v>
          </cell>
          <cell r="C957" t="str">
            <v>붉은 산호섬의 평화상</v>
          </cell>
        </row>
        <row r="958">
          <cell r="A958">
            <v>70101381</v>
          </cell>
          <cell r="C958" t="str">
            <v>진주섬의 보호상</v>
          </cell>
        </row>
        <row r="959">
          <cell r="A959">
            <v>70101382</v>
          </cell>
          <cell r="C959" t="str">
            <v>진주섬의 자애상</v>
          </cell>
        </row>
        <row r="960">
          <cell r="A960">
            <v>70101383</v>
          </cell>
          <cell r="C960" t="str">
            <v>진주섬의 평화상</v>
          </cell>
        </row>
        <row r="961">
          <cell r="A961">
            <v>70102001</v>
          </cell>
          <cell r="C961" t="str">
            <v>기본 대포</v>
          </cell>
        </row>
        <row r="962">
          <cell r="A962">
            <v>70102002</v>
          </cell>
          <cell r="C962" t="str">
            <v>기본 돛</v>
          </cell>
        </row>
        <row r="963">
          <cell r="A963">
            <v>70102003</v>
          </cell>
          <cell r="C963" t="str">
            <v>미 장착</v>
          </cell>
        </row>
        <row r="964">
          <cell r="A964">
            <v>70102004</v>
          </cell>
          <cell r="C964" t="str">
            <v>미 장착</v>
          </cell>
        </row>
        <row r="965">
          <cell r="A965">
            <v>70103001</v>
          </cell>
          <cell r="C965" t="str">
            <v>선장실</v>
          </cell>
        </row>
        <row r="966">
          <cell r="A966">
            <v>70103002</v>
          </cell>
          <cell r="C966" t="str">
            <v>낡은 갑판</v>
          </cell>
        </row>
        <row r="967">
          <cell r="A967">
            <v>70103003</v>
          </cell>
          <cell r="C967" t="str">
            <v>낡은 키</v>
          </cell>
        </row>
        <row r="968">
          <cell r="A968">
            <v>70103004</v>
          </cell>
          <cell r="C968" t="str">
            <v>낡은 돛대</v>
          </cell>
        </row>
        <row r="969">
          <cell r="A969">
            <v>70103005</v>
          </cell>
          <cell r="C969" t="str">
            <v>낡은 파수대</v>
          </cell>
        </row>
        <row r="970">
          <cell r="A970">
            <v>70103006</v>
          </cell>
          <cell r="C970" t="str">
            <v>낡은 부관실</v>
          </cell>
        </row>
        <row r="971">
          <cell r="A971">
            <v>70103007</v>
          </cell>
          <cell r="C971" t="str">
            <v>낡은 재목실</v>
          </cell>
        </row>
        <row r="972">
          <cell r="A972">
            <v>70103008</v>
          </cell>
          <cell r="C972" t="str">
            <v>낡은 회계실</v>
          </cell>
        </row>
        <row r="973">
          <cell r="A973">
            <v>70103009</v>
          </cell>
          <cell r="C973" t="str">
            <v>낡은 측량실</v>
          </cell>
        </row>
        <row r="974">
          <cell r="A974">
            <v>70103010</v>
          </cell>
          <cell r="C974" t="str">
            <v>낡은 무장포대</v>
          </cell>
        </row>
        <row r="975">
          <cell r="A975">
            <v>70103011</v>
          </cell>
          <cell r="C975" t="str">
            <v>낡은 해병대기실</v>
          </cell>
        </row>
        <row r="976">
          <cell r="A976">
            <v>70103012</v>
          </cell>
          <cell r="C976" t="str">
            <v>낡은 개인실</v>
          </cell>
        </row>
        <row r="977">
          <cell r="A977">
            <v>70103013</v>
          </cell>
          <cell r="C977" t="str">
            <v>낡은 예배실</v>
          </cell>
        </row>
        <row r="978">
          <cell r="A978">
            <v>70103014</v>
          </cell>
          <cell r="C978" t="str">
            <v>낡은 조리실</v>
          </cell>
        </row>
        <row r="979">
          <cell r="A979">
            <v>70103015</v>
          </cell>
          <cell r="C979" t="str">
            <v>낡은 진료실</v>
          </cell>
        </row>
        <row r="980">
          <cell r="A980">
            <v>70103016</v>
          </cell>
          <cell r="C980" t="str">
            <v>낡은 체력단련실</v>
          </cell>
        </row>
        <row r="981">
          <cell r="A981">
            <v>70103017</v>
          </cell>
          <cell r="C981" t="str">
            <v>낡은 참모실</v>
          </cell>
        </row>
        <row r="982">
          <cell r="A982">
            <v>70103018</v>
          </cell>
          <cell r="C982" t="str">
            <v>낡은 오락실</v>
          </cell>
        </row>
        <row r="983">
          <cell r="A983">
            <v>70103019</v>
          </cell>
          <cell r="C983" t="str">
            <v>낡은 사육실</v>
          </cell>
        </row>
        <row r="984">
          <cell r="A984">
            <v>70103020</v>
          </cell>
          <cell r="C984" t="str">
            <v>낡은 연구실</v>
          </cell>
        </row>
        <row r="985">
          <cell r="A985">
            <v>70103021</v>
          </cell>
          <cell r="C985" t="str">
            <v>낡은 도서실</v>
          </cell>
        </row>
        <row r="986">
          <cell r="A986">
            <v>70103022</v>
          </cell>
          <cell r="C986" t="str">
            <v xml:space="preserve"> 갑판</v>
          </cell>
        </row>
        <row r="987">
          <cell r="A987">
            <v>70103023</v>
          </cell>
          <cell r="C987" t="str">
            <v xml:space="preserve"> 키</v>
          </cell>
        </row>
        <row r="988">
          <cell r="A988">
            <v>70103024</v>
          </cell>
          <cell r="C988" t="str">
            <v xml:space="preserve"> 돛대</v>
          </cell>
        </row>
        <row r="989">
          <cell r="A989">
            <v>70103025</v>
          </cell>
          <cell r="C989" t="str">
            <v xml:space="preserve"> 파수대</v>
          </cell>
        </row>
        <row r="990">
          <cell r="A990">
            <v>70103026</v>
          </cell>
          <cell r="C990" t="str">
            <v xml:space="preserve"> 부관실</v>
          </cell>
        </row>
        <row r="991">
          <cell r="A991">
            <v>70103027</v>
          </cell>
          <cell r="C991" t="str">
            <v xml:space="preserve"> 재목실</v>
          </cell>
        </row>
        <row r="992">
          <cell r="A992">
            <v>70103028</v>
          </cell>
          <cell r="C992" t="str">
            <v xml:space="preserve"> 회계실</v>
          </cell>
        </row>
        <row r="993">
          <cell r="A993">
            <v>70103029</v>
          </cell>
          <cell r="C993" t="str">
            <v xml:space="preserve"> 측량실</v>
          </cell>
        </row>
        <row r="994">
          <cell r="A994">
            <v>70103030</v>
          </cell>
          <cell r="C994" t="str">
            <v xml:space="preserve"> 무장포대</v>
          </cell>
        </row>
        <row r="995">
          <cell r="A995">
            <v>70103031</v>
          </cell>
          <cell r="C995" t="str">
            <v xml:space="preserve"> 해병대기실</v>
          </cell>
        </row>
        <row r="996">
          <cell r="A996">
            <v>70103032</v>
          </cell>
          <cell r="C996" t="str">
            <v xml:space="preserve"> 개인실</v>
          </cell>
        </row>
        <row r="997">
          <cell r="A997">
            <v>70103033</v>
          </cell>
          <cell r="C997" t="str">
            <v xml:space="preserve"> 예배실</v>
          </cell>
        </row>
        <row r="998">
          <cell r="A998">
            <v>70103034</v>
          </cell>
          <cell r="C998" t="str">
            <v xml:space="preserve"> 조리실</v>
          </cell>
        </row>
        <row r="999">
          <cell r="A999">
            <v>70103035</v>
          </cell>
          <cell r="C999" t="str">
            <v xml:space="preserve"> 진료실</v>
          </cell>
        </row>
        <row r="1000">
          <cell r="A1000">
            <v>70103036</v>
          </cell>
          <cell r="C1000" t="str">
            <v xml:space="preserve"> 체력단련실</v>
          </cell>
        </row>
        <row r="1001">
          <cell r="A1001">
            <v>70103037</v>
          </cell>
          <cell r="C1001" t="str">
            <v xml:space="preserve"> 참모실</v>
          </cell>
        </row>
        <row r="1002">
          <cell r="A1002">
            <v>70103038</v>
          </cell>
          <cell r="C1002" t="str">
            <v xml:space="preserve"> 오락실</v>
          </cell>
        </row>
        <row r="1003">
          <cell r="A1003">
            <v>70103039</v>
          </cell>
          <cell r="C1003" t="str">
            <v xml:space="preserve"> 사육실</v>
          </cell>
        </row>
        <row r="1004">
          <cell r="A1004">
            <v>70103040</v>
          </cell>
          <cell r="C1004" t="str">
            <v xml:space="preserve"> 연구실</v>
          </cell>
        </row>
        <row r="1005">
          <cell r="A1005">
            <v>70103041</v>
          </cell>
          <cell r="C1005" t="str">
            <v xml:space="preserve"> 도서실</v>
          </cell>
        </row>
        <row r="1006">
          <cell r="A1006">
            <v>70103042</v>
          </cell>
          <cell r="C1006" t="str">
            <v>고급 갑판</v>
          </cell>
        </row>
        <row r="1007">
          <cell r="A1007">
            <v>70103043</v>
          </cell>
          <cell r="C1007" t="str">
            <v>고급 키</v>
          </cell>
        </row>
        <row r="1008">
          <cell r="A1008">
            <v>70103044</v>
          </cell>
          <cell r="C1008" t="str">
            <v>고급 돛대</v>
          </cell>
        </row>
        <row r="1009">
          <cell r="A1009">
            <v>70103045</v>
          </cell>
          <cell r="C1009" t="str">
            <v>고급 파수대</v>
          </cell>
        </row>
        <row r="1010">
          <cell r="A1010">
            <v>70103046</v>
          </cell>
          <cell r="C1010" t="str">
            <v>고급 부관실</v>
          </cell>
        </row>
        <row r="1011">
          <cell r="A1011">
            <v>70103047</v>
          </cell>
          <cell r="C1011" t="str">
            <v>고급 재목실</v>
          </cell>
        </row>
        <row r="1012">
          <cell r="A1012">
            <v>70103048</v>
          </cell>
          <cell r="C1012" t="str">
            <v>고급 회계실</v>
          </cell>
        </row>
        <row r="1013">
          <cell r="A1013">
            <v>70103049</v>
          </cell>
          <cell r="C1013" t="str">
            <v>고급 측량실</v>
          </cell>
        </row>
        <row r="1014">
          <cell r="A1014">
            <v>70103050</v>
          </cell>
          <cell r="C1014" t="str">
            <v>고급 무장포대</v>
          </cell>
        </row>
        <row r="1015">
          <cell r="A1015">
            <v>70103051</v>
          </cell>
          <cell r="C1015" t="str">
            <v>고급 해병대기실</v>
          </cell>
        </row>
        <row r="1016">
          <cell r="A1016">
            <v>70103052</v>
          </cell>
          <cell r="C1016" t="str">
            <v>고급 개인실</v>
          </cell>
        </row>
        <row r="1017">
          <cell r="A1017">
            <v>70103053</v>
          </cell>
          <cell r="C1017" t="str">
            <v>고급 예배실</v>
          </cell>
        </row>
        <row r="1018">
          <cell r="A1018">
            <v>70103054</v>
          </cell>
          <cell r="C1018" t="str">
            <v>고급 조리실</v>
          </cell>
        </row>
        <row r="1019">
          <cell r="A1019">
            <v>70103055</v>
          </cell>
          <cell r="C1019" t="str">
            <v>고급 진료실</v>
          </cell>
        </row>
        <row r="1020">
          <cell r="A1020">
            <v>70103056</v>
          </cell>
          <cell r="C1020" t="str">
            <v>고급 체력단련실</v>
          </cell>
        </row>
        <row r="1021">
          <cell r="A1021">
            <v>70103057</v>
          </cell>
          <cell r="C1021" t="str">
            <v>고급 참모실</v>
          </cell>
        </row>
        <row r="1022">
          <cell r="A1022">
            <v>70103058</v>
          </cell>
          <cell r="C1022" t="str">
            <v>고급 오락실</v>
          </cell>
        </row>
        <row r="1023">
          <cell r="A1023">
            <v>70103059</v>
          </cell>
          <cell r="C1023" t="str">
            <v>고급 사육실</v>
          </cell>
        </row>
        <row r="1024">
          <cell r="A1024">
            <v>70103060</v>
          </cell>
          <cell r="C1024" t="str">
            <v>고급 연구실</v>
          </cell>
        </row>
        <row r="1025">
          <cell r="A1025">
            <v>70103061</v>
          </cell>
          <cell r="C1025" t="str">
            <v>고급 도서실</v>
          </cell>
        </row>
        <row r="1026">
          <cell r="A1026">
            <v>70103062</v>
          </cell>
          <cell r="C1026" t="str">
            <v>최고급 갑판</v>
          </cell>
        </row>
        <row r="1027">
          <cell r="A1027">
            <v>70103063</v>
          </cell>
          <cell r="C1027" t="str">
            <v>최고급 키</v>
          </cell>
        </row>
        <row r="1028">
          <cell r="A1028">
            <v>70103064</v>
          </cell>
          <cell r="C1028" t="str">
            <v>최고급 돛대</v>
          </cell>
        </row>
        <row r="1029">
          <cell r="A1029">
            <v>70103065</v>
          </cell>
          <cell r="C1029" t="str">
            <v>최고급 파수대</v>
          </cell>
        </row>
        <row r="1030">
          <cell r="A1030">
            <v>70103066</v>
          </cell>
          <cell r="C1030" t="str">
            <v>최고급 부관실</v>
          </cell>
        </row>
        <row r="1031">
          <cell r="A1031">
            <v>70103067</v>
          </cell>
          <cell r="C1031" t="str">
            <v>최고급 재목실</v>
          </cell>
        </row>
        <row r="1032">
          <cell r="A1032">
            <v>70103068</v>
          </cell>
          <cell r="C1032" t="str">
            <v>최고급 회계실</v>
          </cell>
        </row>
        <row r="1033">
          <cell r="A1033">
            <v>70103069</v>
          </cell>
          <cell r="C1033" t="str">
            <v>최고급 측량실</v>
          </cell>
        </row>
        <row r="1034">
          <cell r="A1034">
            <v>70103070</v>
          </cell>
          <cell r="C1034" t="str">
            <v>최고급 무장포대</v>
          </cell>
        </row>
        <row r="1035">
          <cell r="A1035">
            <v>70103071</v>
          </cell>
          <cell r="C1035" t="str">
            <v>최고급 해병대기실</v>
          </cell>
        </row>
        <row r="1036">
          <cell r="A1036">
            <v>70103072</v>
          </cell>
          <cell r="C1036" t="str">
            <v>최고급 개인실</v>
          </cell>
        </row>
        <row r="1037">
          <cell r="A1037">
            <v>70103073</v>
          </cell>
          <cell r="C1037" t="str">
            <v>최고급 예배실</v>
          </cell>
        </row>
        <row r="1038">
          <cell r="A1038">
            <v>70103074</v>
          </cell>
          <cell r="C1038" t="str">
            <v>최고급 조리실</v>
          </cell>
        </row>
        <row r="1039">
          <cell r="A1039">
            <v>70103075</v>
          </cell>
          <cell r="C1039" t="str">
            <v>최고급 진료실</v>
          </cell>
        </row>
        <row r="1040">
          <cell r="A1040">
            <v>70103076</v>
          </cell>
          <cell r="C1040" t="str">
            <v>최고급 체력단련실</v>
          </cell>
        </row>
        <row r="1041">
          <cell r="A1041">
            <v>70103077</v>
          </cell>
          <cell r="C1041" t="str">
            <v>최고급 참모실</v>
          </cell>
        </row>
        <row r="1042">
          <cell r="A1042">
            <v>70103078</v>
          </cell>
          <cell r="C1042" t="str">
            <v>최고급 오락실</v>
          </cell>
        </row>
        <row r="1043">
          <cell r="A1043">
            <v>70103079</v>
          </cell>
          <cell r="C1043" t="str">
            <v>최고급 사육실</v>
          </cell>
        </row>
        <row r="1044">
          <cell r="A1044">
            <v>70103080</v>
          </cell>
          <cell r="C1044" t="str">
            <v>최고급 연구실</v>
          </cell>
        </row>
        <row r="1045">
          <cell r="A1045">
            <v>70103081</v>
          </cell>
          <cell r="C1045" t="str">
            <v>최고급 도서실</v>
          </cell>
        </row>
        <row r="1046">
          <cell r="A1046">
            <v>70104001</v>
          </cell>
          <cell r="C1046" t="str">
            <v>낡은 소형 물자창고</v>
          </cell>
        </row>
        <row r="1047">
          <cell r="A1047">
            <v>70104002</v>
          </cell>
          <cell r="C1047" t="str">
            <v>낡은 소형 식료품 창고</v>
          </cell>
        </row>
        <row r="1048">
          <cell r="A1048">
            <v>70104003</v>
          </cell>
          <cell r="C1048" t="str">
            <v>낡은 소형 조미료 창고</v>
          </cell>
        </row>
        <row r="1049">
          <cell r="A1049">
            <v>70104004</v>
          </cell>
          <cell r="C1049" t="str">
            <v>낡은 소형 가축 창고</v>
          </cell>
        </row>
        <row r="1050">
          <cell r="A1050">
            <v>70104005</v>
          </cell>
          <cell r="C1050" t="str">
            <v>낡은 소형 의약품 창고</v>
          </cell>
        </row>
        <row r="1051">
          <cell r="A1051">
            <v>70104006</v>
          </cell>
          <cell r="C1051" t="str">
            <v>낡은 소형 잡화 창고</v>
          </cell>
        </row>
        <row r="1052">
          <cell r="A1052">
            <v>70104007</v>
          </cell>
          <cell r="C1052" t="str">
            <v>낡은 소형 주류 창고</v>
          </cell>
        </row>
        <row r="1053">
          <cell r="A1053">
            <v>70104008</v>
          </cell>
          <cell r="C1053" t="str">
            <v>낡은 소형 염료 창고</v>
          </cell>
        </row>
        <row r="1054">
          <cell r="A1054">
            <v>70104009</v>
          </cell>
          <cell r="C1054" t="str">
            <v>낡은 소형 광석 창고</v>
          </cell>
        </row>
        <row r="1055">
          <cell r="A1055">
            <v>70104010</v>
          </cell>
          <cell r="C1055" t="str">
            <v>낡은 소형 공업품 창고</v>
          </cell>
        </row>
        <row r="1056">
          <cell r="A1056">
            <v>70104011</v>
          </cell>
          <cell r="C1056" t="str">
            <v>낡은 소형 기호품 창고</v>
          </cell>
        </row>
        <row r="1057">
          <cell r="A1057">
            <v>70104012</v>
          </cell>
          <cell r="C1057" t="str">
            <v>낡은 소형 섬유 창고</v>
          </cell>
        </row>
        <row r="1058">
          <cell r="A1058">
            <v>70104013</v>
          </cell>
          <cell r="C1058" t="str">
            <v>낡은 소형 직물 창고</v>
          </cell>
        </row>
        <row r="1059">
          <cell r="A1059">
            <v>70104014</v>
          </cell>
          <cell r="C1059" t="str">
            <v>낡은 소형 공예품 창고</v>
          </cell>
        </row>
        <row r="1060">
          <cell r="A1060">
            <v>70104015</v>
          </cell>
          <cell r="C1060" t="str">
            <v>낡은 소형 미술품 창고</v>
          </cell>
        </row>
        <row r="1061">
          <cell r="A1061">
            <v>70104016</v>
          </cell>
          <cell r="C1061" t="str">
            <v>낡은 소형 향신료 창고</v>
          </cell>
        </row>
        <row r="1062">
          <cell r="A1062">
            <v>70104017</v>
          </cell>
          <cell r="C1062" t="str">
            <v>낡은 소형 귀금속 창고</v>
          </cell>
        </row>
        <row r="1063">
          <cell r="A1063">
            <v>70104018</v>
          </cell>
          <cell r="C1063" t="str">
            <v>낡은 소형 향료 창고</v>
          </cell>
        </row>
        <row r="1064">
          <cell r="A1064">
            <v>70104019</v>
          </cell>
          <cell r="C1064" t="str">
            <v>낡은 소형 보석 창고</v>
          </cell>
        </row>
        <row r="1065">
          <cell r="A1065">
            <v>70104020</v>
          </cell>
          <cell r="C1065" t="str">
            <v>낡은 소형 무기류 창고</v>
          </cell>
        </row>
        <row r="1066">
          <cell r="A1066">
            <v>70104021</v>
          </cell>
          <cell r="C1066" t="str">
            <v>낡은 소형 총포류 창고</v>
          </cell>
        </row>
        <row r="1067">
          <cell r="A1067">
            <v>70104022</v>
          </cell>
          <cell r="C1067" t="str">
            <v>낡은 소형 짐창고</v>
          </cell>
        </row>
        <row r="1068">
          <cell r="A1068">
            <v>70104023</v>
          </cell>
          <cell r="C1068" t="str">
            <v>낡은 소형 조수실</v>
          </cell>
        </row>
        <row r="1069">
          <cell r="A1069">
            <v>70104024</v>
          </cell>
          <cell r="C1069" t="str">
            <v>낡은 소형 선원실</v>
          </cell>
        </row>
        <row r="1070">
          <cell r="A1070">
            <v>70104025</v>
          </cell>
          <cell r="C1070" t="str">
            <v>낡은 소형 탄약창고</v>
          </cell>
        </row>
        <row r="1071">
          <cell r="A1071">
            <v>70104026</v>
          </cell>
          <cell r="C1071" t="str">
            <v>낡은 소형 무기창고</v>
          </cell>
        </row>
        <row r="1072">
          <cell r="A1072">
            <v>70104027</v>
          </cell>
          <cell r="C1072" t="str">
            <v>낡은 소형 휴게실</v>
          </cell>
        </row>
        <row r="1073">
          <cell r="A1073">
            <v>70104028</v>
          </cell>
          <cell r="C1073" t="str">
            <v>낡은 소형 연회장</v>
          </cell>
        </row>
        <row r="1074">
          <cell r="A1074">
            <v>70104029</v>
          </cell>
          <cell r="C1074" t="str">
            <v>낡은 소형 위장창고</v>
          </cell>
        </row>
        <row r="1075">
          <cell r="A1075">
            <v>70104030</v>
          </cell>
          <cell r="C1075" t="str">
            <v>낡은 소형 강화창고</v>
          </cell>
        </row>
        <row r="1076">
          <cell r="A1076">
            <v>70104031</v>
          </cell>
          <cell r="C1076" t="str">
            <v>소형 물자창고</v>
          </cell>
        </row>
        <row r="1077">
          <cell r="A1077">
            <v>70104032</v>
          </cell>
          <cell r="C1077" t="str">
            <v>소형 식료품 창고</v>
          </cell>
        </row>
        <row r="1078">
          <cell r="A1078">
            <v>70104033</v>
          </cell>
          <cell r="C1078" t="str">
            <v>소형 조미료 창고</v>
          </cell>
        </row>
        <row r="1079">
          <cell r="A1079">
            <v>70104034</v>
          </cell>
          <cell r="C1079" t="str">
            <v>소형 가축 창고</v>
          </cell>
        </row>
        <row r="1080">
          <cell r="A1080">
            <v>70104035</v>
          </cell>
          <cell r="C1080" t="str">
            <v>소형 의약품 창고</v>
          </cell>
        </row>
        <row r="1081">
          <cell r="A1081">
            <v>70104036</v>
          </cell>
          <cell r="C1081" t="str">
            <v>소형 잡화 창고</v>
          </cell>
        </row>
        <row r="1082">
          <cell r="A1082">
            <v>70104037</v>
          </cell>
          <cell r="C1082" t="str">
            <v>소형 주류 창고</v>
          </cell>
        </row>
        <row r="1083">
          <cell r="A1083">
            <v>70104038</v>
          </cell>
          <cell r="C1083" t="str">
            <v>소형 염료 창고</v>
          </cell>
        </row>
        <row r="1084">
          <cell r="A1084">
            <v>70104039</v>
          </cell>
          <cell r="C1084" t="str">
            <v>소형 광석 창고</v>
          </cell>
        </row>
        <row r="1085">
          <cell r="A1085">
            <v>70104040</v>
          </cell>
          <cell r="C1085" t="str">
            <v>소형 공업품 창고</v>
          </cell>
        </row>
        <row r="1086">
          <cell r="A1086">
            <v>70104041</v>
          </cell>
          <cell r="C1086" t="str">
            <v>소형 기호품 창고</v>
          </cell>
        </row>
        <row r="1087">
          <cell r="A1087">
            <v>70104042</v>
          </cell>
          <cell r="C1087" t="str">
            <v>소형 섬유 창고</v>
          </cell>
        </row>
        <row r="1088">
          <cell r="A1088">
            <v>70104043</v>
          </cell>
          <cell r="C1088" t="str">
            <v>소형 직물 창고</v>
          </cell>
        </row>
        <row r="1089">
          <cell r="A1089">
            <v>70104044</v>
          </cell>
          <cell r="C1089" t="str">
            <v>소형 공예품 창고</v>
          </cell>
        </row>
        <row r="1090">
          <cell r="A1090">
            <v>70104045</v>
          </cell>
          <cell r="C1090" t="str">
            <v>소형 미술품 창고</v>
          </cell>
        </row>
        <row r="1091">
          <cell r="A1091">
            <v>70104046</v>
          </cell>
          <cell r="C1091" t="str">
            <v>소형 향신료 창고</v>
          </cell>
        </row>
        <row r="1092">
          <cell r="A1092">
            <v>70104047</v>
          </cell>
          <cell r="C1092" t="str">
            <v>소형 귀금속 창고</v>
          </cell>
        </row>
        <row r="1093">
          <cell r="A1093">
            <v>70104048</v>
          </cell>
          <cell r="C1093" t="str">
            <v>소형 향료 창고</v>
          </cell>
        </row>
        <row r="1094">
          <cell r="A1094">
            <v>70104049</v>
          </cell>
          <cell r="C1094" t="str">
            <v>소형 보석 창고</v>
          </cell>
        </row>
        <row r="1095">
          <cell r="A1095">
            <v>70104050</v>
          </cell>
          <cell r="C1095" t="str">
            <v>소형 무기류 창고</v>
          </cell>
        </row>
        <row r="1096">
          <cell r="A1096">
            <v>70104051</v>
          </cell>
          <cell r="C1096" t="str">
            <v>소형 총포류 창고</v>
          </cell>
        </row>
        <row r="1097">
          <cell r="A1097">
            <v>70104052</v>
          </cell>
          <cell r="C1097" t="str">
            <v>소형 짐창고</v>
          </cell>
        </row>
        <row r="1098">
          <cell r="A1098">
            <v>70104053</v>
          </cell>
          <cell r="C1098" t="str">
            <v>소형 조수실</v>
          </cell>
        </row>
        <row r="1099">
          <cell r="A1099">
            <v>70104054</v>
          </cell>
          <cell r="C1099" t="str">
            <v>소형 선원실</v>
          </cell>
        </row>
        <row r="1100">
          <cell r="A1100">
            <v>70104055</v>
          </cell>
          <cell r="C1100" t="str">
            <v>소형 탄약창고</v>
          </cell>
        </row>
        <row r="1101">
          <cell r="A1101">
            <v>70104056</v>
          </cell>
          <cell r="C1101" t="str">
            <v>소형 무기창고</v>
          </cell>
        </row>
        <row r="1102">
          <cell r="A1102">
            <v>70104057</v>
          </cell>
          <cell r="C1102" t="str">
            <v>소형 휴게실</v>
          </cell>
        </row>
        <row r="1103">
          <cell r="A1103">
            <v>70104058</v>
          </cell>
          <cell r="C1103" t="str">
            <v>소형 연회장</v>
          </cell>
        </row>
        <row r="1104">
          <cell r="A1104">
            <v>70104059</v>
          </cell>
          <cell r="C1104" t="str">
            <v>소형 위장창고</v>
          </cell>
        </row>
        <row r="1105">
          <cell r="A1105">
            <v>70104060</v>
          </cell>
          <cell r="C1105" t="str">
            <v>소형 강화창고</v>
          </cell>
        </row>
        <row r="1106">
          <cell r="A1106">
            <v>70104061</v>
          </cell>
          <cell r="C1106" t="str">
            <v>고급 소형 물자창고</v>
          </cell>
        </row>
        <row r="1107">
          <cell r="A1107">
            <v>70104062</v>
          </cell>
          <cell r="C1107" t="str">
            <v>고급 소형 식료품 창고</v>
          </cell>
        </row>
        <row r="1108">
          <cell r="A1108">
            <v>70104063</v>
          </cell>
          <cell r="C1108" t="str">
            <v>고급 소형 조미료 창고</v>
          </cell>
        </row>
        <row r="1109">
          <cell r="A1109">
            <v>70104064</v>
          </cell>
          <cell r="C1109" t="str">
            <v>고급 소형 가축 창고</v>
          </cell>
        </row>
        <row r="1110">
          <cell r="A1110">
            <v>70104065</v>
          </cell>
          <cell r="C1110" t="str">
            <v>고급 소형 의약품 창고</v>
          </cell>
        </row>
        <row r="1111">
          <cell r="A1111">
            <v>70104066</v>
          </cell>
          <cell r="C1111" t="str">
            <v>고급 소형 잡화 창고</v>
          </cell>
        </row>
        <row r="1112">
          <cell r="A1112">
            <v>70104067</v>
          </cell>
          <cell r="C1112" t="str">
            <v>고급 소형 주류 창고</v>
          </cell>
        </row>
        <row r="1113">
          <cell r="A1113">
            <v>70104068</v>
          </cell>
          <cell r="C1113" t="str">
            <v>고급 소형 염료 창고</v>
          </cell>
        </row>
        <row r="1114">
          <cell r="A1114">
            <v>70104069</v>
          </cell>
          <cell r="C1114" t="str">
            <v>고급 소형 광석 창고</v>
          </cell>
        </row>
        <row r="1115">
          <cell r="A1115">
            <v>70104070</v>
          </cell>
          <cell r="C1115" t="str">
            <v>고급 소형 공업품 창고</v>
          </cell>
        </row>
        <row r="1116">
          <cell r="A1116">
            <v>70104071</v>
          </cell>
          <cell r="C1116" t="str">
            <v>고급 소형 기호품 창고</v>
          </cell>
        </row>
        <row r="1117">
          <cell r="A1117">
            <v>70104072</v>
          </cell>
          <cell r="C1117" t="str">
            <v>고급 소형 섬유 창고</v>
          </cell>
        </row>
        <row r="1118">
          <cell r="A1118">
            <v>70104073</v>
          </cell>
          <cell r="C1118" t="str">
            <v>고급 소형 직물 창고</v>
          </cell>
        </row>
        <row r="1119">
          <cell r="A1119">
            <v>70104074</v>
          </cell>
          <cell r="C1119" t="str">
            <v>고급 소형 공예품 창고</v>
          </cell>
        </row>
        <row r="1120">
          <cell r="A1120">
            <v>70104075</v>
          </cell>
          <cell r="C1120" t="str">
            <v>고급 소형 미술품 창고</v>
          </cell>
        </row>
        <row r="1121">
          <cell r="A1121">
            <v>70104076</v>
          </cell>
          <cell r="C1121" t="str">
            <v>고급 소형 향신료 창고</v>
          </cell>
        </row>
        <row r="1122">
          <cell r="A1122">
            <v>70104077</v>
          </cell>
          <cell r="C1122" t="str">
            <v>고급 소형 귀금속 창고</v>
          </cell>
        </row>
        <row r="1123">
          <cell r="A1123">
            <v>70104078</v>
          </cell>
          <cell r="C1123" t="str">
            <v>고급 소형 향료 창고</v>
          </cell>
        </row>
        <row r="1124">
          <cell r="A1124">
            <v>70104079</v>
          </cell>
          <cell r="C1124" t="str">
            <v>고급 소형 보석 창고</v>
          </cell>
        </row>
        <row r="1125">
          <cell r="A1125">
            <v>70104080</v>
          </cell>
          <cell r="C1125" t="str">
            <v>고급 소형 무기류 창고</v>
          </cell>
        </row>
        <row r="1126">
          <cell r="A1126">
            <v>70104081</v>
          </cell>
          <cell r="C1126" t="str">
            <v>고급 소형 총포류 창고</v>
          </cell>
        </row>
        <row r="1127">
          <cell r="A1127">
            <v>70104082</v>
          </cell>
          <cell r="C1127" t="str">
            <v>고급 소형 짐창고</v>
          </cell>
        </row>
        <row r="1128">
          <cell r="A1128">
            <v>70104083</v>
          </cell>
          <cell r="C1128" t="str">
            <v>고급 소형 조수실</v>
          </cell>
        </row>
        <row r="1129">
          <cell r="A1129">
            <v>70104084</v>
          </cell>
          <cell r="C1129" t="str">
            <v>고급 소형 선원실</v>
          </cell>
        </row>
        <row r="1130">
          <cell r="A1130">
            <v>70104085</v>
          </cell>
          <cell r="C1130" t="str">
            <v>고급 소형 탄약창고</v>
          </cell>
        </row>
        <row r="1131">
          <cell r="A1131">
            <v>70104086</v>
          </cell>
          <cell r="C1131" t="str">
            <v>고급 소형 무기창고</v>
          </cell>
        </row>
        <row r="1132">
          <cell r="A1132">
            <v>70104087</v>
          </cell>
          <cell r="C1132" t="str">
            <v>고급 소형 휴게실</v>
          </cell>
        </row>
        <row r="1133">
          <cell r="A1133">
            <v>70104088</v>
          </cell>
          <cell r="C1133" t="str">
            <v>고급 소형 연회장</v>
          </cell>
        </row>
        <row r="1134">
          <cell r="A1134">
            <v>70104089</v>
          </cell>
          <cell r="C1134" t="str">
            <v>고급 소형 위장창고</v>
          </cell>
        </row>
        <row r="1135">
          <cell r="A1135">
            <v>70104090</v>
          </cell>
          <cell r="C1135" t="str">
            <v>고급 소형 강화창고</v>
          </cell>
        </row>
        <row r="1136">
          <cell r="A1136">
            <v>70104091</v>
          </cell>
          <cell r="C1136" t="str">
            <v>최고급 소형 물자창고</v>
          </cell>
        </row>
        <row r="1137">
          <cell r="A1137">
            <v>70104092</v>
          </cell>
          <cell r="C1137" t="str">
            <v>최고급 소형 식료품 창고</v>
          </cell>
        </row>
        <row r="1138">
          <cell r="A1138">
            <v>70104093</v>
          </cell>
          <cell r="C1138" t="str">
            <v>최고급 소형 조미료 창고</v>
          </cell>
        </row>
        <row r="1139">
          <cell r="A1139">
            <v>70104094</v>
          </cell>
          <cell r="C1139" t="str">
            <v>최고급 소형 가축 창고</v>
          </cell>
        </row>
        <row r="1140">
          <cell r="A1140">
            <v>70104095</v>
          </cell>
          <cell r="C1140" t="str">
            <v>최고급 소형 의약품 창고</v>
          </cell>
        </row>
        <row r="1141">
          <cell r="A1141">
            <v>70104096</v>
          </cell>
          <cell r="C1141" t="str">
            <v>최고급 소형 잡화 창고</v>
          </cell>
        </row>
        <row r="1142">
          <cell r="A1142">
            <v>70104097</v>
          </cell>
          <cell r="C1142" t="str">
            <v>최고급 소형 주류 창고</v>
          </cell>
        </row>
        <row r="1143">
          <cell r="A1143">
            <v>70104098</v>
          </cell>
          <cell r="C1143" t="str">
            <v>최고급 소형 염료 창고</v>
          </cell>
        </row>
        <row r="1144">
          <cell r="A1144">
            <v>70104099</v>
          </cell>
          <cell r="C1144" t="str">
            <v>최고급 소형 광석 창고</v>
          </cell>
        </row>
        <row r="1145">
          <cell r="A1145">
            <v>70104100</v>
          </cell>
          <cell r="C1145" t="str">
            <v>최고급 소형 공업품 창고</v>
          </cell>
        </row>
        <row r="1146">
          <cell r="A1146">
            <v>70104101</v>
          </cell>
          <cell r="C1146" t="str">
            <v>최고급 소형 기호품 창고</v>
          </cell>
        </row>
        <row r="1147">
          <cell r="A1147">
            <v>70104102</v>
          </cell>
          <cell r="C1147" t="str">
            <v>최고급 소형 섬유 창고</v>
          </cell>
        </row>
        <row r="1148">
          <cell r="A1148">
            <v>70104103</v>
          </cell>
          <cell r="C1148" t="str">
            <v>최고급 소형 직물 창고</v>
          </cell>
        </row>
        <row r="1149">
          <cell r="A1149">
            <v>70104104</v>
          </cell>
          <cell r="C1149" t="str">
            <v>최고급 소형 공예품 창고</v>
          </cell>
        </row>
        <row r="1150">
          <cell r="A1150">
            <v>70104105</v>
          </cell>
          <cell r="C1150" t="str">
            <v>최고급 소형 미술품 창고</v>
          </cell>
        </row>
        <row r="1151">
          <cell r="A1151">
            <v>70104106</v>
          </cell>
          <cell r="C1151" t="str">
            <v>최고급 소형 향신료 창고</v>
          </cell>
        </row>
        <row r="1152">
          <cell r="A1152">
            <v>70104107</v>
          </cell>
          <cell r="C1152" t="str">
            <v>최고급 소형 귀금속 창고</v>
          </cell>
        </row>
        <row r="1153">
          <cell r="A1153">
            <v>70104108</v>
          </cell>
          <cell r="C1153" t="str">
            <v>최고급 소형 향료 창고</v>
          </cell>
        </row>
        <row r="1154">
          <cell r="A1154">
            <v>70104109</v>
          </cell>
          <cell r="C1154" t="str">
            <v>최고급 소형 보석 창고</v>
          </cell>
        </row>
        <row r="1155">
          <cell r="A1155">
            <v>70104110</v>
          </cell>
          <cell r="C1155" t="str">
            <v>최고급 소형 무기류 창고</v>
          </cell>
        </row>
        <row r="1156">
          <cell r="A1156">
            <v>70104111</v>
          </cell>
          <cell r="C1156" t="str">
            <v>최고급 소형 총포류 창고</v>
          </cell>
        </row>
        <row r="1157">
          <cell r="A1157">
            <v>70104112</v>
          </cell>
          <cell r="C1157" t="str">
            <v>최고급 소형 짐창고</v>
          </cell>
        </row>
        <row r="1158">
          <cell r="A1158">
            <v>70104113</v>
          </cell>
          <cell r="C1158" t="str">
            <v>최고급 소형 조수실</v>
          </cell>
        </row>
        <row r="1159">
          <cell r="A1159">
            <v>70104114</v>
          </cell>
          <cell r="C1159" t="str">
            <v>최고급 소형 선원실</v>
          </cell>
        </row>
        <row r="1160">
          <cell r="A1160">
            <v>70104115</v>
          </cell>
          <cell r="C1160" t="str">
            <v>최고급 소형 탄약창고</v>
          </cell>
        </row>
        <row r="1161">
          <cell r="A1161">
            <v>70104116</v>
          </cell>
          <cell r="C1161" t="str">
            <v>최고급 소형 무기창고</v>
          </cell>
        </row>
        <row r="1162">
          <cell r="A1162">
            <v>70104117</v>
          </cell>
          <cell r="C1162" t="str">
            <v>최고급 소형 휴게실</v>
          </cell>
        </row>
        <row r="1163">
          <cell r="A1163">
            <v>70104118</v>
          </cell>
          <cell r="C1163" t="str">
            <v>최고급 소형 연회장</v>
          </cell>
        </row>
        <row r="1164">
          <cell r="A1164">
            <v>70104119</v>
          </cell>
          <cell r="C1164" t="str">
            <v>최고급 소형 위장창고</v>
          </cell>
        </row>
        <row r="1165">
          <cell r="A1165">
            <v>70104120</v>
          </cell>
          <cell r="C1165" t="str">
            <v>최고급 소형 강화창고</v>
          </cell>
        </row>
        <row r="1166">
          <cell r="A1166">
            <v>70104121</v>
          </cell>
          <cell r="C1166" t="str">
            <v>낡은 중형 물자창고</v>
          </cell>
        </row>
        <row r="1167">
          <cell r="A1167">
            <v>70104122</v>
          </cell>
          <cell r="C1167" t="str">
            <v>낡은 중형 식료품 창고</v>
          </cell>
        </row>
        <row r="1168">
          <cell r="A1168">
            <v>70104123</v>
          </cell>
          <cell r="C1168" t="str">
            <v>낡은 중형 조미료 창고</v>
          </cell>
        </row>
        <row r="1169">
          <cell r="A1169">
            <v>70104124</v>
          </cell>
          <cell r="C1169" t="str">
            <v>낡은 중형 가축 창고</v>
          </cell>
        </row>
        <row r="1170">
          <cell r="A1170">
            <v>70104125</v>
          </cell>
          <cell r="C1170" t="str">
            <v>낡은 중형 의약품 창고</v>
          </cell>
        </row>
        <row r="1171">
          <cell r="A1171">
            <v>70104126</v>
          </cell>
          <cell r="C1171" t="str">
            <v>낡은 중형 잡화 창고</v>
          </cell>
        </row>
        <row r="1172">
          <cell r="A1172">
            <v>70104127</v>
          </cell>
          <cell r="C1172" t="str">
            <v>낡은 중형 주류 창고</v>
          </cell>
        </row>
        <row r="1173">
          <cell r="A1173">
            <v>70104128</v>
          </cell>
          <cell r="C1173" t="str">
            <v>낡은 중형 염료 창고</v>
          </cell>
        </row>
        <row r="1174">
          <cell r="A1174">
            <v>70104129</v>
          </cell>
          <cell r="C1174" t="str">
            <v>낡은 중형 광석 창고</v>
          </cell>
        </row>
        <row r="1175">
          <cell r="A1175">
            <v>70104130</v>
          </cell>
          <cell r="C1175" t="str">
            <v>낡은 중형 공업품 창고</v>
          </cell>
        </row>
        <row r="1176">
          <cell r="A1176">
            <v>70104131</v>
          </cell>
          <cell r="C1176" t="str">
            <v>낡은 중형 기호품 창고</v>
          </cell>
        </row>
        <row r="1177">
          <cell r="A1177">
            <v>70104132</v>
          </cell>
          <cell r="C1177" t="str">
            <v>낡은 중형 섬유 창고</v>
          </cell>
        </row>
        <row r="1178">
          <cell r="A1178">
            <v>70104133</v>
          </cell>
          <cell r="C1178" t="str">
            <v>낡은 중형 직물 창고</v>
          </cell>
        </row>
        <row r="1179">
          <cell r="A1179">
            <v>70104134</v>
          </cell>
          <cell r="C1179" t="str">
            <v>낡은 중형 공예품 창고</v>
          </cell>
        </row>
        <row r="1180">
          <cell r="A1180">
            <v>70104135</v>
          </cell>
          <cell r="C1180" t="str">
            <v>낡은 중형 미술품 창고</v>
          </cell>
        </row>
        <row r="1181">
          <cell r="A1181">
            <v>70104136</v>
          </cell>
          <cell r="C1181" t="str">
            <v>낡은 중형 향신료 창고</v>
          </cell>
        </row>
        <row r="1182">
          <cell r="A1182">
            <v>70104137</v>
          </cell>
          <cell r="C1182" t="str">
            <v>낡은 중형 귀금속 창고</v>
          </cell>
        </row>
        <row r="1183">
          <cell r="A1183">
            <v>70104138</v>
          </cell>
          <cell r="C1183" t="str">
            <v>낡은 중형 향료 창고</v>
          </cell>
        </row>
        <row r="1184">
          <cell r="A1184">
            <v>70104139</v>
          </cell>
          <cell r="C1184" t="str">
            <v>낡은 중형 보석 창고</v>
          </cell>
        </row>
        <row r="1185">
          <cell r="A1185">
            <v>70104140</v>
          </cell>
          <cell r="C1185" t="str">
            <v>낡은 중형 무기류 창고</v>
          </cell>
        </row>
        <row r="1186">
          <cell r="A1186">
            <v>70104141</v>
          </cell>
          <cell r="C1186" t="str">
            <v>낡은 중형 총포류 창고</v>
          </cell>
        </row>
        <row r="1187">
          <cell r="A1187">
            <v>70104142</v>
          </cell>
          <cell r="C1187" t="str">
            <v>낡은 중형 짐창고</v>
          </cell>
        </row>
        <row r="1188">
          <cell r="A1188">
            <v>70104143</v>
          </cell>
          <cell r="C1188" t="str">
            <v>낡은 중형 조수실</v>
          </cell>
        </row>
        <row r="1189">
          <cell r="A1189">
            <v>70104144</v>
          </cell>
          <cell r="C1189" t="str">
            <v>낡은 중형 선원실</v>
          </cell>
        </row>
        <row r="1190">
          <cell r="A1190">
            <v>70104145</v>
          </cell>
          <cell r="C1190" t="str">
            <v>낡은 중형 탄약창고</v>
          </cell>
        </row>
        <row r="1191">
          <cell r="A1191">
            <v>70104146</v>
          </cell>
          <cell r="C1191" t="str">
            <v>낡은 중형 무기창고</v>
          </cell>
        </row>
        <row r="1192">
          <cell r="A1192">
            <v>70104147</v>
          </cell>
          <cell r="C1192" t="str">
            <v>낡은 중형 휴게실</v>
          </cell>
        </row>
        <row r="1193">
          <cell r="A1193">
            <v>70104148</v>
          </cell>
          <cell r="C1193" t="str">
            <v>낡은 중형 연회장</v>
          </cell>
        </row>
        <row r="1194">
          <cell r="A1194">
            <v>70104149</v>
          </cell>
          <cell r="C1194" t="str">
            <v>낡은 중형 위장창고</v>
          </cell>
        </row>
        <row r="1195">
          <cell r="A1195">
            <v>70104150</v>
          </cell>
          <cell r="C1195" t="str">
            <v>낡은 중형 강화창고</v>
          </cell>
        </row>
        <row r="1196">
          <cell r="A1196">
            <v>70104151</v>
          </cell>
          <cell r="C1196" t="str">
            <v>중형 물자창고</v>
          </cell>
        </row>
        <row r="1197">
          <cell r="A1197">
            <v>70104152</v>
          </cell>
          <cell r="C1197" t="str">
            <v>중형 식료품 창고</v>
          </cell>
        </row>
        <row r="1198">
          <cell r="A1198">
            <v>70104153</v>
          </cell>
          <cell r="C1198" t="str">
            <v>중형 조미료 창고</v>
          </cell>
        </row>
        <row r="1199">
          <cell r="A1199">
            <v>70104154</v>
          </cell>
          <cell r="C1199" t="str">
            <v>중형 가축 창고</v>
          </cell>
        </row>
        <row r="1200">
          <cell r="A1200">
            <v>70104155</v>
          </cell>
          <cell r="C1200" t="str">
            <v>중형 의약품 창고</v>
          </cell>
        </row>
        <row r="1201">
          <cell r="A1201">
            <v>70104156</v>
          </cell>
          <cell r="C1201" t="str">
            <v>중형 잡화 창고</v>
          </cell>
        </row>
        <row r="1202">
          <cell r="A1202">
            <v>70104157</v>
          </cell>
          <cell r="C1202" t="str">
            <v>중형 주류 창고</v>
          </cell>
        </row>
        <row r="1203">
          <cell r="A1203">
            <v>70104158</v>
          </cell>
          <cell r="C1203" t="str">
            <v>중형 염료 창고</v>
          </cell>
        </row>
        <row r="1204">
          <cell r="A1204">
            <v>70104159</v>
          </cell>
          <cell r="C1204" t="str">
            <v>중형 광석 창고</v>
          </cell>
        </row>
        <row r="1205">
          <cell r="A1205">
            <v>70104160</v>
          </cell>
          <cell r="C1205" t="str">
            <v>중형 공업품 창고</v>
          </cell>
        </row>
        <row r="1206">
          <cell r="A1206">
            <v>70104161</v>
          </cell>
          <cell r="C1206" t="str">
            <v>중형 기호품 창고</v>
          </cell>
        </row>
        <row r="1207">
          <cell r="A1207">
            <v>70104162</v>
          </cell>
          <cell r="C1207" t="str">
            <v>중형 섬유 창고</v>
          </cell>
        </row>
        <row r="1208">
          <cell r="A1208">
            <v>70104163</v>
          </cell>
          <cell r="C1208" t="str">
            <v>중형 직물 창고</v>
          </cell>
        </row>
        <row r="1209">
          <cell r="A1209">
            <v>70104164</v>
          </cell>
          <cell r="C1209" t="str">
            <v>중형 공예품 창고</v>
          </cell>
        </row>
        <row r="1210">
          <cell r="A1210">
            <v>70104165</v>
          </cell>
          <cell r="C1210" t="str">
            <v>중형 미술품 창고</v>
          </cell>
        </row>
        <row r="1211">
          <cell r="A1211">
            <v>70104166</v>
          </cell>
          <cell r="C1211" t="str">
            <v>중형 향신료 창고</v>
          </cell>
        </row>
        <row r="1212">
          <cell r="A1212">
            <v>70104167</v>
          </cell>
          <cell r="C1212" t="str">
            <v>중형 귀금속 창고</v>
          </cell>
        </row>
        <row r="1213">
          <cell r="A1213">
            <v>70104168</v>
          </cell>
          <cell r="C1213" t="str">
            <v>중형 향료 창고</v>
          </cell>
        </row>
        <row r="1214">
          <cell r="A1214">
            <v>70104169</v>
          </cell>
          <cell r="C1214" t="str">
            <v>중형 보석 창고</v>
          </cell>
        </row>
        <row r="1215">
          <cell r="A1215">
            <v>70104170</v>
          </cell>
          <cell r="C1215" t="str">
            <v>중형 무기류 창고</v>
          </cell>
        </row>
        <row r="1216">
          <cell r="A1216">
            <v>70104171</v>
          </cell>
          <cell r="C1216" t="str">
            <v>중형 총포류 창고</v>
          </cell>
        </row>
        <row r="1217">
          <cell r="A1217">
            <v>70104172</v>
          </cell>
          <cell r="C1217" t="str">
            <v>중형 짐창고</v>
          </cell>
        </row>
        <row r="1218">
          <cell r="A1218">
            <v>70104173</v>
          </cell>
          <cell r="C1218" t="str">
            <v>중형 조수실</v>
          </cell>
        </row>
        <row r="1219">
          <cell r="A1219">
            <v>70104174</v>
          </cell>
          <cell r="C1219" t="str">
            <v>중형 선원실</v>
          </cell>
        </row>
        <row r="1220">
          <cell r="A1220">
            <v>70104175</v>
          </cell>
          <cell r="C1220" t="str">
            <v>중형 탄약창고</v>
          </cell>
        </row>
        <row r="1221">
          <cell r="A1221">
            <v>70104176</v>
          </cell>
          <cell r="C1221" t="str">
            <v>중형 무기창고</v>
          </cell>
        </row>
        <row r="1222">
          <cell r="A1222">
            <v>70104177</v>
          </cell>
          <cell r="C1222" t="str">
            <v>중형 휴게실</v>
          </cell>
        </row>
        <row r="1223">
          <cell r="A1223">
            <v>70104178</v>
          </cell>
          <cell r="C1223" t="str">
            <v>중형 연회장</v>
          </cell>
        </row>
        <row r="1224">
          <cell r="A1224">
            <v>70104179</v>
          </cell>
          <cell r="C1224" t="str">
            <v>중형 위장창고</v>
          </cell>
        </row>
        <row r="1225">
          <cell r="A1225">
            <v>70104180</v>
          </cell>
          <cell r="C1225" t="str">
            <v>중형 강화창고</v>
          </cell>
        </row>
        <row r="1226">
          <cell r="A1226">
            <v>70104181</v>
          </cell>
          <cell r="C1226" t="str">
            <v>고급 중형 물자창고</v>
          </cell>
        </row>
        <row r="1227">
          <cell r="A1227">
            <v>70104182</v>
          </cell>
          <cell r="C1227" t="str">
            <v>고급 중형 식료품 창고</v>
          </cell>
        </row>
        <row r="1228">
          <cell r="A1228">
            <v>70104183</v>
          </cell>
          <cell r="C1228" t="str">
            <v>고급 중형 조미료 창고</v>
          </cell>
        </row>
        <row r="1229">
          <cell r="A1229">
            <v>70104184</v>
          </cell>
          <cell r="C1229" t="str">
            <v>고급 중형 가축 창고</v>
          </cell>
        </row>
        <row r="1230">
          <cell r="A1230">
            <v>70104185</v>
          </cell>
          <cell r="C1230" t="str">
            <v>고급 중형 의약품 창고</v>
          </cell>
        </row>
        <row r="1231">
          <cell r="A1231">
            <v>70104186</v>
          </cell>
          <cell r="C1231" t="str">
            <v>고급 중형 잡화 창고</v>
          </cell>
        </row>
        <row r="1232">
          <cell r="A1232">
            <v>70104187</v>
          </cell>
          <cell r="C1232" t="str">
            <v>고급 중형 주류 창고</v>
          </cell>
        </row>
        <row r="1233">
          <cell r="A1233">
            <v>70104188</v>
          </cell>
          <cell r="C1233" t="str">
            <v>고급 중형 염료 창고</v>
          </cell>
        </row>
        <row r="1234">
          <cell r="A1234">
            <v>70104189</v>
          </cell>
          <cell r="C1234" t="str">
            <v>고급 중형 광석 창고</v>
          </cell>
        </row>
        <row r="1235">
          <cell r="A1235">
            <v>70104190</v>
          </cell>
          <cell r="C1235" t="str">
            <v>고급 중형 공업품 창고</v>
          </cell>
        </row>
        <row r="1236">
          <cell r="A1236">
            <v>70104191</v>
          </cell>
          <cell r="C1236" t="str">
            <v>고급 중형 기호품 창고</v>
          </cell>
        </row>
        <row r="1237">
          <cell r="A1237">
            <v>70104192</v>
          </cell>
          <cell r="C1237" t="str">
            <v>고급 중형 섬유 창고</v>
          </cell>
        </row>
        <row r="1238">
          <cell r="A1238">
            <v>70104193</v>
          </cell>
          <cell r="C1238" t="str">
            <v>고급 중형 직물 창고</v>
          </cell>
        </row>
        <row r="1239">
          <cell r="A1239">
            <v>70104194</v>
          </cell>
          <cell r="C1239" t="str">
            <v>고급 중형 공예품 창고</v>
          </cell>
        </row>
        <row r="1240">
          <cell r="A1240">
            <v>70104195</v>
          </cell>
          <cell r="C1240" t="str">
            <v>고급 중형 미술품 창고</v>
          </cell>
        </row>
        <row r="1241">
          <cell r="A1241">
            <v>70104196</v>
          </cell>
          <cell r="C1241" t="str">
            <v>고급 중형 향신료 창고</v>
          </cell>
        </row>
        <row r="1242">
          <cell r="A1242">
            <v>70104197</v>
          </cell>
          <cell r="C1242" t="str">
            <v>고급 중형 귀금속 창고</v>
          </cell>
        </row>
        <row r="1243">
          <cell r="A1243">
            <v>70104198</v>
          </cell>
          <cell r="C1243" t="str">
            <v>고급 중형 향료 창고</v>
          </cell>
        </row>
        <row r="1244">
          <cell r="A1244">
            <v>70104199</v>
          </cell>
          <cell r="C1244" t="str">
            <v>고급 중형 보석 창고</v>
          </cell>
        </row>
        <row r="1245">
          <cell r="A1245">
            <v>70104200</v>
          </cell>
          <cell r="C1245" t="str">
            <v>고급 중형 무기류 창고</v>
          </cell>
        </row>
        <row r="1246">
          <cell r="A1246">
            <v>70104201</v>
          </cell>
          <cell r="C1246" t="str">
            <v>고급 중형 총포류 창고</v>
          </cell>
        </row>
        <row r="1247">
          <cell r="A1247">
            <v>70104202</v>
          </cell>
          <cell r="C1247" t="str">
            <v>고급 중형 짐창고</v>
          </cell>
        </row>
        <row r="1248">
          <cell r="A1248">
            <v>70104203</v>
          </cell>
          <cell r="C1248" t="str">
            <v>고급 중형 조수실</v>
          </cell>
        </row>
        <row r="1249">
          <cell r="A1249">
            <v>70104204</v>
          </cell>
          <cell r="C1249" t="str">
            <v>고급 중형 선원실</v>
          </cell>
        </row>
        <row r="1250">
          <cell r="A1250">
            <v>70104205</v>
          </cell>
          <cell r="C1250" t="str">
            <v>고급 중형 탄약창고</v>
          </cell>
        </row>
        <row r="1251">
          <cell r="A1251">
            <v>70104206</v>
          </cell>
          <cell r="C1251" t="str">
            <v>고급 중형 무기창고</v>
          </cell>
        </row>
        <row r="1252">
          <cell r="A1252">
            <v>70104207</v>
          </cell>
          <cell r="C1252" t="str">
            <v>고급 중형 휴게실</v>
          </cell>
        </row>
        <row r="1253">
          <cell r="A1253">
            <v>70104208</v>
          </cell>
          <cell r="C1253" t="str">
            <v>고급 중형 연회장</v>
          </cell>
        </row>
        <row r="1254">
          <cell r="A1254">
            <v>70104209</v>
          </cell>
          <cell r="C1254" t="str">
            <v>고급 중형 위장창고</v>
          </cell>
        </row>
        <row r="1255">
          <cell r="A1255">
            <v>70104210</v>
          </cell>
          <cell r="C1255" t="str">
            <v>고급 중형 강화창고</v>
          </cell>
        </row>
        <row r="1256">
          <cell r="A1256">
            <v>70104211</v>
          </cell>
          <cell r="C1256" t="str">
            <v>최고급 중형 물자창고</v>
          </cell>
        </row>
        <row r="1257">
          <cell r="A1257">
            <v>70104212</v>
          </cell>
          <cell r="C1257" t="str">
            <v>최고급 중형 식료품 창고</v>
          </cell>
        </row>
        <row r="1258">
          <cell r="A1258">
            <v>70104213</v>
          </cell>
          <cell r="C1258" t="str">
            <v>최고급 중형 조미료 창고</v>
          </cell>
        </row>
        <row r="1259">
          <cell r="A1259">
            <v>70104214</v>
          </cell>
          <cell r="C1259" t="str">
            <v>최고급 중형 가축 창고</v>
          </cell>
        </row>
        <row r="1260">
          <cell r="A1260">
            <v>70104215</v>
          </cell>
          <cell r="C1260" t="str">
            <v>최고급 중형 의약품 창고</v>
          </cell>
        </row>
        <row r="1261">
          <cell r="A1261">
            <v>70104216</v>
          </cell>
          <cell r="C1261" t="str">
            <v>최고급 중형 잡화 창고</v>
          </cell>
        </row>
        <row r="1262">
          <cell r="A1262">
            <v>70104217</v>
          </cell>
          <cell r="C1262" t="str">
            <v>최고급 중형 주류 창고</v>
          </cell>
        </row>
        <row r="1263">
          <cell r="A1263">
            <v>70104218</v>
          </cell>
          <cell r="C1263" t="str">
            <v>최고급 중형 염료 창고</v>
          </cell>
        </row>
        <row r="1264">
          <cell r="A1264">
            <v>70104219</v>
          </cell>
          <cell r="C1264" t="str">
            <v>최고급 중형 광석 창고</v>
          </cell>
        </row>
        <row r="1265">
          <cell r="A1265">
            <v>70104220</v>
          </cell>
          <cell r="C1265" t="str">
            <v>최고급 중형 공업품 창고</v>
          </cell>
        </row>
        <row r="1266">
          <cell r="A1266">
            <v>70104221</v>
          </cell>
          <cell r="C1266" t="str">
            <v>최고급 중형 기호품 창고</v>
          </cell>
        </row>
        <row r="1267">
          <cell r="A1267">
            <v>70104222</v>
          </cell>
          <cell r="C1267" t="str">
            <v>최고급 중형 섬유 창고</v>
          </cell>
        </row>
        <row r="1268">
          <cell r="A1268">
            <v>70104223</v>
          </cell>
          <cell r="C1268" t="str">
            <v>최고급 중형 직물 창고</v>
          </cell>
        </row>
        <row r="1269">
          <cell r="A1269">
            <v>70104224</v>
          </cell>
          <cell r="C1269" t="str">
            <v>최고급 중형 공예품 창고</v>
          </cell>
        </row>
        <row r="1270">
          <cell r="A1270">
            <v>70104225</v>
          </cell>
          <cell r="C1270" t="str">
            <v>최고급 중형 미술품 창고</v>
          </cell>
        </row>
        <row r="1271">
          <cell r="A1271">
            <v>70104226</v>
          </cell>
          <cell r="C1271" t="str">
            <v>최고급 중형 향신료 창고</v>
          </cell>
        </row>
        <row r="1272">
          <cell r="A1272">
            <v>70104227</v>
          </cell>
          <cell r="C1272" t="str">
            <v>최고급 중형 귀금속 창고</v>
          </cell>
        </row>
        <row r="1273">
          <cell r="A1273">
            <v>70104228</v>
          </cell>
          <cell r="C1273" t="str">
            <v>최고급 중형 향료 창고</v>
          </cell>
        </row>
        <row r="1274">
          <cell r="A1274">
            <v>70104229</v>
          </cell>
          <cell r="C1274" t="str">
            <v>최고급 중형 보석 창고</v>
          </cell>
        </row>
        <row r="1275">
          <cell r="A1275">
            <v>70104230</v>
          </cell>
          <cell r="C1275" t="str">
            <v>최고급 중형 무기류 창고</v>
          </cell>
        </row>
        <row r="1276">
          <cell r="A1276">
            <v>70104231</v>
          </cell>
          <cell r="C1276" t="str">
            <v>최고급 중형 총포류 창고</v>
          </cell>
        </row>
        <row r="1277">
          <cell r="A1277">
            <v>70104232</v>
          </cell>
          <cell r="C1277" t="str">
            <v>최고급 중형 짐창고</v>
          </cell>
        </row>
        <row r="1278">
          <cell r="A1278">
            <v>70104233</v>
          </cell>
          <cell r="C1278" t="str">
            <v>최고급 중형 조수실</v>
          </cell>
        </row>
        <row r="1279">
          <cell r="A1279">
            <v>70104234</v>
          </cell>
          <cell r="C1279" t="str">
            <v>최고급 중형 선원실</v>
          </cell>
        </row>
        <row r="1280">
          <cell r="A1280">
            <v>70104235</v>
          </cell>
          <cell r="C1280" t="str">
            <v>최고급 중형 탄약창고</v>
          </cell>
        </row>
        <row r="1281">
          <cell r="A1281">
            <v>70104236</v>
          </cell>
          <cell r="C1281" t="str">
            <v>최고급 중형 무기창고</v>
          </cell>
        </row>
        <row r="1282">
          <cell r="A1282">
            <v>70104237</v>
          </cell>
          <cell r="C1282" t="str">
            <v>최고급 중형 휴게실</v>
          </cell>
        </row>
        <row r="1283">
          <cell r="A1283">
            <v>70104238</v>
          </cell>
          <cell r="C1283" t="str">
            <v>최고급 중형 연회장</v>
          </cell>
        </row>
        <row r="1284">
          <cell r="A1284">
            <v>70104239</v>
          </cell>
          <cell r="C1284" t="str">
            <v>최고급 중형 위장창고</v>
          </cell>
        </row>
        <row r="1285">
          <cell r="A1285">
            <v>70104240</v>
          </cell>
          <cell r="C1285" t="str">
            <v>최고급 중형 강화창고</v>
          </cell>
        </row>
        <row r="1286">
          <cell r="A1286">
            <v>70104241</v>
          </cell>
          <cell r="C1286" t="str">
            <v>낡은 대형 물자창고</v>
          </cell>
        </row>
        <row r="1287">
          <cell r="A1287">
            <v>70104242</v>
          </cell>
          <cell r="C1287" t="str">
            <v>낡은 대형 식료품 창고</v>
          </cell>
        </row>
        <row r="1288">
          <cell r="A1288">
            <v>70104243</v>
          </cell>
          <cell r="C1288" t="str">
            <v>낡은 대형 조미료 창고</v>
          </cell>
        </row>
        <row r="1289">
          <cell r="A1289">
            <v>70104244</v>
          </cell>
          <cell r="C1289" t="str">
            <v>낡은 대형 가축 창고</v>
          </cell>
        </row>
        <row r="1290">
          <cell r="A1290">
            <v>70104245</v>
          </cell>
          <cell r="C1290" t="str">
            <v>낡은 대형 의약품 창고</v>
          </cell>
        </row>
        <row r="1291">
          <cell r="A1291">
            <v>70104246</v>
          </cell>
          <cell r="C1291" t="str">
            <v>낡은 대형 잡화 창고</v>
          </cell>
        </row>
        <row r="1292">
          <cell r="A1292">
            <v>70104247</v>
          </cell>
          <cell r="C1292" t="str">
            <v>낡은 대형 주류 창고</v>
          </cell>
        </row>
        <row r="1293">
          <cell r="A1293">
            <v>70104248</v>
          </cell>
          <cell r="C1293" t="str">
            <v>낡은 대형 염료 창고</v>
          </cell>
        </row>
        <row r="1294">
          <cell r="A1294">
            <v>70104249</v>
          </cell>
          <cell r="C1294" t="str">
            <v>낡은 대형 광석 창고</v>
          </cell>
        </row>
        <row r="1295">
          <cell r="A1295">
            <v>70104250</v>
          </cell>
          <cell r="C1295" t="str">
            <v>낡은 대형 공업품 창고</v>
          </cell>
        </row>
        <row r="1296">
          <cell r="A1296">
            <v>70104251</v>
          </cell>
          <cell r="C1296" t="str">
            <v>낡은 대형 기호품 창고</v>
          </cell>
        </row>
        <row r="1297">
          <cell r="A1297">
            <v>70104252</v>
          </cell>
          <cell r="C1297" t="str">
            <v>낡은 대형 섬유 창고</v>
          </cell>
        </row>
        <row r="1298">
          <cell r="A1298">
            <v>70104253</v>
          </cell>
          <cell r="C1298" t="str">
            <v>낡은 대형 직물 창고</v>
          </cell>
        </row>
        <row r="1299">
          <cell r="A1299">
            <v>70104254</v>
          </cell>
          <cell r="C1299" t="str">
            <v>낡은 대형 공예품 창고</v>
          </cell>
        </row>
        <row r="1300">
          <cell r="A1300">
            <v>70104255</v>
          </cell>
          <cell r="C1300" t="str">
            <v>낡은 대형 미술품 창고</v>
          </cell>
        </row>
        <row r="1301">
          <cell r="A1301">
            <v>70104256</v>
          </cell>
          <cell r="C1301" t="str">
            <v>낡은 대형 향신료 창고</v>
          </cell>
        </row>
        <row r="1302">
          <cell r="A1302">
            <v>70104257</v>
          </cell>
          <cell r="C1302" t="str">
            <v>낡은 대형 귀금속 창고</v>
          </cell>
        </row>
        <row r="1303">
          <cell r="A1303">
            <v>70104258</v>
          </cell>
          <cell r="C1303" t="str">
            <v>낡은 대형 향료 창고</v>
          </cell>
        </row>
        <row r="1304">
          <cell r="A1304">
            <v>70104259</v>
          </cell>
          <cell r="C1304" t="str">
            <v>낡은 대형 보석 창고</v>
          </cell>
        </row>
        <row r="1305">
          <cell r="A1305">
            <v>70104260</v>
          </cell>
          <cell r="C1305" t="str">
            <v>낡은 대형 무기류 창고</v>
          </cell>
        </row>
        <row r="1306">
          <cell r="A1306">
            <v>70104261</v>
          </cell>
          <cell r="C1306" t="str">
            <v>낡은 대형 총포류 창고</v>
          </cell>
        </row>
        <row r="1307">
          <cell r="A1307">
            <v>70104262</v>
          </cell>
          <cell r="C1307" t="str">
            <v>낡은 대형 짐창고</v>
          </cell>
        </row>
        <row r="1308">
          <cell r="A1308">
            <v>70104263</v>
          </cell>
          <cell r="C1308" t="str">
            <v>낡은 대형 조수실</v>
          </cell>
        </row>
        <row r="1309">
          <cell r="A1309">
            <v>70104264</v>
          </cell>
          <cell r="C1309" t="str">
            <v>낡은 대형 선원실</v>
          </cell>
        </row>
        <row r="1310">
          <cell r="A1310">
            <v>70104265</v>
          </cell>
          <cell r="C1310" t="str">
            <v>낡은 대형 탄약창고</v>
          </cell>
        </row>
        <row r="1311">
          <cell r="A1311">
            <v>70104266</v>
          </cell>
          <cell r="C1311" t="str">
            <v>낡은 대형 무기창고</v>
          </cell>
        </row>
        <row r="1312">
          <cell r="A1312">
            <v>70104267</v>
          </cell>
          <cell r="C1312" t="str">
            <v>낡은 대형 휴게실</v>
          </cell>
        </row>
        <row r="1313">
          <cell r="A1313">
            <v>70104268</v>
          </cell>
          <cell r="C1313" t="str">
            <v>낡은 대형 연회장</v>
          </cell>
        </row>
        <row r="1314">
          <cell r="A1314">
            <v>70104269</v>
          </cell>
          <cell r="C1314" t="str">
            <v>낡은 대형 위장창고</v>
          </cell>
        </row>
        <row r="1315">
          <cell r="A1315">
            <v>70104270</v>
          </cell>
          <cell r="C1315" t="str">
            <v>낡은 대형 강화창고</v>
          </cell>
        </row>
        <row r="1316">
          <cell r="A1316">
            <v>70104271</v>
          </cell>
          <cell r="C1316" t="str">
            <v>대형 물자창고</v>
          </cell>
        </row>
        <row r="1317">
          <cell r="A1317">
            <v>70104272</v>
          </cell>
          <cell r="C1317" t="str">
            <v>대형 식료품 창고</v>
          </cell>
        </row>
        <row r="1318">
          <cell r="A1318">
            <v>70104273</v>
          </cell>
          <cell r="C1318" t="str">
            <v>대형 조미료 창고</v>
          </cell>
        </row>
        <row r="1319">
          <cell r="A1319">
            <v>70104274</v>
          </cell>
          <cell r="C1319" t="str">
            <v>대형 가축 창고</v>
          </cell>
        </row>
        <row r="1320">
          <cell r="A1320">
            <v>70104275</v>
          </cell>
          <cell r="C1320" t="str">
            <v>대형 의약품 창고</v>
          </cell>
        </row>
        <row r="1321">
          <cell r="A1321">
            <v>70104276</v>
          </cell>
          <cell r="C1321" t="str">
            <v>대형 잡화 창고</v>
          </cell>
        </row>
        <row r="1322">
          <cell r="A1322">
            <v>70104277</v>
          </cell>
          <cell r="C1322" t="str">
            <v>대형 주류 창고</v>
          </cell>
        </row>
        <row r="1323">
          <cell r="A1323">
            <v>70104278</v>
          </cell>
          <cell r="C1323" t="str">
            <v>대형 염료 창고</v>
          </cell>
        </row>
        <row r="1324">
          <cell r="A1324">
            <v>70104279</v>
          </cell>
          <cell r="C1324" t="str">
            <v>대형 광석 창고</v>
          </cell>
        </row>
        <row r="1325">
          <cell r="A1325">
            <v>70104280</v>
          </cell>
          <cell r="C1325" t="str">
            <v>대형 공업품 창고</v>
          </cell>
        </row>
        <row r="1326">
          <cell r="A1326">
            <v>70104281</v>
          </cell>
          <cell r="C1326" t="str">
            <v>대형 기호품 창고</v>
          </cell>
        </row>
        <row r="1327">
          <cell r="A1327">
            <v>70104282</v>
          </cell>
          <cell r="C1327" t="str">
            <v>대형 섬유 창고</v>
          </cell>
        </row>
        <row r="1328">
          <cell r="A1328">
            <v>70104283</v>
          </cell>
          <cell r="C1328" t="str">
            <v>대형 직물 창고</v>
          </cell>
        </row>
        <row r="1329">
          <cell r="A1329">
            <v>70104284</v>
          </cell>
          <cell r="C1329" t="str">
            <v>대형 공예품 창고</v>
          </cell>
        </row>
        <row r="1330">
          <cell r="A1330">
            <v>70104285</v>
          </cell>
          <cell r="C1330" t="str">
            <v>대형 미술품 창고</v>
          </cell>
        </row>
        <row r="1331">
          <cell r="A1331">
            <v>70104286</v>
          </cell>
          <cell r="C1331" t="str">
            <v>대형 향신료 창고</v>
          </cell>
        </row>
        <row r="1332">
          <cell r="A1332">
            <v>70104287</v>
          </cell>
          <cell r="C1332" t="str">
            <v>대형 귀금속 창고</v>
          </cell>
        </row>
        <row r="1333">
          <cell r="A1333">
            <v>70104288</v>
          </cell>
          <cell r="C1333" t="str">
            <v>대형 향료 창고</v>
          </cell>
        </row>
        <row r="1334">
          <cell r="A1334">
            <v>70104289</v>
          </cell>
          <cell r="C1334" t="str">
            <v>대형 보석 창고</v>
          </cell>
        </row>
        <row r="1335">
          <cell r="A1335">
            <v>70104290</v>
          </cell>
          <cell r="C1335" t="str">
            <v>대형 무기류 창고</v>
          </cell>
        </row>
        <row r="1336">
          <cell r="A1336">
            <v>70104291</v>
          </cell>
          <cell r="C1336" t="str">
            <v>대형 총포류 창고</v>
          </cell>
        </row>
        <row r="1337">
          <cell r="A1337">
            <v>70104292</v>
          </cell>
          <cell r="C1337" t="str">
            <v>대형 짐창고</v>
          </cell>
        </row>
        <row r="1338">
          <cell r="A1338">
            <v>70104293</v>
          </cell>
          <cell r="C1338" t="str">
            <v>대형 조수실</v>
          </cell>
        </row>
        <row r="1339">
          <cell r="A1339">
            <v>70104294</v>
          </cell>
          <cell r="C1339" t="str">
            <v>대형 선원실</v>
          </cell>
        </row>
        <row r="1340">
          <cell r="A1340">
            <v>70104295</v>
          </cell>
          <cell r="C1340" t="str">
            <v>대형 탄약창고</v>
          </cell>
        </row>
        <row r="1341">
          <cell r="A1341">
            <v>70104296</v>
          </cell>
          <cell r="C1341" t="str">
            <v>대형 무기창고</v>
          </cell>
        </row>
        <row r="1342">
          <cell r="A1342">
            <v>70104297</v>
          </cell>
          <cell r="C1342" t="str">
            <v>대형 휴게실</v>
          </cell>
        </row>
        <row r="1343">
          <cell r="A1343">
            <v>70104298</v>
          </cell>
          <cell r="C1343" t="str">
            <v>대형 연회장</v>
          </cell>
        </row>
        <row r="1344">
          <cell r="A1344">
            <v>70104299</v>
          </cell>
          <cell r="C1344" t="str">
            <v>대형 위장창고</v>
          </cell>
        </row>
        <row r="1345">
          <cell r="A1345">
            <v>70104300</v>
          </cell>
          <cell r="C1345" t="str">
            <v>대형 강화창고</v>
          </cell>
        </row>
        <row r="1346">
          <cell r="A1346">
            <v>70104301</v>
          </cell>
          <cell r="C1346" t="str">
            <v>고급 대형 물자창고</v>
          </cell>
        </row>
        <row r="1347">
          <cell r="A1347">
            <v>70104302</v>
          </cell>
          <cell r="C1347" t="str">
            <v>고급 대형 식료품 창고</v>
          </cell>
        </row>
        <row r="1348">
          <cell r="A1348">
            <v>70104303</v>
          </cell>
          <cell r="C1348" t="str">
            <v>고급 대형 조미료 창고</v>
          </cell>
        </row>
        <row r="1349">
          <cell r="A1349">
            <v>70104304</v>
          </cell>
          <cell r="C1349" t="str">
            <v>고급 대형 가축 창고</v>
          </cell>
        </row>
        <row r="1350">
          <cell r="A1350">
            <v>70104305</v>
          </cell>
          <cell r="C1350" t="str">
            <v>고급 대형 의약품 창고</v>
          </cell>
        </row>
        <row r="1351">
          <cell r="A1351">
            <v>70104306</v>
          </cell>
          <cell r="C1351" t="str">
            <v>고급 대형 잡화 창고</v>
          </cell>
        </row>
        <row r="1352">
          <cell r="A1352">
            <v>70104307</v>
          </cell>
          <cell r="C1352" t="str">
            <v>고급 대형 주류 창고</v>
          </cell>
        </row>
        <row r="1353">
          <cell r="A1353">
            <v>70104308</v>
          </cell>
          <cell r="C1353" t="str">
            <v>고급 대형 염료 창고</v>
          </cell>
        </row>
        <row r="1354">
          <cell r="A1354">
            <v>70104309</v>
          </cell>
          <cell r="C1354" t="str">
            <v>고급 대형 광석 창고</v>
          </cell>
        </row>
        <row r="1355">
          <cell r="A1355">
            <v>70104310</v>
          </cell>
          <cell r="C1355" t="str">
            <v>고급 대형 공업품 창고</v>
          </cell>
        </row>
        <row r="1356">
          <cell r="A1356">
            <v>70104311</v>
          </cell>
          <cell r="C1356" t="str">
            <v>고급 대형 기호품 창고</v>
          </cell>
        </row>
        <row r="1357">
          <cell r="A1357">
            <v>70104312</v>
          </cell>
          <cell r="C1357" t="str">
            <v>고급 대형 섬유 창고</v>
          </cell>
        </row>
        <row r="1358">
          <cell r="A1358">
            <v>70104313</v>
          </cell>
          <cell r="C1358" t="str">
            <v>고급 대형 직물 창고</v>
          </cell>
        </row>
        <row r="1359">
          <cell r="A1359">
            <v>70104314</v>
          </cell>
          <cell r="C1359" t="str">
            <v>고급 대형 공예품 창고</v>
          </cell>
        </row>
        <row r="1360">
          <cell r="A1360">
            <v>70104315</v>
          </cell>
          <cell r="C1360" t="str">
            <v>고급 대형 미술품 창고</v>
          </cell>
        </row>
        <row r="1361">
          <cell r="A1361">
            <v>70104316</v>
          </cell>
          <cell r="C1361" t="str">
            <v>고급 대형 향신료 창고</v>
          </cell>
        </row>
        <row r="1362">
          <cell r="A1362">
            <v>70104317</v>
          </cell>
          <cell r="C1362" t="str">
            <v>고급 대형 귀금속 창고</v>
          </cell>
        </row>
        <row r="1363">
          <cell r="A1363">
            <v>70104318</v>
          </cell>
          <cell r="C1363" t="str">
            <v>고급 대형 향료 창고</v>
          </cell>
        </row>
        <row r="1364">
          <cell r="A1364">
            <v>70104319</v>
          </cell>
          <cell r="C1364" t="str">
            <v>고급 대형 보석 창고</v>
          </cell>
        </row>
        <row r="1365">
          <cell r="A1365">
            <v>70104320</v>
          </cell>
          <cell r="C1365" t="str">
            <v>고급 대형 무기류 창고</v>
          </cell>
        </row>
        <row r="1366">
          <cell r="A1366">
            <v>70104321</v>
          </cell>
          <cell r="C1366" t="str">
            <v>고급 대형 총포류 창고</v>
          </cell>
        </row>
        <row r="1367">
          <cell r="A1367">
            <v>70104322</v>
          </cell>
          <cell r="C1367" t="str">
            <v>고급 대형 짐창고</v>
          </cell>
        </row>
        <row r="1368">
          <cell r="A1368">
            <v>70104323</v>
          </cell>
          <cell r="C1368" t="str">
            <v>고급 대형 조수실</v>
          </cell>
        </row>
        <row r="1369">
          <cell r="A1369">
            <v>70104324</v>
          </cell>
          <cell r="C1369" t="str">
            <v>고급 대형 선원실</v>
          </cell>
        </row>
        <row r="1370">
          <cell r="A1370">
            <v>70104325</v>
          </cell>
          <cell r="C1370" t="str">
            <v>고급 대형 탄약창고</v>
          </cell>
        </row>
        <row r="1371">
          <cell r="A1371">
            <v>70104326</v>
          </cell>
          <cell r="C1371" t="str">
            <v>고급 대형 무기창고</v>
          </cell>
        </row>
        <row r="1372">
          <cell r="A1372">
            <v>70104327</v>
          </cell>
          <cell r="C1372" t="str">
            <v>고급 대형 휴게실</v>
          </cell>
        </row>
        <row r="1373">
          <cell r="A1373">
            <v>70104328</v>
          </cell>
          <cell r="C1373" t="str">
            <v>고급 대형 연회장</v>
          </cell>
        </row>
        <row r="1374">
          <cell r="A1374">
            <v>70104329</v>
          </cell>
          <cell r="C1374" t="str">
            <v>고급 대형 위장창고</v>
          </cell>
        </row>
        <row r="1375">
          <cell r="A1375">
            <v>70104330</v>
          </cell>
          <cell r="C1375" t="str">
            <v>고급 대형 강화창고</v>
          </cell>
        </row>
        <row r="1376">
          <cell r="A1376">
            <v>70104331</v>
          </cell>
          <cell r="C1376" t="str">
            <v>최고급 대형 물자창고</v>
          </cell>
        </row>
        <row r="1377">
          <cell r="A1377">
            <v>70104332</v>
          </cell>
          <cell r="C1377" t="str">
            <v>최고급 대형 식료품 창고</v>
          </cell>
        </row>
        <row r="1378">
          <cell r="A1378">
            <v>70104333</v>
          </cell>
          <cell r="C1378" t="str">
            <v>최고급 대형 조미료 창고</v>
          </cell>
        </row>
        <row r="1379">
          <cell r="A1379">
            <v>70104334</v>
          </cell>
          <cell r="C1379" t="str">
            <v>최고급 대형 가축 창고</v>
          </cell>
        </row>
        <row r="1380">
          <cell r="A1380">
            <v>70104335</v>
          </cell>
          <cell r="C1380" t="str">
            <v>최고급 대형 의약품 창고</v>
          </cell>
        </row>
        <row r="1381">
          <cell r="A1381">
            <v>70104336</v>
          </cell>
          <cell r="C1381" t="str">
            <v>최고급 대형 잡화 창고</v>
          </cell>
        </row>
        <row r="1382">
          <cell r="A1382">
            <v>70104337</v>
          </cell>
          <cell r="C1382" t="str">
            <v>최고급 대형 주류 창고</v>
          </cell>
        </row>
        <row r="1383">
          <cell r="A1383">
            <v>70104338</v>
          </cell>
          <cell r="C1383" t="str">
            <v>최고급 대형 염료 창고</v>
          </cell>
        </row>
        <row r="1384">
          <cell r="A1384">
            <v>70104339</v>
          </cell>
          <cell r="C1384" t="str">
            <v>최고급 대형 광석 창고</v>
          </cell>
        </row>
        <row r="1385">
          <cell r="A1385">
            <v>70104340</v>
          </cell>
          <cell r="C1385" t="str">
            <v>최고급 대형 공업품 창고</v>
          </cell>
        </row>
        <row r="1386">
          <cell r="A1386">
            <v>70104341</v>
          </cell>
          <cell r="C1386" t="str">
            <v>최고급 대형 기호품 창고</v>
          </cell>
        </row>
        <row r="1387">
          <cell r="A1387">
            <v>70104342</v>
          </cell>
          <cell r="C1387" t="str">
            <v>최고급 대형 섬유 창고</v>
          </cell>
        </row>
        <row r="1388">
          <cell r="A1388">
            <v>70104343</v>
          </cell>
          <cell r="C1388" t="str">
            <v>최고급 대형 직물 창고</v>
          </cell>
        </row>
        <row r="1389">
          <cell r="A1389">
            <v>70104344</v>
          </cell>
          <cell r="C1389" t="str">
            <v>최고급 대형 공예품 창고</v>
          </cell>
        </row>
        <row r="1390">
          <cell r="A1390">
            <v>70104345</v>
          </cell>
          <cell r="C1390" t="str">
            <v>최고급 대형 미술품 창고</v>
          </cell>
        </row>
        <row r="1391">
          <cell r="A1391">
            <v>70104346</v>
          </cell>
          <cell r="C1391" t="str">
            <v>최고급 대형 향신료 창고</v>
          </cell>
        </row>
        <row r="1392">
          <cell r="A1392">
            <v>70104347</v>
          </cell>
          <cell r="C1392" t="str">
            <v>최고급 대형 귀금속 창고</v>
          </cell>
        </row>
        <row r="1393">
          <cell r="A1393">
            <v>70104348</v>
          </cell>
          <cell r="C1393" t="str">
            <v>최고급 대형 향료 창고</v>
          </cell>
        </row>
        <row r="1394">
          <cell r="A1394">
            <v>70104349</v>
          </cell>
          <cell r="C1394" t="str">
            <v>최고급 대형 보석 창고</v>
          </cell>
        </row>
        <row r="1395">
          <cell r="A1395">
            <v>70104350</v>
          </cell>
          <cell r="C1395" t="str">
            <v>최고급 대형 무기류 창고</v>
          </cell>
        </row>
        <row r="1396">
          <cell r="A1396">
            <v>70104351</v>
          </cell>
          <cell r="C1396" t="str">
            <v>최고급 대형 총포류 창고</v>
          </cell>
        </row>
        <row r="1397">
          <cell r="A1397">
            <v>70104352</v>
          </cell>
          <cell r="C1397" t="str">
            <v>최고급 대형 짐창고</v>
          </cell>
        </row>
        <row r="1398">
          <cell r="A1398">
            <v>70104353</v>
          </cell>
          <cell r="C1398" t="str">
            <v>최고급 대형 조수실</v>
          </cell>
        </row>
        <row r="1399">
          <cell r="A1399">
            <v>70104354</v>
          </cell>
          <cell r="C1399" t="str">
            <v>최고급 대형 선원실</v>
          </cell>
        </row>
        <row r="1400">
          <cell r="A1400">
            <v>70104355</v>
          </cell>
          <cell r="C1400" t="str">
            <v>최고급 대형 탄약창고</v>
          </cell>
        </row>
        <row r="1401">
          <cell r="A1401">
            <v>70104356</v>
          </cell>
          <cell r="C1401" t="str">
            <v>최고급 대형 무기창고</v>
          </cell>
        </row>
        <row r="1402">
          <cell r="A1402">
            <v>70104357</v>
          </cell>
          <cell r="C1402" t="str">
            <v>최고급 대형 휴게실</v>
          </cell>
        </row>
        <row r="1403">
          <cell r="A1403">
            <v>70104358</v>
          </cell>
          <cell r="C1403" t="str">
            <v>최고급 대형 연회장</v>
          </cell>
        </row>
        <row r="1404">
          <cell r="A1404">
            <v>70104359</v>
          </cell>
          <cell r="C1404" t="str">
            <v>최고급 대형 위장창고</v>
          </cell>
        </row>
        <row r="1405">
          <cell r="A1405">
            <v>70104360</v>
          </cell>
          <cell r="C1405" t="str">
            <v>최고급 대형 강화창고</v>
          </cell>
        </row>
        <row r="1406">
          <cell r="A1406">
            <v>70104361</v>
          </cell>
          <cell r="C1406" t="str">
            <v>낡은 초대형 물자창고</v>
          </cell>
        </row>
        <row r="1407">
          <cell r="A1407">
            <v>70104362</v>
          </cell>
          <cell r="C1407" t="str">
            <v>낡은 초대형 식료품 창고</v>
          </cell>
        </row>
        <row r="1408">
          <cell r="A1408">
            <v>70104363</v>
          </cell>
          <cell r="C1408" t="str">
            <v>낡은 초대형 조미료 창고</v>
          </cell>
        </row>
        <row r="1409">
          <cell r="A1409">
            <v>70104364</v>
          </cell>
          <cell r="C1409" t="str">
            <v>낡은 초대형 가축 창고</v>
          </cell>
        </row>
        <row r="1410">
          <cell r="A1410">
            <v>70104365</v>
          </cell>
          <cell r="C1410" t="str">
            <v>낡은 초대형 의약품 창고</v>
          </cell>
        </row>
        <row r="1411">
          <cell r="A1411">
            <v>70104366</v>
          </cell>
          <cell r="C1411" t="str">
            <v>낡은 초대형 잡화 창고</v>
          </cell>
        </row>
        <row r="1412">
          <cell r="A1412">
            <v>70104367</v>
          </cell>
          <cell r="C1412" t="str">
            <v>낡은 초대형 주류 창고</v>
          </cell>
        </row>
        <row r="1413">
          <cell r="A1413">
            <v>70104368</v>
          </cell>
          <cell r="C1413" t="str">
            <v>낡은 초대형 염료 창고</v>
          </cell>
        </row>
        <row r="1414">
          <cell r="A1414">
            <v>70104369</v>
          </cell>
          <cell r="C1414" t="str">
            <v>낡은 초대형 광석 창고</v>
          </cell>
        </row>
        <row r="1415">
          <cell r="A1415">
            <v>70104370</v>
          </cell>
          <cell r="C1415" t="str">
            <v>낡은 초대형 공업품 창고</v>
          </cell>
        </row>
        <row r="1416">
          <cell r="A1416">
            <v>70104371</v>
          </cell>
          <cell r="C1416" t="str">
            <v>낡은 초대형 기호품 창고</v>
          </cell>
        </row>
        <row r="1417">
          <cell r="A1417">
            <v>70104372</v>
          </cell>
          <cell r="C1417" t="str">
            <v>낡은 초대형 섬유 창고</v>
          </cell>
        </row>
        <row r="1418">
          <cell r="A1418">
            <v>70104373</v>
          </cell>
          <cell r="C1418" t="str">
            <v>낡은 초대형 직물 창고</v>
          </cell>
        </row>
        <row r="1419">
          <cell r="A1419">
            <v>70104374</v>
          </cell>
          <cell r="C1419" t="str">
            <v>낡은 초대형 공예품 창고</v>
          </cell>
        </row>
        <row r="1420">
          <cell r="A1420">
            <v>70104375</v>
          </cell>
          <cell r="C1420" t="str">
            <v>낡은 초대형 미술품 창고</v>
          </cell>
        </row>
        <row r="1421">
          <cell r="A1421">
            <v>70104376</v>
          </cell>
          <cell r="C1421" t="str">
            <v>낡은 초대형 향신료 창고</v>
          </cell>
        </row>
        <row r="1422">
          <cell r="A1422">
            <v>70104377</v>
          </cell>
          <cell r="C1422" t="str">
            <v>낡은 초대형 귀금속 창고</v>
          </cell>
        </row>
        <row r="1423">
          <cell r="A1423">
            <v>70104378</v>
          </cell>
          <cell r="C1423" t="str">
            <v>낡은 초대형 향료 창고</v>
          </cell>
        </row>
        <row r="1424">
          <cell r="A1424">
            <v>70104379</v>
          </cell>
          <cell r="C1424" t="str">
            <v>낡은 초대형 보석 창고</v>
          </cell>
        </row>
        <row r="1425">
          <cell r="A1425">
            <v>70104380</v>
          </cell>
          <cell r="C1425" t="str">
            <v>낡은 초대형 무기류 창고</v>
          </cell>
        </row>
        <row r="1426">
          <cell r="A1426">
            <v>70104381</v>
          </cell>
          <cell r="C1426" t="str">
            <v>낡은 초대형 총포류 창고</v>
          </cell>
        </row>
        <row r="1427">
          <cell r="A1427">
            <v>70104382</v>
          </cell>
          <cell r="C1427" t="str">
            <v>낡은 초대형 짐창고</v>
          </cell>
        </row>
        <row r="1428">
          <cell r="A1428">
            <v>70104383</v>
          </cell>
          <cell r="C1428" t="str">
            <v>낡은 초대형 조수실</v>
          </cell>
        </row>
        <row r="1429">
          <cell r="A1429">
            <v>70104384</v>
          </cell>
          <cell r="C1429" t="str">
            <v>낡은 초대형 선원실</v>
          </cell>
        </row>
        <row r="1430">
          <cell r="A1430">
            <v>70104385</v>
          </cell>
          <cell r="C1430" t="str">
            <v>낡은 초대형 탄약창고</v>
          </cell>
        </row>
        <row r="1431">
          <cell r="A1431">
            <v>70104386</v>
          </cell>
          <cell r="C1431" t="str">
            <v>낡은 초대형 무기창고</v>
          </cell>
        </row>
        <row r="1432">
          <cell r="A1432">
            <v>70104387</v>
          </cell>
          <cell r="C1432" t="str">
            <v>낡은 초대형 휴게실</v>
          </cell>
        </row>
        <row r="1433">
          <cell r="A1433">
            <v>70104388</v>
          </cell>
          <cell r="C1433" t="str">
            <v>낡은 초대형 연회장</v>
          </cell>
        </row>
        <row r="1434">
          <cell r="A1434">
            <v>70104389</v>
          </cell>
          <cell r="C1434" t="str">
            <v>낡은 초대형 위장창고</v>
          </cell>
        </row>
        <row r="1435">
          <cell r="A1435">
            <v>70104390</v>
          </cell>
          <cell r="C1435" t="str">
            <v>낡은 초대형 강화창고</v>
          </cell>
        </row>
        <row r="1436">
          <cell r="A1436">
            <v>70104391</v>
          </cell>
          <cell r="C1436" t="str">
            <v>초대형 물자창고</v>
          </cell>
        </row>
        <row r="1437">
          <cell r="A1437">
            <v>70104392</v>
          </cell>
          <cell r="C1437" t="str">
            <v>초대형 식료품 창고</v>
          </cell>
        </row>
        <row r="1438">
          <cell r="A1438">
            <v>70104393</v>
          </cell>
          <cell r="C1438" t="str">
            <v>초대형 조미료 창고</v>
          </cell>
        </row>
        <row r="1439">
          <cell r="A1439">
            <v>70104394</v>
          </cell>
          <cell r="C1439" t="str">
            <v>초대형 가축 창고</v>
          </cell>
        </row>
        <row r="1440">
          <cell r="A1440">
            <v>70104395</v>
          </cell>
          <cell r="C1440" t="str">
            <v>초대형 의약품 창고</v>
          </cell>
        </row>
        <row r="1441">
          <cell r="A1441">
            <v>70104396</v>
          </cell>
          <cell r="C1441" t="str">
            <v>초대형 잡화 창고</v>
          </cell>
        </row>
        <row r="1442">
          <cell r="A1442">
            <v>70104397</v>
          </cell>
          <cell r="C1442" t="str">
            <v>초대형 주류 창고</v>
          </cell>
        </row>
        <row r="1443">
          <cell r="A1443">
            <v>70104398</v>
          </cell>
          <cell r="C1443" t="str">
            <v>초대형 염료 창고</v>
          </cell>
        </row>
        <row r="1444">
          <cell r="A1444">
            <v>70104399</v>
          </cell>
          <cell r="C1444" t="str">
            <v>초대형 광석 창고</v>
          </cell>
        </row>
        <row r="1445">
          <cell r="A1445">
            <v>70104400</v>
          </cell>
          <cell r="C1445" t="str">
            <v>초대형 공업품 창고</v>
          </cell>
        </row>
        <row r="1446">
          <cell r="A1446">
            <v>70104401</v>
          </cell>
          <cell r="C1446" t="str">
            <v>초대형 기호품 창고</v>
          </cell>
        </row>
        <row r="1447">
          <cell r="A1447">
            <v>70104402</v>
          </cell>
          <cell r="C1447" t="str">
            <v>초대형 섬유 창고</v>
          </cell>
        </row>
        <row r="1448">
          <cell r="A1448">
            <v>70104403</v>
          </cell>
          <cell r="C1448" t="str">
            <v>초대형 직물 창고</v>
          </cell>
        </row>
        <row r="1449">
          <cell r="A1449">
            <v>70104404</v>
          </cell>
          <cell r="C1449" t="str">
            <v>초대형 공예품 창고</v>
          </cell>
        </row>
        <row r="1450">
          <cell r="A1450">
            <v>70104405</v>
          </cell>
          <cell r="C1450" t="str">
            <v>초대형 미술품 창고</v>
          </cell>
        </row>
        <row r="1451">
          <cell r="A1451">
            <v>70104406</v>
          </cell>
          <cell r="C1451" t="str">
            <v>초대형 향신료 창고</v>
          </cell>
        </row>
        <row r="1452">
          <cell r="A1452">
            <v>70104407</v>
          </cell>
          <cell r="C1452" t="str">
            <v>초대형 귀금속 창고</v>
          </cell>
        </row>
        <row r="1453">
          <cell r="A1453">
            <v>70104408</v>
          </cell>
          <cell r="C1453" t="str">
            <v>초대형 향료 창고</v>
          </cell>
        </row>
        <row r="1454">
          <cell r="A1454">
            <v>70104409</v>
          </cell>
          <cell r="C1454" t="str">
            <v>초대형 보석 창고</v>
          </cell>
        </row>
        <row r="1455">
          <cell r="A1455">
            <v>70104410</v>
          </cell>
          <cell r="C1455" t="str">
            <v>초대형 무기류 창고</v>
          </cell>
        </row>
        <row r="1456">
          <cell r="A1456">
            <v>70104411</v>
          </cell>
          <cell r="C1456" t="str">
            <v>초대형 총포류 창고</v>
          </cell>
        </row>
        <row r="1457">
          <cell r="A1457">
            <v>70104412</v>
          </cell>
          <cell r="C1457" t="str">
            <v>초대형 짐창고</v>
          </cell>
        </row>
        <row r="1458">
          <cell r="A1458">
            <v>70104413</v>
          </cell>
          <cell r="C1458" t="str">
            <v>초대형 조수실</v>
          </cell>
        </row>
        <row r="1459">
          <cell r="A1459">
            <v>70104414</v>
          </cell>
          <cell r="C1459" t="str">
            <v>초대형 선원실</v>
          </cell>
        </row>
        <row r="1460">
          <cell r="A1460">
            <v>70104415</v>
          </cell>
          <cell r="C1460" t="str">
            <v>초대형 탄약창고</v>
          </cell>
        </row>
        <row r="1461">
          <cell r="A1461">
            <v>70104416</v>
          </cell>
          <cell r="C1461" t="str">
            <v>초대형 무기창고</v>
          </cell>
        </row>
        <row r="1462">
          <cell r="A1462">
            <v>70104417</v>
          </cell>
          <cell r="C1462" t="str">
            <v>초대형 휴게실</v>
          </cell>
        </row>
        <row r="1463">
          <cell r="A1463">
            <v>70104418</v>
          </cell>
          <cell r="C1463" t="str">
            <v>초대형 연회장</v>
          </cell>
        </row>
        <row r="1464">
          <cell r="A1464">
            <v>70104419</v>
          </cell>
          <cell r="C1464" t="str">
            <v>초대형 위장창고</v>
          </cell>
        </row>
        <row r="1465">
          <cell r="A1465">
            <v>70104420</v>
          </cell>
          <cell r="C1465" t="str">
            <v>초대형 강화창고</v>
          </cell>
        </row>
        <row r="1466">
          <cell r="A1466">
            <v>70104421</v>
          </cell>
          <cell r="C1466" t="str">
            <v>고급 초대형 물자창고</v>
          </cell>
        </row>
        <row r="1467">
          <cell r="A1467">
            <v>70104422</v>
          </cell>
          <cell r="C1467" t="str">
            <v>고급 초대형 식료품 창고</v>
          </cell>
        </row>
        <row r="1468">
          <cell r="A1468">
            <v>70104423</v>
          </cell>
          <cell r="C1468" t="str">
            <v>고급 초대형 조미료 창고</v>
          </cell>
        </row>
        <row r="1469">
          <cell r="A1469">
            <v>70104424</v>
          </cell>
          <cell r="C1469" t="str">
            <v>고급 초대형 가축 창고</v>
          </cell>
        </row>
        <row r="1470">
          <cell r="A1470">
            <v>70104425</v>
          </cell>
          <cell r="C1470" t="str">
            <v>고급 초대형 의약품 창고</v>
          </cell>
        </row>
        <row r="1471">
          <cell r="A1471">
            <v>70104426</v>
          </cell>
          <cell r="C1471" t="str">
            <v>고급 초대형 잡화 창고</v>
          </cell>
        </row>
        <row r="1472">
          <cell r="A1472">
            <v>70104427</v>
          </cell>
          <cell r="C1472" t="str">
            <v>고급 초대형 주류 창고</v>
          </cell>
        </row>
        <row r="1473">
          <cell r="A1473">
            <v>70104428</v>
          </cell>
          <cell r="C1473" t="str">
            <v>고급 초대형 염료 창고</v>
          </cell>
        </row>
        <row r="1474">
          <cell r="A1474">
            <v>70104429</v>
          </cell>
          <cell r="C1474" t="str">
            <v>고급 초대형 광석 창고</v>
          </cell>
        </row>
        <row r="1475">
          <cell r="A1475">
            <v>70104430</v>
          </cell>
          <cell r="C1475" t="str">
            <v>고급 초대형 공업품 창고</v>
          </cell>
        </row>
        <row r="1476">
          <cell r="A1476">
            <v>70104431</v>
          </cell>
          <cell r="C1476" t="str">
            <v>고급 초대형 기호품 창고</v>
          </cell>
        </row>
        <row r="1477">
          <cell r="A1477">
            <v>70104432</v>
          </cell>
          <cell r="C1477" t="str">
            <v>고급 초대형 섬유 창고</v>
          </cell>
        </row>
        <row r="1478">
          <cell r="A1478">
            <v>70104433</v>
          </cell>
          <cell r="C1478" t="str">
            <v>고급 초대형 직물 창고</v>
          </cell>
        </row>
        <row r="1479">
          <cell r="A1479">
            <v>70104434</v>
          </cell>
          <cell r="C1479" t="str">
            <v>고급 초대형 공예품 창고</v>
          </cell>
        </row>
        <row r="1480">
          <cell r="A1480">
            <v>70104435</v>
          </cell>
          <cell r="C1480" t="str">
            <v>고급 초대형 미술품 창고</v>
          </cell>
        </row>
        <row r="1481">
          <cell r="A1481">
            <v>70104436</v>
          </cell>
          <cell r="C1481" t="str">
            <v>고급 초대형 향신료 창고</v>
          </cell>
        </row>
        <row r="1482">
          <cell r="A1482">
            <v>70104437</v>
          </cell>
          <cell r="C1482" t="str">
            <v>고급 초대형 귀금속 창고</v>
          </cell>
        </row>
        <row r="1483">
          <cell r="A1483">
            <v>70104438</v>
          </cell>
          <cell r="C1483" t="str">
            <v>고급 초대형 향료 창고</v>
          </cell>
        </row>
        <row r="1484">
          <cell r="A1484">
            <v>70104439</v>
          </cell>
          <cell r="C1484" t="str">
            <v>고급 초대형 보석 창고</v>
          </cell>
        </row>
        <row r="1485">
          <cell r="A1485">
            <v>70104440</v>
          </cell>
          <cell r="C1485" t="str">
            <v>고급 초대형 무기류 창고</v>
          </cell>
        </row>
        <row r="1486">
          <cell r="A1486">
            <v>70104441</v>
          </cell>
          <cell r="C1486" t="str">
            <v>고급 초대형 총포류 창고</v>
          </cell>
        </row>
        <row r="1487">
          <cell r="A1487">
            <v>70104442</v>
          </cell>
          <cell r="C1487" t="str">
            <v>고급 초대형 짐창고</v>
          </cell>
        </row>
        <row r="1488">
          <cell r="A1488">
            <v>70104443</v>
          </cell>
          <cell r="C1488" t="str">
            <v>고급 초대형 조수실</v>
          </cell>
        </row>
        <row r="1489">
          <cell r="A1489">
            <v>70104444</v>
          </cell>
          <cell r="C1489" t="str">
            <v>고급 초대형 선원실</v>
          </cell>
        </row>
        <row r="1490">
          <cell r="A1490">
            <v>70104445</v>
          </cell>
          <cell r="C1490" t="str">
            <v>고급 초대형 탄약창고</v>
          </cell>
        </row>
        <row r="1491">
          <cell r="A1491">
            <v>70104446</v>
          </cell>
          <cell r="C1491" t="str">
            <v>고급 초대형 무기창고</v>
          </cell>
        </row>
        <row r="1492">
          <cell r="A1492">
            <v>70104447</v>
          </cell>
          <cell r="C1492" t="str">
            <v>고급 초대형 휴게실</v>
          </cell>
        </row>
        <row r="1493">
          <cell r="A1493">
            <v>70104448</v>
          </cell>
          <cell r="C1493" t="str">
            <v>고급 초대형 연회장</v>
          </cell>
        </row>
        <row r="1494">
          <cell r="A1494">
            <v>70104449</v>
          </cell>
          <cell r="C1494" t="str">
            <v>고급 초대형 위장창고</v>
          </cell>
        </row>
        <row r="1495">
          <cell r="A1495">
            <v>70104450</v>
          </cell>
          <cell r="C1495" t="str">
            <v>고급 초대형 강화창고</v>
          </cell>
        </row>
        <row r="1496">
          <cell r="A1496">
            <v>70104451</v>
          </cell>
          <cell r="C1496" t="str">
            <v>최고급 초대형 물자창고</v>
          </cell>
        </row>
        <row r="1497">
          <cell r="A1497">
            <v>70104452</v>
          </cell>
          <cell r="C1497" t="str">
            <v>최고급 초대형 식료품 창고</v>
          </cell>
        </row>
        <row r="1498">
          <cell r="A1498">
            <v>70104453</v>
          </cell>
          <cell r="C1498" t="str">
            <v>최고급 초대형 조미료 창고</v>
          </cell>
        </row>
        <row r="1499">
          <cell r="A1499">
            <v>70104454</v>
          </cell>
          <cell r="C1499" t="str">
            <v>최고급 초대형 가축 창고</v>
          </cell>
        </row>
        <row r="1500">
          <cell r="A1500">
            <v>70104455</v>
          </cell>
          <cell r="C1500" t="str">
            <v>최고급 초대형 의약품 창고</v>
          </cell>
        </row>
        <row r="1501">
          <cell r="A1501">
            <v>70104456</v>
          </cell>
          <cell r="C1501" t="str">
            <v>최고급 초대형 잡화 창고</v>
          </cell>
        </row>
        <row r="1502">
          <cell r="A1502">
            <v>70104457</v>
          </cell>
          <cell r="C1502" t="str">
            <v>최고급 초대형 주류 창고</v>
          </cell>
        </row>
        <row r="1503">
          <cell r="A1503">
            <v>70104458</v>
          </cell>
          <cell r="C1503" t="str">
            <v>최고급 초대형 염료 창고</v>
          </cell>
        </row>
        <row r="1504">
          <cell r="A1504">
            <v>70104459</v>
          </cell>
          <cell r="C1504" t="str">
            <v>최고급 초대형 광석 창고</v>
          </cell>
        </row>
        <row r="1505">
          <cell r="A1505">
            <v>70104460</v>
          </cell>
          <cell r="C1505" t="str">
            <v>최고급 초대형 공업품 창고</v>
          </cell>
        </row>
        <row r="1506">
          <cell r="A1506">
            <v>70104461</v>
          </cell>
          <cell r="C1506" t="str">
            <v>최고급 초대형 기호품 창고</v>
          </cell>
        </row>
        <row r="1507">
          <cell r="A1507">
            <v>70104462</v>
          </cell>
          <cell r="C1507" t="str">
            <v>최고급 초대형 섬유 창고</v>
          </cell>
        </row>
        <row r="1508">
          <cell r="A1508">
            <v>70104463</v>
          </cell>
          <cell r="C1508" t="str">
            <v>최고급 초대형 직물 창고</v>
          </cell>
        </row>
        <row r="1509">
          <cell r="A1509">
            <v>70104464</v>
          </cell>
          <cell r="C1509" t="str">
            <v>최고급 초대형 공예품 창고</v>
          </cell>
        </row>
        <row r="1510">
          <cell r="A1510">
            <v>70104465</v>
          </cell>
          <cell r="C1510" t="str">
            <v>최고급 초대형 미술품 창고</v>
          </cell>
        </row>
        <row r="1511">
          <cell r="A1511">
            <v>70104466</v>
          </cell>
          <cell r="C1511" t="str">
            <v>최고급 초대형 향신료 창고</v>
          </cell>
        </row>
        <row r="1512">
          <cell r="A1512">
            <v>70104467</v>
          </cell>
          <cell r="C1512" t="str">
            <v>최고급 초대형 귀금속 창고</v>
          </cell>
        </row>
        <row r="1513">
          <cell r="A1513">
            <v>70104468</v>
          </cell>
          <cell r="C1513" t="str">
            <v>최고급 초대형 향료 창고</v>
          </cell>
        </row>
        <row r="1514">
          <cell r="A1514">
            <v>70104469</v>
          </cell>
          <cell r="C1514" t="str">
            <v>최고급 초대형 보석 창고</v>
          </cell>
        </row>
        <row r="1515">
          <cell r="A1515">
            <v>70104470</v>
          </cell>
          <cell r="C1515" t="str">
            <v>최고급 초대형 무기류 창고</v>
          </cell>
        </row>
        <row r="1516">
          <cell r="A1516">
            <v>70104471</v>
          </cell>
          <cell r="C1516" t="str">
            <v>최고급 초대형 총포류 창고</v>
          </cell>
        </row>
        <row r="1517">
          <cell r="A1517">
            <v>70104472</v>
          </cell>
          <cell r="C1517" t="str">
            <v>최고급 초대형 짐창고</v>
          </cell>
        </row>
        <row r="1518">
          <cell r="A1518">
            <v>70104473</v>
          </cell>
          <cell r="C1518" t="str">
            <v>최고급 초대형 조수실</v>
          </cell>
        </row>
        <row r="1519">
          <cell r="A1519">
            <v>70104474</v>
          </cell>
          <cell r="C1519" t="str">
            <v>최고급 초대형 선원실</v>
          </cell>
        </row>
        <row r="1520">
          <cell r="A1520">
            <v>70104475</v>
          </cell>
          <cell r="C1520" t="str">
            <v>최고급 초대형 탄약창고</v>
          </cell>
        </row>
        <row r="1521">
          <cell r="A1521">
            <v>70104476</v>
          </cell>
          <cell r="C1521" t="str">
            <v>최고급 초대형 무기창고</v>
          </cell>
        </row>
        <row r="1522">
          <cell r="A1522">
            <v>70104477</v>
          </cell>
          <cell r="C1522" t="str">
            <v>최고급 초대형 휴게실</v>
          </cell>
        </row>
        <row r="1523">
          <cell r="A1523">
            <v>70104478</v>
          </cell>
          <cell r="C1523" t="str">
            <v>최고급 초대형 연회장</v>
          </cell>
        </row>
        <row r="1524">
          <cell r="A1524">
            <v>70104479</v>
          </cell>
          <cell r="C1524" t="str">
            <v>최고급 초대형 위장창고</v>
          </cell>
        </row>
        <row r="1525">
          <cell r="A1525">
            <v>70104480</v>
          </cell>
          <cell r="C1525" t="str">
            <v>최고급 초대형 강화창고</v>
          </cell>
        </row>
        <row r="1526">
          <cell r="A1526">
            <v>70110000</v>
          </cell>
          <cell r="C1526" t="str">
            <v>낡은 소형 물자창고</v>
          </cell>
        </row>
        <row r="1527">
          <cell r="A1527">
            <v>70110001</v>
          </cell>
          <cell r="C1527" t="str">
            <v>낡은 소형 식료품 창고</v>
          </cell>
        </row>
        <row r="1528">
          <cell r="A1528">
            <v>70110002</v>
          </cell>
          <cell r="C1528" t="str">
            <v>낡은 소형 조미료 창고</v>
          </cell>
        </row>
        <row r="1529">
          <cell r="A1529">
            <v>70110003</v>
          </cell>
          <cell r="C1529" t="str">
            <v>낡은 소형 가축 창고</v>
          </cell>
        </row>
        <row r="1530">
          <cell r="A1530">
            <v>70110004</v>
          </cell>
          <cell r="C1530" t="str">
            <v>낡은 소형 의약품 창고</v>
          </cell>
        </row>
        <row r="1531">
          <cell r="A1531">
            <v>70110005</v>
          </cell>
          <cell r="C1531" t="str">
            <v>낡은 소형 잡화 창고</v>
          </cell>
        </row>
        <row r="1532">
          <cell r="A1532">
            <v>70110006</v>
          </cell>
          <cell r="C1532" t="str">
            <v>낡은 소형 주류 창고</v>
          </cell>
        </row>
        <row r="1533">
          <cell r="A1533">
            <v>70110007</v>
          </cell>
          <cell r="C1533" t="str">
            <v>낡은 소형 염료 창고</v>
          </cell>
        </row>
        <row r="1534">
          <cell r="A1534">
            <v>70110008</v>
          </cell>
          <cell r="C1534" t="str">
            <v>낡은 소형 광석 창고</v>
          </cell>
        </row>
        <row r="1535">
          <cell r="A1535">
            <v>70110009</v>
          </cell>
          <cell r="C1535" t="str">
            <v>낡은 소형 공업품 창고</v>
          </cell>
        </row>
        <row r="1536">
          <cell r="A1536">
            <v>70110010</v>
          </cell>
          <cell r="C1536" t="str">
            <v>낡은 소형 기호품 창고</v>
          </cell>
        </row>
        <row r="1537">
          <cell r="A1537">
            <v>70110011</v>
          </cell>
          <cell r="C1537" t="str">
            <v>낡은 소형 섬유 창고</v>
          </cell>
        </row>
        <row r="1538">
          <cell r="A1538">
            <v>70110012</v>
          </cell>
          <cell r="C1538" t="str">
            <v>낡은 소형 직물 창고</v>
          </cell>
        </row>
        <row r="1539">
          <cell r="A1539">
            <v>70110013</v>
          </cell>
          <cell r="C1539" t="str">
            <v>낡은 소형 공예품 창고</v>
          </cell>
        </row>
        <row r="1540">
          <cell r="A1540">
            <v>70110014</v>
          </cell>
          <cell r="C1540" t="str">
            <v>낡은 소형 미술품 창고</v>
          </cell>
        </row>
        <row r="1541">
          <cell r="A1541">
            <v>70110015</v>
          </cell>
          <cell r="C1541" t="str">
            <v>낡은 소형 향신료 창고</v>
          </cell>
        </row>
        <row r="1542">
          <cell r="A1542">
            <v>70110016</v>
          </cell>
          <cell r="C1542" t="str">
            <v>낡은 소형 귀금속 창고</v>
          </cell>
        </row>
        <row r="1543">
          <cell r="A1543">
            <v>70110017</v>
          </cell>
          <cell r="C1543" t="str">
            <v>낡은 소형 향료 창고</v>
          </cell>
        </row>
        <row r="1544">
          <cell r="A1544">
            <v>70110018</v>
          </cell>
          <cell r="C1544" t="str">
            <v>낡은 소형 보석 창고</v>
          </cell>
        </row>
        <row r="1545">
          <cell r="A1545">
            <v>70110019</v>
          </cell>
          <cell r="C1545" t="str">
            <v>낡은 소형 무기류 창고</v>
          </cell>
        </row>
        <row r="1546">
          <cell r="A1546">
            <v>70110020</v>
          </cell>
          <cell r="C1546" t="str">
            <v>낡은 소형 총포류 창고</v>
          </cell>
        </row>
        <row r="1547">
          <cell r="A1547">
            <v>70110021</v>
          </cell>
          <cell r="C1547" t="str">
            <v>낡은 소형 짐창고</v>
          </cell>
        </row>
        <row r="1548">
          <cell r="A1548">
            <v>70110022</v>
          </cell>
          <cell r="C1548" t="str">
            <v>낡은 소형 조수실</v>
          </cell>
        </row>
        <row r="1549">
          <cell r="A1549">
            <v>70110023</v>
          </cell>
          <cell r="C1549" t="str">
            <v>낡은 소형 선원실</v>
          </cell>
        </row>
        <row r="1550">
          <cell r="A1550">
            <v>70110024</v>
          </cell>
          <cell r="C1550" t="str">
            <v>낡은 소형 탄약창고</v>
          </cell>
        </row>
        <row r="1551">
          <cell r="A1551">
            <v>70110025</v>
          </cell>
          <cell r="C1551" t="str">
            <v>낡은 소형 무기창고</v>
          </cell>
        </row>
        <row r="1552">
          <cell r="A1552">
            <v>70110026</v>
          </cell>
          <cell r="C1552" t="str">
            <v>낡은 소형 휴게실</v>
          </cell>
        </row>
        <row r="1553">
          <cell r="A1553">
            <v>70110027</v>
          </cell>
          <cell r="C1553" t="str">
            <v>낡은 소형 연회장</v>
          </cell>
        </row>
        <row r="1554">
          <cell r="A1554">
            <v>70110028</v>
          </cell>
          <cell r="C1554" t="str">
            <v>낡은 소형 위장창고</v>
          </cell>
        </row>
        <row r="1555">
          <cell r="A1555">
            <v>70110029</v>
          </cell>
          <cell r="C1555" t="str">
            <v>낡은 소형 강화창고</v>
          </cell>
        </row>
        <row r="1556">
          <cell r="A1556">
            <v>70110100</v>
          </cell>
          <cell r="C1556" t="str">
            <v>소형 물자창고</v>
          </cell>
        </row>
        <row r="1557">
          <cell r="A1557">
            <v>70110101</v>
          </cell>
          <cell r="C1557" t="str">
            <v>소형 식료품 창고</v>
          </cell>
        </row>
        <row r="1558">
          <cell r="A1558">
            <v>70110102</v>
          </cell>
          <cell r="C1558" t="str">
            <v>소형 조미료 창고</v>
          </cell>
        </row>
        <row r="1559">
          <cell r="A1559">
            <v>70110103</v>
          </cell>
          <cell r="C1559" t="str">
            <v>소형 가축 창고</v>
          </cell>
        </row>
        <row r="1560">
          <cell r="A1560">
            <v>70110104</v>
          </cell>
          <cell r="C1560" t="str">
            <v>소형 의약품 창고</v>
          </cell>
        </row>
        <row r="1561">
          <cell r="A1561">
            <v>70110105</v>
          </cell>
          <cell r="C1561" t="str">
            <v>소형 잡화 창고</v>
          </cell>
        </row>
        <row r="1562">
          <cell r="A1562">
            <v>70110106</v>
          </cell>
          <cell r="C1562" t="str">
            <v>소형 주류 창고</v>
          </cell>
        </row>
        <row r="1563">
          <cell r="A1563">
            <v>70110107</v>
          </cell>
          <cell r="C1563" t="str">
            <v>소형 염료 창고</v>
          </cell>
        </row>
        <row r="1564">
          <cell r="A1564">
            <v>70110108</v>
          </cell>
          <cell r="C1564" t="str">
            <v>소형 광석 창고</v>
          </cell>
        </row>
        <row r="1565">
          <cell r="A1565">
            <v>70110109</v>
          </cell>
          <cell r="C1565" t="str">
            <v>소형 공업품 창고</v>
          </cell>
        </row>
        <row r="1566">
          <cell r="A1566">
            <v>70110110</v>
          </cell>
          <cell r="C1566" t="str">
            <v>소형 기호품 창고</v>
          </cell>
        </row>
        <row r="1567">
          <cell r="A1567">
            <v>70110111</v>
          </cell>
          <cell r="C1567" t="str">
            <v>소형 섬유 창고</v>
          </cell>
        </row>
        <row r="1568">
          <cell r="A1568">
            <v>70110112</v>
          </cell>
          <cell r="C1568" t="str">
            <v>소형 직물 창고</v>
          </cell>
        </row>
        <row r="1569">
          <cell r="A1569">
            <v>70110113</v>
          </cell>
          <cell r="C1569" t="str">
            <v>소형 공예품 창고</v>
          </cell>
        </row>
        <row r="1570">
          <cell r="A1570">
            <v>70110114</v>
          </cell>
          <cell r="C1570" t="str">
            <v>소형 미술품 창고</v>
          </cell>
        </row>
        <row r="1571">
          <cell r="A1571">
            <v>70110115</v>
          </cell>
          <cell r="C1571" t="str">
            <v>소형 향신료 창고</v>
          </cell>
        </row>
        <row r="1572">
          <cell r="A1572">
            <v>70110116</v>
          </cell>
          <cell r="C1572" t="str">
            <v>소형 귀금속 창고</v>
          </cell>
        </row>
        <row r="1573">
          <cell r="A1573">
            <v>70110117</v>
          </cell>
          <cell r="C1573" t="str">
            <v>소형 향료 창고</v>
          </cell>
        </row>
        <row r="1574">
          <cell r="A1574">
            <v>70110118</v>
          </cell>
          <cell r="C1574" t="str">
            <v>소형 보석 창고</v>
          </cell>
        </row>
        <row r="1575">
          <cell r="A1575">
            <v>70110119</v>
          </cell>
          <cell r="C1575" t="str">
            <v>소형 무기류 창고</v>
          </cell>
        </row>
        <row r="1576">
          <cell r="A1576">
            <v>70110120</v>
          </cell>
          <cell r="C1576" t="str">
            <v>소형 총포류 창고</v>
          </cell>
        </row>
        <row r="1577">
          <cell r="A1577">
            <v>70110121</v>
          </cell>
          <cell r="C1577" t="str">
            <v>소형 짐창고</v>
          </cell>
        </row>
        <row r="1578">
          <cell r="A1578">
            <v>70110122</v>
          </cell>
          <cell r="C1578" t="str">
            <v>소형 조수실</v>
          </cell>
        </row>
        <row r="1579">
          <cell r="A1579">
            <v>70110123</v>
          </cell>
          <cell r="C1579" t="str">
            <v>소형 선원실</v>
          </cell>
        </row>
        <row r="1580">
          <cell r="A1580">
            <v>70110124</v>
          </cell>
          <cell r="C1580" t="str">
            <v>소형 탄약창고</v>
          </cell>
        </row>
        <row r="1581">
          <cell r="A1581">
            <v>70110125</v>
          </cell>
          <cell r="C1581" t="str">
            <v>소형 무기창고</v>
          </cell>
        </row>
        <row r="1582">
          <cell r="A1582">
            <v>70110126</v>
          </cell>
          <cell r="C1582" t="str">
            <v>소형 휴게실</v>
          </cell>
        </row>
        <row r="1583">
          <cell r="A1583">
            <v>70110127</v>
          </cell>
          <cell r="C1583" t="str">
            <v>소형 연회장</v>
          </cell>
        </row>
        <row r="1584">
          <cell r="A1584">
            <v>70110128</v>
          </cell>
          <cell r="C1584" t="str">
            <v>소형 위장창고</v>
          </cell>
        </row>
        <row r="1585">
          <cell r="A1585">
            <v>70110129</v>
          </cell>
          <cell r="C1585" t="str">
            <v>소형 강화창고</v>
          </cell>
        </row>
        <row r="1586">
          <cell r="A1586">
            <v>70110200</v>
          </cell>
          <cell r="C1586" t="str">
            <v>고급 소형 물자창고</v>
          </cell>
        </row>
        <row r="1587">
          <cell r="A1587">
            <v>70110201</v>
          </cell>
          <cell r="C1587" t="str">
            <v>고급 소형 식료품 창고</v>
          </cell>
        </row>
        <row r="1588">
          <cell r="A1588">
            <v>70110202</v>
          </cell>
          <cell r="C1588" t="str">
            <v>고급 소형 조미료 창고</v>
          </cell>
        </row>
        <row r="1589">
          <cell r="A1589">
            <v>70110203</v>
          </cell>
          <cell r="C1589" t="str">
            <v>고급 소형 가축 창고</v>
          </cell>
        </row>
        <row r="1590">
          <cell r="A1590">
            <v>70110204</v>
          </cell>
          <cell r="C1590" t="str">
            <v>고급 소형 의약품 창고</v>
          </cell>
        </row>
        <row r="1591">
          <cell r="A1591">
            <v>70110205</v>
          </cell>
          <cell r="C1591" t="str">
            <v>고급 소형 잡화 창고</v>
          </cell>
        </row>
        <row r="1592">
          <cell r="A1592">
            <v>70110206</v>
          </cell>
          <cell r="C1592" t="str">
            <v>고급 소형 주류 창고</v>
          </cell>
        </row>
        <row r="1593">
          <cell r="A1593">
            <v>70110207</v>
          </cell>
          <cell r="C1593" t="str">
            <v>고급 소형 염료 창고</v>
          </cell>
        </row>
        <row r="1594">
          <cell r="A1594">
            <v>70110208</v>
          </cell>
          <cell r="C1594" t="str">
            <v>고급 소형 광석 창고</v>
          </cell>
        </row>
        <row r="1595">
          <cell r="A1595">
            <v>70110209</v>
          </cell>
          <cell r="C1595" t="str">
            <v>고급 소형 공업품 창고</v>
          </cell>
        </row>
        <row r="1596">
          <cell r="A1596">
            <v>70110210</v>
          </cell>
          <cell r="C1596" t="str">
            <v>고급 소형 기호품 창고</v>
          </cell>
        </row>
        <row r="1597">
          <cell r="A1597">
            <v>70110211</v>
          </cell>
          <cell r="C1597" t="str">
            <v>고급 소형 섬유 창고</v>
          </cell>
        </row>
        <row r="1598">
          <cell r="A1598">
            <v>70110212</v>
          </cell>
          <cell r="C1598" t="str">
            <v>고급 소형 직물 창고</v>
          </cell>
        </row>
        <row r="1599">
          <cell r="A1599">
            <v>70110213</v>
          </cell>
          <cell r="C1599" t="str">
            <v>고급 소형 공예품 창고</v>
          </cell>
        </row>
        <row r="1600">
          <cell r="A1600">
            <v>70110214</v>
          </cell>
          <cell r="C1600" t="str">
            <v>고급 소형 미술품 창고</v>
          </cell>
        </row>
        <row r="1601">
          <cell r="A1601">
            <v>70110215</v>
          </cell>
          <cell r="C1601" t="str">
            <v>고급 소형 향신료 창고</v>
          </cell>
        </row>
        <row r="1602">
          <cell r="A1602">
            <v>70110216</v>
          </cell>
          <cell r="C1602" t="str">
            <v>고급 소형 귀금속 창고</v>
          </cell>
        </row>
        <row r="1603">
          <cell r="A1603">
            <v>70110217</v>
          </cell>
          <cell r="C1603" t="str">
            <v>고급 소형 향료 창고</v>
          </cell>
        </row>
        <row r="1604">
          <cell r="A1604">
            <v>70110218</v>
          </cell>
          <cell r="C1604" t="str">
            <v>고급 소형 보석 창고</v>
          </cell>
        </row>
        <row r="1605">
          <cell r="A1605">
            <v>70110219</v>
          </cell>
          <cell r="C1605" t="str">
            <v>고급 소형 무기류 창고</v>
          </cell>
        </row>
        <row r="1606">
          <cell r="A1606">
            <v>70110220</v>
          </cell>
          <cell r="C1606" t="str">
            <v>고급 소형 총포류 창고</v>
          </cell>
        </row>
        <row r="1607">
          <cell r="A1607">
            <v>70110221</v>
          </cell>
          <cell r="C1607" t="str">
            <v>고급 소형 짐창고</v>
          </cell>
        </row>
        <row r="1608">
          <cell r="A1608">
            <v>70110222</v>
          </cell>
          <cell r="C1608" t="str">
            <v>고급 소형 조수실</v>
          </cell>
        </row>
        <row r="1609">
          <cell r="A1609">
            <v>70110223</v>
          </cell>
          <cell r="C1609" t="str">
            <v>고급 소형 선원실</v>
          </cell>
        </row>
        <row r="1610">
          <cell r="A1610">
            <v>70110224</v>
          </cell>
          <cell r="C1610" t="str">
            <v>고급 소형 탄약창고</v>
          </cell>
        </row>
        <row r="1611">
          <cell r="A1611">
            <v>70110225</v>
          </cell>
          <cell r="C1611" t="str">
            <v>고급 소형 무기창고</v>
          </cell>
        </row>
        <row r="1612">
          <cell r="A1612">
            <v>70110226</v>
          </cell>
          <cell r="C1612" t="str">
            <v>고급 소형 휴게실</v>
          </cell>
        </row>
        <row r="1613">
          <cell r="A1613">
            <v>70110227</v>
          </cell>
          <cell r="C1613" t="str">
            <v>고급 소형 연회장</v>
          </cell>
        </row>
        <row r="1614">
          <cell r="A1614">
            <v>70110228</v>
          </cell>
          <cell r="C1614" t="str">
            <v>고급 소형 위장창고</v>
          </cell>
        </row>
        <row r="1615">
          <cell r="A1615">
            <v>70110229</v>
          </cell>
          <cell r="C1615" t="str">
            <v>고급 소형 강화창고</v>
          </cell>
        </row>
        <row r="1616">
          <cell r="A1616">
            <v>70110300</v>
          </cell>
          <cell r="C1616" t="str">
            <v>최고급 소형 물자창고</v>
          </cell>
        </row>
        <row r="1617">
          <cell r="A1617">
            <v>70110301</v>
          </cell>
          <cell r="C1617" t="str">
            <v>최고급 소형 식료품 창고</v>
          </cell>
        </row>
        <row r="1618">
          <cell r="A1618">
            <v>70110302</v>
          </cell>
          <cell r="C1618" t="str">
            <v>최고급 소형 조미료 창고</v>
          </cell>
        </row>
        <row r="1619">
          <cell r="A1619">
            <v>70110303</v>
          </cell>
          <cell r="C1619" t="str">
            <v>최고급 소형 가축 창고</v>
          </cell>
        </row>
        <row r="1620">
          <cell r="A1620">
            <v>70110304</v>
          </cell>
          <cell r="C1620" t="str">
            <v>최고급 소형 의약품 창고</v>
          </cell>
        </row>
        <row r="1621">
          <cell r="A1621">
            <v>70110305</v>
          </cell>
          <cell r="C1621" t="str">
            <v>최고급 소형 잡화 창고</v>
          </cell>
        </row>
        <row r="1622">
          <cell r="A1622">
            <v>70110306</v>
          </cell>
          <cell r="C1622" t="str">
            <v>최고급 소형 주류 창고</v>
          </cell>
        </row>
        <row r="1623">
          <cell r="A1623">
            <v>70110307</v>
          </cell>
          <cell r="C1623" t="str">
            <v>최고급 소형 염료 창고</v>
          </cell>
        </row>
        <row r="1624">
          <cell r="A1624">
            <v>70110308</v>
          </cell>
          <cell r="C1624" t="str">
            <v>최고급 소형 광석 창고</v>
          </cell>
        </row>
        <row r="1625">
          <cell r="A1625">
            <v>70110309</v>
          </cell>
          <cell r="C1625" t="str">
            <v>최고급 소형 공업품 창고</v>
          </cell>
        </row>
        <row r="1626">
          <cell r="A1626">
            <v>70110310</v>
          </cell>
          <cell r="C1626" t="str">
            <v>최고급 소형 기호품 창고</v>
          </cell>
        </row>
        <row r="1627">
          <cell r="A1627">
            <v>70110311</v>
          </cell>
          <cell r="C1627" t="str">
            <v>최고급 소형 섬유 창고</v>
          </cell>
        </row>
        <row r="1628">
          <cell r="A1628">
            <v>70110312</v>
          </cell>
          <cell r="C1628" t="str">
            <v>최고급 소형 직물 창고</v>
          </cell>
        </row>
        <row r="1629">
          <cell r="A1629">
            <v>70110313</v>
          </cell>
          <cell r="C1629" t="str">
            <v>최고급 소형 공예품 창고</v>
          </cell>
        </row>
        <row r="1630">
          <cell r="A1630">
            <v>70110314</v>
          </cell>
          <cell r="C1630" t="str">
            <v>최고급 소형 미술품 창고</v>
          </cell>
        </row>
        <row r="1631">
          <cell r="A1631">
            <v>70110315</v>
          </cell>
          <cell r="C1631" t="str">
            <v>최고급 소형 향신료 창고</v>
          </cell>
        </row>
        <row r="1632">
          <cell r="A1632">
            <v>70110316</v>
          </cell>
          <cell r="C1632" t="str">
            <v>최고급 소형 귀금속 창고</v>
          </cell>
        </row>
        <row r="1633">
          <cell r="A1633">
            <v>70110317</v>
          </cell>
          <cell r="C1633" t="str">
            <v>최고급 소형 향료 창고</v>
          </cell>
        </row>
        <row r="1634">
          <cell r="A1634">
            <v>70110318</v>
          </cell>
          <cell r="C1634" t="str">
            <v>최고급 소형 보석 창고</v>
          </cell>
        </row>
        <row r="1635">
          <cell r="A1635">
            <v>70110319</v>
          </cell>
          <cell r="C1635" t="str">
            <v>최고급 소형 무기류 창고</v>
          </cell>
        </row>
        <row r="1636">
          <cell r="A1636">
            <v>70110320</v>
          </cell>
          <cell r="C1636" t="str">
            <v>최고급 소형 총포류 창고</v>
          </cell>
        </row>
        <row r="1637">
          <cell r="A1637">
            <v>70110321</v>
          </cell>
          <cell r="C1637" t="str">
            <v>최고급 소형 짐창고</v>
          </cell>
        </row>
        <row r="1638">
          <cell r="A1638">
            <v>70110322</v>
          </cell>
          <cell r="C1638" t="str">
            <v>최고급 소형 조수실</v>
          </cell>
        </row>
        <row r="1639">
          <cell r="A1639">
            <v>70110323</v>
          </cell>
          <cell r="C1639" t="str">
            <v>최고급 소형 선원실</v>
          </cell>
        </row>
        <row r="1640">
          <cell r="A1640">
            <v>70110324</v>
          </cell>
          <cell r="C1640" t="str">
            <v>최고급 소형 탄약창고</v>
          </cell>
        </row>
        <row r="1641">
          <cell r="A1641">
            <v>70110325</v>
          </cell>
          <cell r="C1641" t="str">
            <v>최고급 소형 무기창고</v>
          </cell>
        </row>
        <row r="1642">
          <cell r="A1642">
            <v>70110326</v>
          </cell>
          <cell r="C1642" t="str">
            <v>최고급 소형 휴게실</v>
          </cell>
        </row>
        <row r="1643">
          <cell r="A1643">
            <v>70110327</v>
          </cell>
          <cell r="C1643" t="str">
            <v>최고급 소형 연회장</v>
          </cell>
        </row>
        <row r="1644">
          <cell r="A1644">
            <v>70110328</v>
          </cell>
          <cell r="C1644" t="str">
            <v>최고급 소형 위장창고</v>
          </cell>
        </row>
        <row r="1645">
          <cell r="A1645">
            <v>70110329</v>
          </cell>
          <cell r="C1645" t="str">
            <v>최고급 소형 강화창고</v>
          </cell>
        </row>
        <row r="1646">
          <cell r="A1646">
            <v>70110400</v>
          </cell>
          <cell r="C1646" t="str">
            <v>낡은 소형 물자창고</v>
          </cell>
        </row>
        <row r="1647">
          <cell r="A1647">
            <v>70110401</v>
          </cell>
          <cell r="C1647" t="str">
            <v>낡은 소형 식료품 창고</v>
          </cell>
        </row>
        <row r="1648">
          <cell r="A1648">
            <v>70110402</v>
          </cell>
          <cell r="C1648" t="str">
            <v>낡은 소형 조미료 창고</v>
          </cell>
        </row>
        <row r="1649">
          <cell r="A1649">
            <v>70110403</v>
          </cell>
          <cell r="C1649" t="str">
            <v>낡은 소형 가축 창고</v>
          </cell>
        </row>
        <row r="1650">
          <cell r="A1650">
            <v>70110404</v>
          </cell>
          <cell r="C1650" t="str">
            <v>낡은 소형 의약품 창고</v>
          </cell>
        </row>
        <row r="1651">
          <cell r="A1651">
            <v>70110405</v>
          </cell>
          <cell r="C1651" t="str">
            <v>낡은 소형 잡화 창고</v>
          </cell>
        </row>
        <row r="1652">
          <cell r="A1652">
            <v>70110406</v>
          </cell>
          <cell r="C1652" t="str">
            <v>낡은 소형 주류 창고</v>
          </cell>
        </row>
        <row r="1653">
          <cell r="A1653">
            <v>70110407</v>
          </cell>
          <cell r="C1653" t="str">
            <v>낡은 소형 염료 창고</v>
          </cell>
        </row>
        <row r="1654">
          <cell r="A1654">
            <v>70110408</v>
          </cell>
          <cell r="C1654" t="str">
            <v>낡은 소형 광석 창고</v>
          </cell>
        </row>
        <row r="1655">
          <cell r="A1655">
            <v>70110409</v>
          </cell>
          <cell r="C1655" t="str">
            <v>낡은 소형 공업품 창고</v>
          </cell>
        </row>
        <row r="1656">
          <cell r="A1656">
            <v>70110410</v>
          </cell>
          <cell r="C1656" t="str">
            <v>낡은 소형 기호품 창고</v>
          </cell>
        </row>
        <row r="1657">
          <cell r="A1657">
            <v>70110411</v>
          </cell>
          <cell r="C1657" t="str">
            <v>낡은 소형 섬유 창고</v>
          </cell>
        </row>
        <row r="1658">
          <cell r="A1658">
            <v>70110412</v>
          </cell>
          <cell r="C1658" t="str">
            <v>낡은 소형 직물 창고</v>
          </cell>
        </row>
        <row r="1659">
          <cell r="A1659">
            <v>70110413</v>
          </cell>
          <cell r="C1659" t="str">
            <v>낡은 소형 공예품 창고</v>
          </cell>
        </row>
        <row r="1660">
          <cell r="A1660">
            <v>70110414</v>
          </cell>
          <cell r="C1660" t="str">
            <v>낡은 소형 미술품 창고</v>
          </cell>
        </row>
        <row r="1661">
          <cell r="A1661">
            <v>70110415</v>
          </cell>
          <cell r="C1661" t="str">
            <v>낡은 소형 향신료 창고</v>
          </cell>
        </row>
        <row r="1662">
          <cell r="A1662">
            <v>70110416</v>
          </cell>
          <cell r="C1662" t="str">
            <v>낡은 소형 귀금속 창고</v>
          </cell>
        </row>
        <row r="1663">
          <cell r="A1663">
            <v>70110417</v>
          </cell>
          <cell r="C1663" t="str">
            <v>낡은 소형 향료 창고</v>
          </cell>
        </row>
        <row r="1664">
          <cell r="A1664">
            <v>70110418</v>
          </cell>
          <cell r="C1664" t="str">
            <v>낡은 소형 보석 창고</v>
          </cell>
        </row>
        <row r="1665">
          <cell r="A1665">
            <v>70110419</v>
          </cell>
          <cell r="C1665" t="str">
            <v>낡은 소형 무기류 창고</v>
          </cell>
        </row>
        <row r="1666">
          <cell r="A1666">
            <v>70110420</v>
          </cell>
          <cell r="C1666" t="str">
            <v>낡은 소형 총포류 창고</v>
          </cell>
        </row>
        <row r="1667">
          <cell r="A1667">
            <v>70110421</v>
          </cell>
          <cell r="C1667" t="str">
            <v>낡은 소형 짐창고</v>
          </cell>
        </row>
        <row r="1668">
          <cell r="A1668">
            <v>70110422</v>
          </cell>
          <cell r="C1668" t="str">
            <v>낡은 소형 조수실</v>
          </cell>
        </row>
        <row r="1669">
          <cell r="A1669">
            <v>70110423</v>
          </cell>
          <cell r="C1669" t="str">
            <v>낡은 소형 선원실</v>
          </cell>
        </row>
        <row r="1670">
          <cell r="A1670">
            <v>70110424</v>
          </cell>
          <cell r="C1670" t="str">
            <v>낡은 소형 탄약창고</v>
          </cell>
        </row>
        <row r="1671">
          <cell r="A1671">
            <v>70110425</v>
          </cell>
          <cell r="C1671" t="str">
            <v>낡은 소형 무기창고</v>
          </cell>
        </row>
        <row r="1672">
          <cell r="A1672">
            <v>70110426</v>
          </cell>
          <cell r="C1672" t="str">
            <v>낡은 소형 휴게실</v>
          </cell>
        </row>
        <row r="1673">
          <cell r="A1673">
            <v>70110427</v>
          </cell>
          <cell r="C1673" t="str">
            <v>낡은 소형 연회장</v>
          </cell>
        </row>
        <row r="1674">
          <cell r="A1674">
            <v>70110428</v>
          </cell>
          <cell r="C1674" t="str">
            <v>낡은 소형 위장창고</v>
          </cell>
        </row>
        <row r="1675">
          <cell r="A1675">
            <v>70110429</v>
          </cell>
          <cell r="C1675" t="str">
            <v>낡은 소형 강화창고</v>
          </cell>
        </row>
        <row r="1676">
          <cell r="A1676">
            <v>70110500</v>
          </cell>
          <cell r="C1676" t="str">
            <v>소형 물자창고</v>
          </cell>
        </row>
        <row r="1677">
          <cell r="A1677">
            <v>70110501</v>
          </cell>
          <cell r="C1677" t="str">
            <v>소형 식료품 창고</v>
          </cell>
        </row>
        <row r="1678">
          <cell r="A1678">
            <v>70110502</v>
          </cell>
          <cell r="C1678" t="str">
            <v>소형 조미료 창고</v>
          </cell>
        </row>
        <row r="1679">
          <cell r="A1679">
            <v>70110503</v>
          </cell>
          <cell r="C1679" t="str">
            <v>소형 가축 창고</v>
          </cell>
        </row>
        <row r="1680">
          <cell r="A1680">
            <v>70110504</v>
          </cell>
          <cell r="C1680" t="str">
            <v>소형 의약품 창고</v>
          </cell>
        </row>
        <row r="1681">
          <cell r="A1681">
            <v>70110505</v>
          </cell>
          <cell r="C1681" t="str">
            <v>소형 잡화 창고</v>
          </cell>
        </row>
        <row r="1682">
          <cell r="A1682">
            <v>70110506</v>
          </cell>
          <cell r="C1682" t="str">
            <v>소형 주류 창고</v>
          </cell>
        </row>
        <row r="1683">
          <cell r="A1683">
            <v>70110507</v>
          </cell>
          <cell r="C1683" t="str">
            <v>소형 염료 창고</v>
          </cell>
        </row>
        <row r="1684">
          <cell r="A1684">
            <v>70110508</v>
          </cell>
          <cell r="C1684" t="str">
            <v>소형 광석 창고</v>
          </cell>
        </row>
        <row r="1685">
          <cell r="A1685">
            <v>70110509</v>
          </cell>
          <cell r="C1685" t="str">
            <v>소형 공업품 창고</v>
          </cell>
        </row>
        <row r="1686">
          <cell r="A1686">
            <v>70110510</v>
          </cell>
          <cell r="C1686" t="str">
            <v>소형 기호품 창고</v>
          </cell>
        </row>
        <row r="1687">
          <cell r="A1687">
            <v>70110511</v>
          </cell>
          <cell r="C1687" t="str">
            <v>소형 섬유 창고</v>
          </cell>
        </row>
        <row r="1688">
          <cell r="A1688">
            <v>70110512</v>
          </cell>
          <cell r="C1688" t="str">
            <v>소형 직물 창고</v>
          </cell>
        </row>
        <row r="1689">
          <cell r="A1689">
            <v>70110513</v>
          </cell>
          <cell r="C1689" t="str">
            <v>소형 공예품 창고</v>
          </cell>
        </row>
        <row r="1690">
          <cell r="A1690">
            <v>70110514</v>
          </cell>
          <cell r="C1690" t="str">
            <v>소형 미술품 창고</v>
          </cell>
        </row>
        <row r="1691">
          <cell r="A1691">
            <v>70110515</v>
          </cell>
          <cell r="C1691" t="str">
            <v>소형 향신료 창고</v>
          </cell>
        </row>
        <row r="1692">
          <cell r="A1692">
            <v>70110516</v>
          </cell>
          <cell r="C1692" t="str">
            <v>소형 귀금속 창고</v>
          </cell>
        </row>
        <row r="1693">
          <cell r="A1693">
            <v>70110517</v>
          </cell>
          <cell r="C1693" t="str">
            <v>소형 향료 창고</v>
          </cell>
        </row>
        <row r="1694">
          <cell r="A1694">
            <v>70110518</v>
          </cell>
          <cell r="C1694" t="str">
            <v>소형 보석 창고</v>
          </cell>
        </row>
        <row r="1695">
          <cell r="A1695">
            <v>70110519</v>
          </cell>
          <cell r="C1695" t="str">
            <v>소형 무기류 창고</v>
          </cell>
        </row>
        <row r="1696">
          <cell r="A1696">
            <v>70110520</v>
          </cell>
          <cell r="C1696" t="str">
            <v>소형 총포류 창고</v>
          </cell>
        </row>
        <row r="1697">
          <cell r="A1697">
            <v>70110521</v>
          </cell>
          <cell r="C1697" t="str">
            <v>소형 짐창고</v>
          </cell>
        </row>
        <row r="1698">
          <cell r="A1698">
            <v>70110522</v>
          </cell>
          <cell r="C1698" t="str">
            <v>소형 조수실</v>
          </cell>
        </row>
        <row r="1699">
          <cell r="A1699">
            <v>70110523</v>
          </cell>
          <cell r="C1699" t="str">
            <v>소형 선원실</v>
          </cell>
        </row>
        <row r="1700">
          <cell r="A1700">
            <v>70110524</v>
          </cell>
          <cell r="C1700" t="str">
            <v>소형 탄약창고</v>
          </cell>
        </row>
        <row r="1701">
          <cell r="A1701">
            <v>70110525</v>
          </cell>
          <cell r="C1701" t="str">
            <v>소형 무기창고</v>
          </cell>
        </row>
        <row r="1702">
          <cell r="A1702">
            <v>70110526</v>
          </cell>
          <cell r="C1702" t="str">
            <v>소형 휴게실</v>
          </cell>
        </row>
        <row r="1703">
          <cell r="A1703">
            <v>70110527</v>
          </cell>
          <cell r="C1703" t="str">
            <v>소형 연회장</v>
          </cell>
        </row>
        <row r="1704">
          <cell r="A1704">
            <v>70110528</v>
          </cell>
          <cell r="C1704" t="str">
            <v>소형 위장창고</v>
          </cell>
        </row>
        <row r="1705">
          <cell r="A1705">
            <v>70110529</v>
          </cell>
          <cell r="C1705" t="str">
            <v>소형 강화창고</v>
          </cell>
        </row>
        <row r="1706">
          <cell r="A1706">
            <v>70110600</v>
          </cell>
          <cell r="C1706" t="str">
            <v>고급 소형 물자창고</v>
          </cell>
        </row>
        <row r="1707">
          <cell r="A1707">
            <v>70110601</v>
          </cell>
          <cell r="C1707" t="str">
            <v>고급 소형 식료품 창고</v>
          </cell>
        </row>
        <row r="1708">
          <cell r="A1708">
            <v>70110602</v>
          </cell>
          <cell r="C1708" t="str">
            <v>고급 소형 조미료 창고</v>
          </cell>
        </row>
        <row r="1709">
          <cell r="A1709">
            <v>70110603</v>
          </cell>
          <cell r="C1709" t="str">
            <v>고급 소형 가축 창고</v>
          </cell>
        </row>
        <row r="1710">
          <cell r="A1710">
            <v>70110604</v>
          </cell>
          <cell r="C1710" t="str">
            <v>고급 소형 의약품 창고</v>
          </cell>
        </row>
        <row r="1711">
          <cell r="A1711">
            <v>70110605</v>
          </cell>
          <cell r="C1711" t="str">
            <v>고급 소형 잡화 창고</v>
          </cell>
        </row>
        <row r="1712">
          <cell r="A1712">
            <v>70110606</v>
          </cell>
          <cell r="C1712" t="str">
            <v>고급 소형 주류 창고</v>
          </cell>
        </row>
        <row r="1713">
          <cell r="A1713">
            <v>70110607</v>
          </cell>
          <cell r="C1713" t="str">
            <v>고급 소형 염료 창고</v>
          </cell>
        </row>
        <row r="1714">
          <cell r="A1714">
            <v>70110608</v>
          </cell>
          <cell r="C1714" t="str">
            <v>고급 소형 광석 창고</v>
          </cell>
        </row>
        <row r="1715">
          <cell r="A1715">
            <v>70110609</v>
          </cell>
          <cell r="C1715" t="str">
            <v>고급 소형 공업품 창고</v>
          </cell>
        </row>
        <row r="1716">
          <cell r="A1716">
            <v>70110610</v>
          </cell>
          <cell r="C1716" t="str">
            <v>고급 소형 기호품 창고</v>
          </cell>
        </row>
        <row r="1717">
          <cell r="A1717">
            <v>70110611</v>
          </cell>
          <cell r="C1717" t="str">
            <v>고급 소형 섬유 창고</v>
          </cell>
        </row>
        <row r="1718">
          <cell r="A1718">
            <v>70110612</v>
          </cell>
          <cell r="C1718" t="str">
            <v>고급 소형 직물 창고</v>
          </cell>
        </row>
        <row r="1719">
          <cell r="A1719">
            <v>70110613</v>
          </cell>
          <cell r="C1719" t="str">
            <v>고급 소형 공예품 창고</v>
          </cell>
        </row>
        <row r="1720">
          <cell r="A1720">
            <v>70110614</v>
          </cell>
          <cell r="C1720" t="str">
            <v>고급 소형 미술품 창고</v>
          </cell>
        </row>
        <row r="1721">
          <cell r="A1721">
            <v>70110615</v>
          </cell>
          <cell r="C1721" t="str">
            <v>고급 소형 향신료 창고</v>
          </cell>
        </row>
        <row r="1722">
          <cell r="A1722">
            <v>70110616</v>
          </cell>
          <cell r="C1722" t="str">
            <v>고급 소형 귀금속 창고</v>
          </cell>
        </row>
        <row r="1723">
          <cell r="A1723">
            <v>70110617</v>
          </cell>
          <cell r="C1723" t="str">
            <v>고급 소형 향료 창고</v>
          </cell>
        </row>
        <row r="1724">
          <cell r="A1724">
            <v>70110618</v>
          </cell>
          <cell r="C1724" t="str">
            <v>고급 소형 보석 창고</v>
          </cell>
        </row>
        <row r="1725">
          <cell r="A1725">
            <v>70110619</v>
          </cell>
          <cell r="C1725" t="str">
            <v>고급 소형 무기류 창고</v>
          </cell>
        </row>
        <row r="1726">
          <cell r="A1726">
            <v>70110620</v>
          </cell>
          <cell r="C1726" t="str">
            <v>고급 소형 총포류 창고</v>
          </cell>
        </row>
        <row r="1727">
          <cell r="A1727">
            <v>70110621</v>
          </cell>
          <cell r="C1727" t="str">
            <v>고급 소형 짐창고</v>
          </cell>
        </row>
        <row r="1728">
          <cell r="A1728">
            <v>70110622</v>
          </cell>
          <cell r="C1728" t="str">
            <v>고급 소형 조수실</v>
          </cell>
        </row>
        <row r="1729">
          <cell r="A1729">
            <v>70110623</v>
          </cell>
          <cell r="C1729" t="str">
            <v>고급 소형 선원실</v>
          </cell>
        </row>
        <row r="1730">
          <cell r="A1730">
            <v>70110624</v>
          </cell>
          <cell r="C1730" t="str">
            <v>고급 소형 탄약창고</v>
          </cell>
        </row>
        <row r="1731">
          <cell r="A1731">
            <v>70110625</v>
          </cell>
          <cell r="C1731" t="str">
            <v>고급 소형 무기창고</v>
          </cell>
        </row>
        <row r="1732">
          <cell r="A1732">
            <v>70110626</v>
          </cell>
          <cell r="C1732" t="str">
            <v>고급 소형 휴게실</v>
          </cell>
        </row>
        <row r="1733">
          <cell r="A1733">
            <v>70110627</v>
          </cell>
          <cell r="C1733" t="str">
            <v>고급 소형 연회장</v>
          </cell>
        </row>
        <row r="1734">
          <cell r="A1734">
            <v>70110628</v>
          </cell>
          <cell r="C1734" t="str">
            <v>고급 소형 위장창고</v>
          </cell>
        </row>
        <row r="1735">
          <cell r="A1735">
            <v>70110629</v>
          </cell>
          <cell r="C1735" t="str">
            <v>고급 소형 강화창고</v>
          </cell>
        </row>
        <row r="1736">
          <cell r="A1736">
            <v>70110700</v>
          </cell>
          <cell r="C1736" t="str">
            <v>최고급 소형 물자창고</v>
          </cell>
        </row>
        <row r="1737">
          <cell r="A1737">
            <v>70110701</v>
          </cell>
          <cell r="C1737" t="str">
            <v>최고급 소형 식료품 창고</v>
          </cell>
        </row>
        <row r="1738">
          <cell r="A1738">
            <v>70110702</v>
          </cell>
          <cell r="C1738" t="str">
            <v>최고급 소형 조미료 창고</v>
          </cell>
        </row>
        <row r="1739">
          <cell r="A1739">
            <v>70110703</v>
          </cell>
          <cell r="C1739" t="str">
            <v>최고급 소형 가축 창고</v>
          </cell>
        </row>
        <row r="1740">
          <cell r="A1740">
            <v>70110704</v>
          </cell>
          <cell r="C1740" t="str">
            <v>최고급 소형 의약품 창고</v>
          </cell>
        </row>
        <row r="1741">
          <cell r="A1741">
            <v>70110705</v>
          </cell>
          <cell r="C1741" t="str">
            <v>최고급 소형 잡화 창고</v>
          </cell>
        </row>
        <row r="1742">
          <cell r="A1742">
            <v>70110706</v>
          </cell>
          <cell r="C1742" t="str">
            <v>최고급 소형 주류 창고</v>
          </cell>
        </row>
        <row r="1743">
          <cell r="A1743">
            <v>70110707</v>
          </cell>
          <cell r="C1743" t="str">
            <v>최고급 소형 염료 창고</v>
          </cell>
        </row>
        <row r="1744">
          <cell r="A1744">
            <v>70110708</v>
          </cell>
          <cell r="C1744" t="str">
            <v>최고급 소형 광석 창고</v>
          </cell>
        </row>
        <row r="1745">
          <cell r="A1745">
            <v>70110709</v>
          </cell>
          <cell r="C1745" t="str">
            <v>최고급 소형 공업품 창고</v>
          </cell>
        </row>
        <row r="1746">
          <cell r="A1746">
            <v>70110710</v>
          </cell>
          <cell r="C1746" t="str">
            <v>최고급 소형 기호품 창고</v>
          </cell>
        </row>
        <row r="1747">
          <cell r="A1747">
            <v>70110711</v>
          </cell>
          <cell r="C1747" t="str">
            <v>최고급 소형 섬유 창고</v>
          </cell>
        </row>
        <row r="1748">
          <cell r="A1748">
            <v>70110712</v>
          </cell>
          <cell r="C1748" t="str">
            <v>최고급 소형 직물 창고</v>
          </cell>
        </row>
        <row r="1749">
          <cell r="A1749">
            <v>70110713</v>
          </cell>
          <cell r="C1749" t="str">
            <v>최고급 소형 공예품 창고</v>
          </cell>
        </row>
        <row r="1750">
          <cell r="A1750">
            <v>70110714</v>
          </cell>
          <cell r="C1750" t="str">
            <v>최고급 소형 미술품 창고</v>
          </cell>
        </row>
        <row r="1751">
          <cell r="A1751">
            <v>70110715</v>
          </cell>
          <cell r="C1751" t="str">
            <v>최고급 소형 향신료 창고</v>
          </cell>
        </row>
        <row r="1752">
          <cell r="A1752">
            <v>70110716</v>
          </cell>
          <cell r="C1752" t="str">
            <v>최고급 소형 귀금속 창고</v>
          </cell>
        </row>
        <row r="1753">
          <cell r="A1753">
            <v>70110717</v>
          </cell>
          <cell r="C1753" t="str">
            <v>최고급 소형 향료 창고</v>
          </cell>
        </row>
        <row r="1754">
          <cell r="A1754">
            <v>70110718</v>
          </cell>
          <cell r="C1754" t="str">
            <v>최고급 소형 보석 창고</v>
          </cell>
        </row>
        <row r="1755">
          <cell r="A1755">
            <v>70110719</v>
          </cell>
          <cell r="C1755" t="str">
            <v>최고급 소형 무기류 창고</v>
          </cell>
        </row>
        <row r="1756">
          <cell r="A1756">
            <v>70110720</v>
          </cell>
          <cell r="C1756" t="str">
            <v>최고급 소형 총포류 창고</v>
          </cell>
        </row>
        <row r="1757">
          <cell r="A1757">
            <v>70110721</v>
          </cell>
          <cell r="C1757" t="str">
            <v>최고급 소형 짐창고</v>
          </cell>
        </row>
        <row r="1758">
          <cell r="A1758">
            <v>70110722</v>
          </cell>
          <cell r="C1758" t="str">
            <v>최고급 소형 조수실</v>
          </cell>
        </row>
        <row r="1759">
          <cell r="A1759">
            <v>70110723</v>
          </cell>
          <cell r="C1759" t="str">
            <v>최고급 소형 선원실</v>
          </cell>
        </row>
        <row r="1760">
          <cell r="A1760">
            <v>70110724</v>
          </cell>
          <cell r="C1760" t="str">
            <v>최고급 소형 탄약창고</v>
          </cell>
        </row>
        <row r="1761">
          <cell r="A1761">
            <v>70110725</v>
          </cell>
          <cell r="C1761" t="str">
            <v>최고급 소형 무기창고</v>
          </cell>
        </row>
        <row r="1762">
          <cell r="A1762">
            <v>70110726</v>
          </cell>
          <cell r="C1762" t="str">
            <v>최고급 소형 휴게실</v>
          </cell>
        </row>
        <row r="1763">
          <cell r="A1763">
            <v>70110727</v>
          </cell>
          <cell r="C1763" t="str">
            <v>최고급 소형 연회장</v>
          </cell>
        </row>
        <row r="1764">
          <cell r="A1764">
            <v>70110728</v>
          </cell>
          <cell r="C1764" t="str">
            <v>최고급 소형 위장창고</v>
          </cell>
        </row>
        <row r="1765">
          <cell r="A1765">
            <v>70110729</v>
          </cell>
          <cell r="C1765" t="str">
            <v>최고급 소형 강화창고</v>
          </cell>
        </row>
        <row r="1766">
          <cell r="A1766">
            <v>70110800</v>
          </cell>
          <cell r="C1766" t="str">
            <v>낡은 소형 물자창고</v>
          </cell>
        </row>
        <row r="1767">
          <cell r="A1767">
            <v>70110801</v>
          </cell>
          <cell r="C1767" t="str">
            <v>낡은 소형 식료품 창고</v>
          </cell>
        </row>
        <row r="1768">
          <cell r="A1768">
            <v>70110802</v>
          </cell>
          <cell r="C1768" t="str">
            <v>낡은 소형 조미료 창고</v>
          </cell>
        </row>
        <row r="1769">
          <cell r="A1769">
            <v>70110803</v>
          </cell>
          <cell r="C1769" t="str">
            <v>낡은 소형 가축 창고</v>
          </cell>
        </row>
        <row r="1770">
          <cell r="A1770">
            <v>70110804</v>
          </cell>
          <cell r="C1770" t="str">
            <v>낡은 소형 의약품 창고</v>
          </cell>
        </row>
        <row r="1771">
          <cell r="A1771">
            <v>70110805</v>
          </cell>
          <cell r="C1771" t="str">
            <v>낡은 소형 잡화 창고</v>
          </cell>
        </row>
        <row r="1772">
          <cell r="A1772">
            <v>70110806</v>
          </cell>
          <cell r="C1772" t="str">
            <v>낡은 소형 주류 창고</v>
          </cell>
        </row>
        <row r="1773">
          <cell r="A1773">
            <v>70110807</v>
          </cell>
          <cell r="C1773" t="str">
            <v>낡은 소형 염료 창고</v>
          </cell>
        </row>
        <row r="1774">
          <cell r="A1774">
            <v>70110808</v>
          </cell>
          <cell r="C1774" t="str">
            <v>낡은 소형 광석 창고</v>
          </cell>
        </row>
        <row r="1775">
          <cell r="A1775">
            <v>70110809</v>
          </cell>
          <cell r="C1775" t="str">
            <v>낡은 소형 공업품 창고</v>
          </cell>
        </row>
        <row r="1776">
          <cell r="A1776">
            <v>70110810</v>
          </cell>
          <cell r="C1776" t="str">
            <v>낡은 소형 기호품 창고</v>
          </cell>
        </row>
        <row r="1777">
          <cell r="A1777">
            <v>70110811</v>
          </cell>
          <cell r="C1777" t="str">
            <v>낡은 소형 섬유 창고</v>
          </cell>
        </row>
        <row r="1778">
          <cell r="A1778">
            <v>70110812</v>
          </cell>
          <cell r="C1778" t="str">
            <v>낡은 소형 직물 창고</v>
          </cell>
        </row>
        <row r="1779">
          <cell r="A1779">
            <v>70110813</v>
          </cell>
          <cell r="C1779" t="str">
            <v>낡은 소형 공예품 창고</v>
          </cell>
        </row>
        <row r="1780">
          <cell r="A1780">
            <v>70110814</v>
          </cell>
          <cell r="C1780" t="str">
            <v>낡은 소형 미술품 창고</v>
          </cell>
        </row>
        <row r="1781">
          <cell r="A1781">
            <v>70110815</v>
          </cell>
          <cell r="C1781" t="str">
            <v>낡은 소형 향신료 창고</v>
          </cell>
        </row>
        <row r="1782">
          <cell r="A1782">
            <v>70110816</v>
          </cell>
          <cell r="C1782" t="str">
            <v>낡은 소형 귀금속 창고</v>
          </cell>
        </row>
        <row r="1783">
          <cell r="A1783">
            <v>70110817</v>
          </cell>
          <cell r="C1783" t="str">
            <v>낡은 소형 향료 창고</v>
          </cell>
        </row>
        <row r="1784">
          <cell r="A1784">
            <v>70110818</v>
          </cell>
          <cell r="C1784" t="str">
            <v>낡은 소형 보석 창고</v>
          </cell>
        </row>
        <row r="1785">
          <cell r="A1785">
            <v>70110819</v>
          </cell>
          <cell r="C1785" t="str">
            <v>낡은 소형 무기류 창고</v>
          </cell>
        </row>
        <row r="1786">
          <cell r="A1786">
            <v>70110820</v>
          </cell>
          <cell r="C1786" t="str">
            <v>낡은 소형 총포류 창고</v>
          </cell>
        </row>
        <row r="1787">
          <cell r="A1787">
            <v>70110821</v>
          </cell>
          <cell r="C1787" t="str">
            <v>낡은 소형 짐창고</v>
          </cell>
        </row>
        <row r="1788">
          <cell r="A1788">
            <v>70110822</v>
          </cell>
          <cell r="C1788" t="str">
            <v>낡은 소형 조수실</v>
          </cell>
        </row>
        <row r="1789">
          <cell r="A1789">
            <v>70110823</v>
          </cell>
          <cell r="C1789" t="str">
            <v>낡은 소형 선원실</v>
          </cell>
        </row>
        <row r="1790">
          <cell r="A1790">
            <v>70110824</v>
          </cell>
          <cell r="C1790" t="str">
            <v>낡은 소형 탄약창고</v>
          </cell>
        </row>
        <row r="1791">
          <cell r="A1791">
            <v>70110825</v>
          </cell>
          <cell r="C1791" t="str">
            <v>낡은 소형 무기창고</v>
          </cell>
        </row>
        <row r="1792">
          <cell r="A1792">
            <v>70110826</v>
          </cell>
          <cell r="C1792" t="str">
            <v>낡은 소형 휴게실</v>
          </cell>
        </row>
        <row r="1793">
          <cell r="A1793">
            <v>70110827</v>
          </cell>
          <cell r="C1793" t="str">
            <v>낡은 소형 연회장</v>
          </cell>
        </row>
        <row r="1794">
          <cell r="A1794">
            <v>70110828</v>
          </cell>
          <cell r="C1794" t="str">
            <v>낡은 소형 위장창고</v>
          </cell>
        </row>
        <row r="1795">
          <cell r="A1795">
            <v>70110829</v>
          </cell>
          <cell r="C1795" t="str">
            <v>낡은 소형 강화창고</v>
          </cell>
        </row>
        <row r="1796">
          <cell r="A1796">
            <v>70110900</v>
          </cell>
          <cell r="C1796" t="str">
            <v>소형 물자창고</v>
          </cell>
        </row>
        <row r="1797">
          <cell r="A1797">
            <v>70110901</v>
          </cell>
          <cell r="C1797" t="str">
            <v>소형 식료품 창고</v>
          </cell>
        </row>
        <row r="1798">
          <cell r="A1798">
            <v>70110902</v>
          </cell>
          <cell r="C1798" t="str">
            <v>소형 조미료 창고</v>
          </cell>
        </row>
        <row r="1799">
          <cell r="A1799">
            <v>70110903</v>
          </cell>
          <cell r="C1799" t="str">
            <v>소형 가축 창고</v>
          </cell>
        </row>
        <row r="1800">
          <cell r="A1800">
            <v>70110904</v>
          </cell>
          <cell r="C1800" t="str">
            <v>소형 의약품 창고</v>
          </cell>
        </row>
        <row r="1801">
          <cell r="A1801">
            <v>70110905</v>
          </cell>
          <cell r="C1801" t="str">
            <v>소형 잡화 창고</v>
          </cell>
        </row>
        <row r="1802">
          <cell r="A1802">
            <v>70110906</v>
          </cell>
          <cell r="C1802" t="str">
            <v>소형 주류 창고</v>
          </cell>
        </row>
        <row r="1803">
          <cell r="A1803">
            <v>70110907</v>
          </cell>
          <cell r="C1803" t="str">
            <v>소형 염료 창고</v>
          </cell>
        </row>
        <row r="1804">
          <cell r="A1804">
            <v>70110908</v>
          </cell>
          <cell r="C1804" t="str">
            <v>소형 광석 창고</v>
          </cell>
        </row>
        <row r="1805">
          <cell r="A1805">
            <v>70110909</v>
          </cell>
          <cell r="C1805" t="str">
            <v>소형 공업품 창고</v>
          </cell>
        </row>
        <row r="1806">
          <cell r="A1806">
            <v>70110910</v>
          </cell>
          <cell r="C1806" t="str">
            <v>소형 기호품 창고</v>
          </cell>
        </row>
        <row r="1807">
          <cell r="A1807">
            <v>70110911</v>
          </cell>
          <cell r="C1807" t="str">
            <v>소형 섬유 창고</v>
          </cell>
        </row>
        <row r="1808">
          <cell r="A1808">
            <v>70110912</v>
          </cell>
          <cell r="C1808" t="str">
            <v>소형 직물 창고</v>
          </cell>
        </row>
        <row r="1809">
          <cell r="A1809">
            <v>70110913</v>
          </cell>
          <cell r="C1809" t="str">
            <v>소형 공예품 창고</v>
          </cell>
        </row>
        <row r="1810">
          <cell r="A1810">
            <v>70110914</v>
          </cell>
          <cell r="C1810" t="str">
            <v>소형 미술품 창고</v>
          </cell>
        </row>
        <row r="1811">
          <cell r="A1811">
            <v>70110915</v>
          </cell>
          <cell r="C1811" t="str">
            <v>소형 향신료 창고</v>
          </cell>
        </row>
        <row r="1812">
          <cell r="A1812">
            <v>70110916</v>
          </cell>
          <cell r="C1812" t="str">
            <v>소형 귀금속 창고</v>
          </cell>
        </row>
        <row r="1813">
          <cell r="A1813">
            <v>70110917</v>
          </cell>
          <cell r="C1813" t="str">
            <v>소형 향료 창고</v>
          </cell>
        </row>
        <row r="1814">
          <cell r="A1814">
            <v>70110918</v>
          </cell>
          <cell r="C1814" t="str">
            <v>소형 보석 창고</v>
          </cell>
        </row>
        <row r="1815">
          <cell r="A1815">
            <v>70110919</v>
          </cell>
          <cell r="C1815" t="str">
            <v>소형 무기류 창고</v>
          </cell>
        </row>
        <row r="1816">
          <cell r="A1816">
            <v>70110920</v>
          </cell>
          <cell r="C1816" t="str">
            <v>소형 총포류 창고</v>
          </cell>
        </row>
        <row r="1817">
          <cell r="A1817">
            <v>70110921</v>
          </cell>
          <cell r="C1817" t="str">
            <v>소형 짐창고</v>
          </cell>
        </row>
        <row r="1818">
          <cell r="A1818">
            <v>70110922</v>
          </cell>
          <cell r="C1818" t="str">
            <v>소형 조수실</v>
          </cell>
        </row>
        <row r="1819">
          <cell r="A1819">
            <v>70110923</v>
          </cell>
          <cell r="C1819" t="str">
            <v>소형 선원실</v>
          </cell>
        </row>
        <row r="1820">
          <cell r="A1820">
            <v>70110924</v>
          </cell>
          <cell r="C1820" t="str">
            <v>소형 탄약창고</v>
          </cell>
        </row>
        <row r="1821">
          <cell r="A1821">
            <v>70110925</v>
          </cell>
          <cell r="C1821" t="str">
            <v>소형 무기창고</v>
          </cell>
        </row>
        <row r="1822">
          <cell r="A1822">
            <v>70110926</v>
          </cell>
          <cell r="C1822" t="str">
            <v>소형 휴게실</v>
          </cell>
        </row>
        <row r="1823">
          <cell r="A1823">
            <v>70110927</v>
          </cell>
          <cell r="C1823" t="str">
            <v>소형 연회장</v>
          </cell>
        </row>
        <row r="1824">
          <cell r="A1824">
            <v>70110928</v>
          </cell>
          <cell r="C1824" t="str">
            <v>소형 위장창고</v>
          </cell>
        </row>
        <row r="1825">
          <cell r="A1825">
            <v>70110929</v>
          </cell>
          <cell r="C1825" t="str">
            <v>소형 강화창고</v>
          </cell>
        </row>
        <row r="1826">
          <cell r="A1826">
            <v>70111000</v>
          </cell>
          <cell r="C1826" t="str">
            <v>고급 소형 물자창고</v>
          </cell>
        </row>
        <row r="1827">
          <cell r="A1827">
            <v>70111001</v>
          </cell>
          <cell r="C1827" t="str">
            <v>고급 소형 식료품 창고</v>
          </cell>
        </row>
        <row r="1828">
          <cell r="A1828">
            <v>70111002</v>
          </cell>
          <cell r="C1828" t="str">
            <v>고급 소형 조미료 창고</v>
          </cell>
        </row>
        <row r="1829">
          <cell r="A1829">
            <v>70111003</v>
          </cell>
          <cell r="C1829" t="str">
            <v>고급 소형 가축 창고</v>
          </cell>
        </row>
        <row r="1830">
          <cell r="A1830">
            <v>70111004</v>
          </cell>
          <cell r="C1830" t="str">
            <v>고급 소형 의약품 창고</v>
          </cell>
        </row>
        <row r="1831">
          <cell r="A1831">
            <v>70111005</v>
          </cell>
          <cell r="C1831" t="str">
            <v>고급 소형 잡화 창고</v>
          </cell>
        </row>
        <row r="1832">
          <cell r="A1832">
            <v>70111006</v>
          </cell>
          <cell r="C1832" t="str">
            <v>고급 소형 주류 창고</v>
          </cell>
        </row>
        <row r="1833">
          <cell r="A1833">
            <v>70111007</v>
          </cell>
          <cell r="C1833" t="str">
            <v>고급 소형 염료 창고</v>
          </cell>
        </row>
        <row r="1834">
          <cell r="A1834">
            <v>70111008</v>
          </cell>
          <cell r="C1834" t="str">
            <v>고급 소형 광석 창고</v>
          </cell>
        </row>
        <row r="1835">
          <cell r="A1835">
            <v>70111009</v>
          </cell>
          <cell r="C1835" t="str">
            <v>고급 소형 공업품 창고</v>
          </cell>
        </row>
        <row r="1836">
          <cell r="A1836">
            <v>70111010</v>
          </cell>
          <cell r="C1836" t="str">
            <v>고급 소형 기호품 창고</v>
          </cell>
        </row>
        <row r="1837">
          <cell r="A1837">
            <v>70111011</v>
          </cell>
          <cell r="C1837" t="str">
            <v>고급 소형 섬유 창고</v>
          </cell>
        </row>
        <row r="1838">
          <cell r="A1838">
            <v>70111012</v>
          </cell>
          <cell r="C1838" t="str">
            <v>고급 소형 직물 창고</v>
          </cell>
        </row>
        <row r="1839">
          <cell r="A1839">
            <v>70111013</v>
          </cell>
          <cell r="C1839" t="str">
            <v>고급 소형 공예품 창고</v>
          </cell>
        </row>
        <row r="1840">
          <cell r="A1840">
            <v>70111014</v>
          </cell>
          <cell r="C1840" t="str">
            <v>고급 소형 미술품 창고</v>
          </cell>
        </row>
        <row r="1841">
          <cell r="A1841">
            <v>70111015</v>
          </cell>
          <cell r="C1841" t="str">
            <v>고급 소형 향신료 창고</v>
          </cell>
        </row>
        <row r="1842">
          <cell r="A1842">
            <v>70111016</v>
          </cell>
          <cell r="C1842" t="str">
            <v>고급 소형 귀금속 창고</v>
          </cell>
        </row>
        <row r="1843">
          <cell r="A1843">
            <v>70111017</v>
          </cell>
          <cell r="C1843" t="str">
            <v>고급 소형 향료 창고</v>
          </cell>
        </row>
        <row r="1844">
          <cell r="A1844">
            <v>70111018</v>
          </cell>
          <cell r="C1844" t="str">
            <v>고급 소형 보석 창고</v>
          </cell>
        </row>
        <row r="1845">
          <cell r="A1845">
            <v>70111019</v>
          </cell>
          <cell r="C1845" t="str">
            <v>고급 소형 무기류 창고</v>
          </cell>
        </row>
        <row r="1846">
          <cell r="A1846">
            <v>70111020</v>
          </cell>
          <cell r="C1846" t="str">
            <v>고급 소형 총포류 창고</v>
          </cell>
        </row>
        <row r="1847">
          <cell r="A1847">
            <v>70111021</v>
          </cell>
          <cell r="C1847" t="str">
            <v>고급 소형 짐창고</v>
          </cell>
        </row>
        <row r="1848">
          <cell r="A1848">
            <v>70111022</v>
          </cell>
          <cell r="C1848" t="str">
            <v>고급 소형 조수실</v>
          </cell>
        </row>
        <row r="1849">
          <cell r="A1849">
            <v>70111023</v>
          </cell>
          <cell r="C1849" t="str">
            <v>고급 소형 선원실</v>
          </cell>
        </row>
        <row r="1850">
          <cell r="A1850">
            <v>70111024</v>
          </cell>
          <cell r="C1850" t="str">
            <v>고급 소형 탄약창고</v>
          </cell>
        </row>
        <row r="1851">
          <cell r="A1851">
            <v>70111025</v>
          </cell>
          <cell r="C1851" t="str">
            <v>고급 소형 무기창고</v>
          </cell>
        </row>
        <row r="1852">
          <cell r="A1852">
            <v>70111026</v>
          </cell>
          <cell r="C1852" t="str">
            <v>고급 소형 휴게실</v>
          </cell>
        </row>
        <row r="1853">
          <cell r="A1853">
            <v>70111027</v>
          </cell>
          <cell r="C1853" t="str">
            <v>고급 소형 연회장</v>
          </cell>
        </row>
        <row r="1854">
          <cell r="A1854">
            <v>70111028</v>
          </cell>
          <cell r="C1854" t="str">
            <v>고급 소형 위장창고</v>
          </cell>
        </row>
        <row r="1855">
          <cell r="A1855">
            <v>70111029</v>
          </cell>
          <cell r="C1855" t="str">
            <v>고급 소형 강화창고</v>
          </cell>
        </row>
        <row r="1856">
          <cell r="A1856">
            <v>70111100</v>
          </cell>
          <cell r="C1856" t="str">
            <v>최고급 소형 물자창고</v>
          </cell>
        </row>
        <row r="1857">
          <cell r="A1857">
            <v>70111101</v>
          </cell>
          <cell r="C1857" t="str">
            <v>최고급 소형 식료품 창고</v>
          </cell>
        </row>
        <row r="1858">
          <cell r="A1858">
            <v>70111102</v>
          </cell>
          <cell r="C1858" t="str">
            <v>최고급 소형 조미료 창고</v>
          </cell>
        </row>
        <row r="1859">
          <cell r="A1859">
            <v>70111103</v>
          </cell>
          <cell r="C1859" t="str">
            <v>최고급 소형 가축 창고</v>
          </cell>
        </row>
        <row r="1860">
          <cell r="A1860">
            <v>70111104</v>
          </cell>
          <cell r="C1860" t="str">
            <v>최고급 소형 의약품 창고</v>
          </cell>
        </row>
        <row r="1861">
          <cell r="A1861">
            <v>70111105</v>
          </cell>
          <cell r="C1861" t="str">
            <v>최고급 소형 잡화 창고</v>
          </cell>
        </row>
        <row r="1862">
          <cell r="A1862">
            <v>70111106</v>
          </cell>
          <cell r="C1862" t="str">
            <v>최고급 소형 주류 창고</v>
          </cell>
        </row>
        <row r="1863">
          <cell r="A1863">
            <v>70111107</v>
          </cell>
          <cell r="C1863" t="str">
            <v>최고급 소형 염료 창고</v>
          </cell>
        </row>
        <row r="1864">
          <cell r="A1864">
            <v>70111108</v>
          </cell>
          <cell r="C1864" t="str">
            <v>최고급 소형 광석 창고</v>
          </cell>
        </row>
        <row r="1865">
          <cell r="A1865">
            <v>70111109</v>
          </cell>
          <cell r="C1865" t="str">
            <v>최고급 소형 공업품 창고</v>
          </cell>
        </row>
        <row r="1866">
          <cell r="A1866">
            <v>70111110</v>
          </cell>
          <cell r="C1866" t="str">
            <v>최고급 소형 기호품 창고</v>
          </cell>
        </row>
        <row r="1867">
          <cell r="A1867">
            <v>70111111</v>
          </cell>
          <cell r="C1867" t="str">
            <v>최고급 소형 섬유 창고</v>
          </cell>
        </row>
        <row r="1868">
          <cell r="A1868">
            <v>70111112</v>
          </cell>
          <cell r="C1868" t="str">
            <v>최고급 소형 직물 창고</v>
          </cell>
        </row>
        <row r="1869">
          <cell r="A1869">
            <v>70111113</v>
          </cell>
          <cell r="C1869" t="str">
            <v>최고급 소형 공예품 창고</v>
          </cell>
        </row>
        <row r="1870">
          <cell r="A1870">
            <v>70111114</v>
          </cell>
          <cell r="C1870" t="str">
            <v>최고급 소형 미술품 창고</v>
          </cell>
        </row>
        <row r="1871">
          <cell r="A1871">
            <v>70111115</v>
          </cell>
          <cell r="C1871" t="str">
            <v>최고급 소형 향신료 창고</v>
          </cell>
        </row>
        <row r="1872">
          <cell r="A1872">
            <v>70111116</v>
          </cell>
          <cell r="C1872" t="str">
            <v>최고급 소형 귀금속 창고</v>
          </cell>
        </row>
        <row r="1873">
          <cell r="A1873">
            <v>70111117</v>
          </cell>
          <cell r="C1873" t="str">
            <v>최고급 소형 향료 창고</v>
          </cell>
        </row>
        <row r="1874">
          <cell r="A1874">
            <v>70111118</v>
          </cell>
          <cell r="C1874" t="str">
            <v>최고급 소형 보석 창고</v>
          </cell>
        </row>
        <row r="1875">
          <cell r="A1875">
            <v>70111119</v>
          </cell>
          <cell r="C1875" t="str">
            <v>최고급 소형 무기류 창고</v>
          </cell>
        </row>
        <row r="1876">
          <cell r="A1876">
            <v>70111120</v>
          </cell>
          <cell r="C1876" t="str">
            <v>최고급 소형 총포류 창고</v>
          </cell>
        </row>
        <row r="1877">
          <cell r="A1877">
            <v>70111121</v>
          </cell>
          <cell r="C1877" t="str">
            <v>최고급 소형 짐창고</v>
          </cell>
        </row>
        <row r="1878">
          <cell r="A1878">
            <v>70111122</v>
          </cell>
          <cell r="C1878" t="str">
            <v>최고급 소형 조수실</v>
          </cell>
        </row>
        <row r="1879">
          <cell r="A1879">
            <v>70111123</v>
          </cell>
          <cell r="C1879" t="str">
            <v>최고급 소형 선원실</v>
          </cell>
        </row>
        <row r="1880">
          <cell r="A1880">
            <v>70111124</v>
          </cell>
          <cell r="C1880" t="str">
            <v>최고급 소형 탄약창고</v>
          </cell>
        </row>
        <row r="1881">
          <cell r="A1881">
            <v>70111125</v>
          </cell>
          <cell r="C1881" t="str">
            <v>최고급 소형 무기창고</v>
          </cell>
        </row>
        <row r="1882">
          <cell r="A1882">
            <v>70111126</v>
          </cell>
          <cell r="C1882" t="str">
            <v>최고급 소형 휴게실</v>
          </cell>
        </row>
        <row r="1883">
          <cell r="A1883">
            <v>70111127</v>
          </cell>
          <cell r="C1883" t="str">
            <v>최고급 소형 연회장</v>
          </cell>
        </row>
        <row r="1884">
          <cell r="A1884">
            <v>70111128</v>
          </cell>
          <cell r="C1884" t="str">
            <v>최고급 소형 위장창고</v>
          </cell>
        </row>
        <row r="1885">
          <cell r="A1885">
            <v>70111129</v>
          </cell>
          <cell r="C1885" t="str">
            <v>최고급 소형 강화창고</v>
          </cell>
        </row>
        <row r="1886">
          <cell r="A1886">
            <v>70111200</v>
          </cell>
          <cell r="C1886" t="str">
            <v>낡은 소형 물자창고</v>
          </cell>
        </row>
        <row r="1887">
          <cell r="A1887">
            <v>70111201</v>
          </cell>
          <cell r="C1887" t="str">
            <v>낡은 소형 식료품 창고</v>
          </cell>
        </row>
        <row r="1888">
          <cell r="A1888">
            <v>70111202</v>
          </cell>
          <cell r="C1888" t="str">
            <v>낡은 소형 조미료 창고</v>
          </cell>
        </row>
        <row r="1889">
          <cell r="A1889">
            <v>70111203</v>
          </cell>
          <cell r="C1889" t="str">
            <v>낡은 소형 가축 창고</v>
          </cell>
        </row>
        <row r="1890">
          <cell r="A1890">
            <v>70111204</v>
          </cell>
          <cell r="C1890" t="str">
            <v>낡은 소형 의약품 창고</v>
          </cell>
        </row>
        <row r="1891">
          <cell r="A1891">
            <v>70111205</v>
          </cell>
          <cell r="C1891" t="str">
            <v>낡은 소형 잡화 창고</v>
          </cell>
        </row>
        <row r="1892">
          <cell r="A1892">
            <v>70111206</v>
          </cell>
          <cell r="C1892" t="str">
            <v>낡은 소형 주류 창고</v>
          </cell>
        </row>
        <row r="1893">
          <cell r="A1893">
            <v>70111207</v>
          </cell>
          <cell r="C1893" t="str">
            <v>낡은 소형 염료 창고</v>
          </cell>
        </row>
        <row r="1894">
          <cell r="A1894">
            <v>70111208</v>
          </cell>
          <cell r="C1894" t="str">
            <v>낡은 소형 광석 창고</v>
          </cell>
        </row>
        <row r="1895">
          <cell r="A1895">
            <v>70111209</v>
          </cell>
          <cell r="C1895" t="str">
            <v>낡은 소형 공업품 창고</v>
          </cell>
        </row>
        <row r="1896">
          <cell r="A1896">
            <v>70111210</v>
          </cell>
          <cell r="C1896" t="str">
            <v>낡은 소형 기호품 창고</v>
          </cell>
        </row>
        <row r="1897">
          <cell r="A1897">
            <v>70111211</v>
          </cell>
          <cell r="C1897" t="str">
            <v>낡은 소형 섬유 창고</v>
          </cell>
        </row>
        <row r="1898">
          <cell r="A1898">
            <v>70111212</v>
          </cell>
          <cell r="C1898" t="str">
            <v>낡은 소형 직물 창고</v>
          </cell>
        </row>
        <row r="1899">
          <cell r="A1899">
            <v>70111213</v>
          </cell>
          <cell r="C1899" t="str">
            <v>낡은 소형 공예품 창고</v>
          </cell>
        </row>
        <row r="1900">
          <cell r="A1900">
            <v>70111214</v>
          </cell>
          <cell r="C1900" t="str">
            <v>낡은 소형 미술품 창고</v>
          </cell>
        </row>
        <row r="1901">
          <cell r="A1901">
            <v>70111215</v>
          </cell>
          <cell r="C1901" t="str">
            <v>낡은 소형 향신료 창고</v>
          </cell>
        </row>
        <row r="1902">
          <cell r="A1902">
            <v>70111216</v>
          </cell>
          <cell r="C1902" t="str">
            <v>낡은 소형 귀금속 창고</v>
          </cell>
        </row>
        <row r="1903">
          <cell r="A1903">
            <v>70111217</v>
          </cell>
          <cell r="C1903" t="str">
            <v>낡은 소형 향료 창고</v>
          </cell>
        </row>
        <row r="1904">
          <cell r="A1904">
            <v>70111218</v>
          </cell>
          <cell r="C1904" t="str">
            <v>낡은 소형 보석 창고</v>
          </cell>
        </row>
        <row r="1905">
          <cell r="A1905">
            <v>70111219</v>
          </cell>
          <cell r="C1905" t="str">
            <v>낡은 소형 무기류 창고</v>
          </cell>
        </row>
        <row r="1906">
          <cell r="A1906">
            <v>70111220</v>
          </cell>
          <cell r="C1906" t="str">
            <v>낡은 소형 총포류 창고</v>
          </cell>
        </row>
        <row r="1907">
          <cell r="A1907">
            <v>70111221</v>
          </cell>
          <cell r="C1907" t="str">
            <v>낡은 소형 짐창고</v>
          </cell>
        </row>
        <row r="1908">
          <cell r="A1908">
            <v>70111222</v>
          </cell>
          <cell r="C1908" t="str">
            <v>낡은 소형 조수실</v>
          </cell>
        </row>
        <row r="1909">
          <cell r="A1909">
            <v>70111223</v>
          </cell>
          <cell r="C1909" t="str">
            <v>낡은 소형 선원실</v>
          </cell>
        </row>
        <row r="1910">
          <cell r="A1910">
            <v>70111224</v>
          </cell>
          <cell r="C1910" t="str">
            <v>낡은 소형 탄약창고</v>
          </cell>
        </row>
        <row r="1911">
          <cell r="A1911">
            <v>70111225</v>
          </cell>
          <cell r="C1911" t="str">
            <v>낡은 소형 무기창고</v>
          </cell>
        </row>
        <row r="1912">
          <cell r="A1912">
            <v>70111226</v>
          </cell>
          <cell r="C1912" t="str">
            <v>낡은 소형 휴게실</v>
          </cell>
        </row>
        <row r="1913">
          <cell r="A1913">
            <v>70111227</v>
          </cell>
          <cell r="C1913" t="str">
            <v>낡은 소형 연회장</v>
          </cell>
        </row>
        <row r="1914">
          <cell r="A1914">
            <v>70111228</v>
          </cell>
          <cell r="C1914" t="str">
            <v>낡은 소형 위장창고</v>
          </cell>
        </row>
        <row r="1915">
          <cell r="A1915">
            <v>70111229</v>
          </cell>
          <cell r="C1915" t="str">
            <v>낡은 소형 강화창고</v>
          </cell>
        </row>
        <row r="1916">
          <cell r="A1916">
            <v>70111300</v>
          </cell>
          <cell r="C1916" t="str">
            <v>소형 물자창고</v>
          </cell>
        </row>
        <row r="1917">
          <cell r="A1917">
            <v>70111301</v>
          </cell>
          <cell r="C1917" t="str">
            <v>소형 식료품 창고</v>
          </cell>
        </row>
        <row r="1918">
          <cell r="A1918">
            <v>70111302</v>
          </cell>
          <cell r="C1918" t="str">
            <v>소형 조미료 창고</v>
          </cell>
        </row>
        <row r="1919">
          <cell r="A1919">
            <v>70111303</v>
          </cell>
          <cell r="C1919" t="str">
            <v>소형 가축 창고</v>
          </cell>
        </row>
        <row r="1920">
          <cell r="A1920">
            <v>70111304</v>
          </cell>
          <cell r="C1920" t="str">
            <v>소형 의약품 창고</v>
          </cell>
        </row>
        <row r="1921">
          <cell r="A1921">
            <v>70111305</v>
          </cell>
          <cell r="C1921" t="str">
            <v>소형 잡화 창고</v>
          </cell>
        </row>
        <row r="1922">
          <cell r="A1922">
            <v>70111306</v>
          </cell>
          <cell r="C1922" t="str">
            <v>소형 주류 창고</v>
          </cell>
        </row>
        <row r="1923">
          <cell r="A1923">
            <v>70111307</v>
          </cell>
          <cell r="C1923" t="str">
            <v>소형 염료 창고</v>
          </cell>
        </row>
        <row r="1924">
          <cell r="A1924">
            <v>70111308</v>
          </cell>
          <cell r="C1924" t="str">
            <v>소형 광석 창고</v>
          </cell>
        </row>
        <row r="1925">
          <cell r="A1925">
            <v>70111309</v>
          </cell>
          <cell r="C1925" t="str">
            <v>소형 공업품 창고</v>
          </cell>
        </row>
        <row r="1926">
          <cell r="A1926">
            <v>70111310</v>
          </cell>
          <cell r="C1926" t="str">
            <v>소형 기호품 창고</v>
          </cell>
        </row>
        <row r="1927">
          <cell r="A1927">
            <v>70111311</v>
          </cell>
          <cell r="C1927" t="str">
            <v>소형 섬유 창고</v>
          </cell>
        </row>
        <row r="1928">
          <cell r="A1928">
            <v>70111312</v>
          </cell>
          <cell r="C1928" t="str">
            <v>소형 직물 창고</v>
          </cell>
        </row>
        <row r="1929">
          <cell r="A1929">
            <v>70111313</v>
          </cell>
          <cell r="C1929" t="str">
            <v>소형 공예품 창고</v>
          </cell>
        </row>
        <row r="1930">
          <cell r="A1930">
            <v>70111314</v>
          </cell>
          <cell r="C1930" t="str">
            <v>소형 미술품 창고</v>
          </cell>
        </row>
        <row r="1931">
          <cell r="A1931">
            <v>70111315</v>
          </cell>
          <cell r="C1931" t="str">
            <v>소형 향신료 창고</v>
          </cell>
        </row>
        <row r="1932">
          <cell r="A1932">
            <v>70111316</v>
          </cell>
          <cell r="C1932" t="str">
            <v>소형 귀금속 창고</v>
          </cell>
        </row>
        <row r="1933">
          <cell r="A1933">
            <v>70111317</v>
          </cell>
          <cell r="C1933" t="str">
            <v>소형 향료 창고</v>
          </cell>
        </row>
        <row r="1934">
          <cell r="A1934">
            <v>70111318</v>
          </cell>
          <cell r="C1934" t="str">
            <v>소형 보석 창고</v>
          </cell>
        </row>
        <row r="1935">
          <cell r="A1935">
            <v>70111319</v>
          </cell>
          <cell r="C1935" t="str">
            <v>소형 무기류 창고</v>
          </cell>
        </row>
        <row r="1936">
          <cell r="A1936">
            <v>70111320</v>
          </cell>
          <cell r="C1936" t="str">
            <v>소형 총포류 창고</v>
          </cell>
        </row>
        <row r="1937">
          <cell r="A1937">
            <v>70111321</v>
          </cell>
          <cell r="C1937" t="str">
            <v>소형 짐창고</v>
          </cell>
        </row>
        <row r="1938">
          <cell r="A1938">
            <v>70111322</v>
          </cell>
          <cell r="C1938" t="str">
            <v>소형 조수실</v>
          </cell>
        </row>
        <row r="1939">
          <cell r="A1939">
            <v>70111323</v>
          </cell>
          <cell r="C1939" t="str">
            <v>소형 선원실</v>
          </cell>
        </row>
        <row r="1940">
          <cell r="A1940">
            <v>70111324</v>
          </cell>
          <cell r="C1940" t="str">
            <v>소형 탄약창고</v>
          </cell>
        </row>
        <row r="1941">
          <cell r="A1941">
            <v>70111325</v>
          </cell>
          <cell r="C1941" t="str">
            <v>소형 무기창고</v>
          </cell>
        </row>
        <row r="1942">
          <cell r="A1942">
            <v>70111326</v>
          </cell>
          <cell r="C1942" t="str">
            <v>소형 휴게실</v>
          </cell>
        </row>
        <row r="1943">
          <cell r="A1943">
            <v>70111327</v>
          </cell>
          <cell r="C1943" t="str">
            <v>소형 연회장</v>
          </cell>
        </row>
        <row r="1944">
          <cell r="A1944">
            <v>70111328</v>
          </cell>
          <cell r="C1944" t="str">
            <v>소형 위장창고</v>
          </cell>
        </row>
        <row r="1945">
          <cell r="A1945">
            <v>70111329</v>
          </cell>
          <cell r="C1945" t="str">
            <v>소형 강화창고</v>
          </cell>
        </row>
        <row r="1946">
          <cell r="A1946">
            <v>70111400</v>
          </cell>
          <cell r="C1946" t="str">
            <v>고급 소형 물자창고</v>
          </cell>
        </row>
        <row r="1947">
          <cell r="A1947">
            <v>70111401</v>
          </cell>
          <cell r="C1947" t="str">
            <v>고급 소형 식료품 창고</v>
          </cell>
        </row>
        <row r="1948">
          <cell r="A1948">
            <v>70111402</v>
          </cell>
          <cell r="C1948" t="str">
            <v>고급 소형 조미료 창고</v>
          </cell>
        </row>
        <row r="1949">
          <cell r="A1949">
            <v>70111403</v>
          </cell>
          <cell r="C1949" t="str">
            <v>고급 소형 가축 창고</v>
          </cell>
        </row>
        <row r="1950">
          <cell r="A1950">
            <v>70111404</v>
          </cell>
          <cell r="C1950" t="str">
            <v>고급 소형 의약품 창고</v>
          </cell>
        </row>
        <row r="1951">
          <cell r="A1951">
            <v>70111405</v>
          </cell>
          <cell r="C1951" t="str">
            <v>고급 소형 잡화 창고</v>
          </cell>
        </row>
        <row r="1952">
          <cell r="A1952">
            <v>70111406</v>
          </cell>
          <cell r="C1952" t="str">
            <v>고급 소형 주류 창고</v>
          </cell>
        </row>
        <row r="1953">
          <cell r="A1953">
            <v>70111407</v>
          </cell>
          <cell r="C1953" t="str">
            <v>고급 소형 염료 창고</v>
          </cell>
        </row>
        <row r="1954">
          <cell r="A1954">
            <v>70111408</v>
          </cell>
          <cell r="C1954" t="str">
            <v>고급 소형 광석 창고</v>
          </cell>
        </row>
        <row r="1955">
          <cell r="A1955">
            <v>70111409</v>
          </cell>
          <cell r="C1955" t="str">
            <v>고급 소형 공업품 창고</v>
          </cell>
        </row>
        <row r="1956">
          <cell r="A1956">
            <v>70111410</v>
          </cell>
          <cell r="C1956" t="str">
            <v>고급 소형 기호품 창고</v>
          </cell>
        </row>
        <row r="1957">
          <cell r="A1957">
            <v>70111411</v>
          </cell>
          <cell r="C1957" t="str">
            <v>고급 소형 섬유 창고</v>
          </cell>
        </row>
        <row r="1958">
          <cell r="A1958">
            <v>70111412</v>
          </cell>
          <cell r="C1958" t="str">
            <v>고급 소형 직물 창고</v>
          </cell>
        </row>
        <row r="1959">
          <cell r="A1959">
            <v>70111413</v>
          </cell>
          <cell r="C1959" t="str">
            <v>고급 소형 공예품 창고</v>
          </cell>
        </row>
        <row r="1960">
          <cell r="A1960">
            <v>70111414</v>
          </cell>
          <cell r="C1960" t="str">
            <v>고급 소형 미술품 창고</v>
          </cell>
        </row>
        <row r="1961">
          <cell r="A1961">
            <v>70111415</v>
          </cell>
          <cell r="C1961" t="str">
            <v>고급 소형 향신료 창고</v>
          </cell>
        </row>
        <row r="1962">
          <cell r="A1962">
            <v>70111416</v>
          </cell>
          <cell r="C1962" t="str">
            <v>고급 소형 귀금속 창고</v>
          </cell>
        </row>
        <row r="1963">
          <cell r="A1963">
            <v>70111417</v>
          </cell>
          <cell r="C1963" t="str">
            <v>고급 소형 향료 창고</v>
          </cell>
        </row>
        <row r="1964">
          <cell r="A1964">
            <v>70111418</v>
          </cell>
          <cell r="C1964" t="str">
            <v>고급 소형 보석 창고</v>
          </cell>
        </row>
        <row r="1965">
          <cell r="A1965">
            <v>70111419</v>
          </cell>
          <cell r="C1965" t="str">
            <v>고급 소형 무기류 창고</v>
          </cell>
        </row>
        <row r="1966">
          <cell r="A1966">
            <v>70111420</v>
          </cell>
          <cell r="C1966" t="str">
            <v>고급 소형 총포류 창고</v>
          </cell>
        </row>
        <row r="1967">
          <cell r="A1967">
            <v>70111421</v>
          </cell>
          <cell r="C1967" t="str">
            <v>고급 소형 짐창고</v>
          </cell>
        </row>
        <row r="1968">
          <cell r="A1968">
            <v>70111422</v>
          </cell>
          <cell r="C1968" t="str">
            <v>고급 소형 조수실</v>
          </cell>
        </row>
        <row r="1969">
          <cell r="A1969">
            <v>70111423</v>
          </cell>
          <cell r="C1969" t="str">
            <v>고급 소형 선원실</v>
          </cell>
        </row>
        <row r="1970">
          <cell r="A1970">
            <v>70111424</v>
          </cell>
          <cell r="C1970" t="str">
            <v>고급 소형 탄약창고</v>
          </cell>
        </row>
        <row r="1971">
          <cell r="A1971">
            <v>70111425</v>
          </cell>
          <cell r="C1971" t="str">
            <v>고급 소형 무기창고</v>
          </cell>
        </row>
        <row r="1972">
          <cell r="A1972">
            <v>70111426</v>
          </cell>
          <cell r="C1972" t="str">
            <v>고급 소형 휴게실</v>
          </cell>
        </row>
        <row r="1973">
          <cell r="A1973">
            <v>70111427</v>
          </cell>
          <cell r="C1973" t="str">
            <v>고급 소형 연회장</v>
          </cell>
        </row>
        <row r="1974">
          <cell r="A1974">
            <v>70111428</v>
          </cell>
          <cell r="C1974" t="str">
            <v>고급 소형 위장창고</v>
          </cell>
        </row>
        <row r="1975">
          <cell r="A1975">
            <v>70111429</v>
          </cell>
          <cell r="C1975" t="str">
            <v>고급 소형 강화창고</v>
          </cell>
        </row>
        <row r="1976">
          <cell r="A1976">
            <v>70111500</v>
          </cell>
          <cell r="C1976" t="str">
            <v>최고급 소형 물자창고</v>
          </cell>
        </row>
        <row r="1977">
          <cell r="A1977">
            <v>70111501</v>
          </cell>
          <cell r="C1977" t="str">
            <v>최고급 소형 식료품 창고</v>
          </cell>
        </row>
        <row r="1978">
          <cell r="A1978">
            <v>70111502</v>
          </cell>
          <cell r="C1978" t="str">
            <v>최고급 소형 조미료 창고</v>
          </cell>
        </row>
        <row r="1979">
          <cell r="A1979">
            <v>70111503</v>
          </cell>
          <cell r="C1979" t="str">
            <v>최고급 소형 가축 창고</v>
          </cell>
        </row>
        <row r="1980">
          <cell r="A1980">
            <v>70111504</v>
          </cell>
          <cell r="C1980" t="str">
            <v>최고급 소형 의약품 창고</v>
          </cell>
        </row>
        <row r="1981">
          <cell r="A1981">
            <v>70111505</v>
          </cell>
          <cell r="C1981" t="str">
            <v>최고급 소형 잡화 창고</v>
          </cell>
        </row>
        <row r="1982">
          <cell r="A1982">
            <v>70111506</v>
          </cell>
          <cell r="C1982" t="str">
            <v>최고급 소형 주류 창고</v>
          </cell>
        </row>
        <row r="1983">
          <cell r="A1983">
            <v>70111507</v>
          </cell>
          <cell r="C1983" t="str">
            <v>최고급 소형 염료 창고</v>
          </cell>
        </row>
        <row r="1984">
          <cell r="A1984">
            <v>70111508</v>
          </cell>
          <cell r="C1984" t="str">
            <v>최고급 소형 광석 창고</v>
          </cell>
        </row>
        <row r="1985">
          <cell r="A1985">
            <v>70111509</v>
          </cell>
          <cell r="C1985" t="str">
            <v>최고급 소형 공업품 창고</v>
          </cell>
        </row>
        <row r="1986">
          <cell r="A1986">
            <v>70111510</v>
          </cell>
          <cell r="C1986" t="str">
            <v>최고급 소형 기호품 창고</v>
          </cell>
        </row>
        <row r="1987">
          <cell r="A1987">
            <v>70111511</v>
          </cell>
          <cell r="C1987" t="str">
            <v>최고급 소형 섬유 창고</v>
          </cell>
        </row>
        <row r="1988">
          <cell r="A1988">
            <v>70111512</v>
          </cell>
          <cell r="C1988" t="str">
            <v>최고급 소형 직물 창고</v>
          </cell>
        </row>
        <row r="1989">
          <cell r="A1989">
            <v>70111513</v>
          </cell>
          <cell r="C1989" t="str">
            <v>최고급 소형 공예품 창고</v>
          </cell>
        </row>
        <row r="1990">
          <cell r="A1990">
            <v>70111514</v>
          </cell>
          <cell r="C1990" t="str">
            <v>최고급 소형 미술품 창고</v>
          </cell>
        </row>
        <row r="1991">
          <cell r="A1991">
            <v>70111515</v>
          </cell>
          <cell r="C1991" t="str">
            <v>최고급 소형 향신료 창고</v>
          </cell>
        </row>
        <row r="1992">
          <cell r="A1992">
            <v>70111516</v>
          </cell>
          <cell r="C1992" t="str">
            <v>최고급 소형 귀금속 창고</v>
          </cell>
        </row>
        <row r="1993">
          <cell r="A1993">
            <v>70111517</v>
          </cell>
          <cell r="C1993" t="str">
            <v>최고급 소형 향료 창고</v>
          </cell>
        </row>
        <row r="1994">
          <cell r="A1994">
            <v>70111518</v>
          </cell>
          <cell r="C1994" t="str">
            <v>최고급 소형 보석 창고</v>
          </cell>
        </row>
        <row r="1995">
          <cell r="A1995">
            <v>70111519</v>
          </cell>
          <cell r="C1995" t="str">
            <v>최고급 소형 무기류 창고</v>
          </cell>
        </row>
        <row r="1996">
          <cell r="A1996">
            <v>70111520</v>
          </cell>
          <cell r="C1996" t="str">
            <v>최고급 소형 총포류 창고</v>
          </cell>
        </row>
        <row r="1997">
          <cell r="A1997">
            <v>70111521</v>
          </cell>
          <cell r="C1997" t="str">
            <v>최고급 소형 짐창고</v>
          </cell>
        </row>
        <row r="1998">
          <cell r="A1998">
            <v>70111522</v>
          </cell>
          <cell r="C1998" t="str">
            <v>최고급 소형 조수실</v>
          </cell>
        </row>
        <row r="1999">
          <cell r="A1999">
            <v>70111523</v>
          </cell>
          <cell r="C1999" t="str">
            <v>최고급 소형 선원실</v>
          </cell>
        </row>
        <row r="2000">
          <cell r="A2000">
            <v>70111524</v>
          </cell>
          <cell r="C2000" t="str">
            <v>최고급 소형 탄약창고</v>
          </cell>
        </row>
        <row r="2001">
          <cell r="A2001">
            <v>70111525</v>
          </cell>
          <cell r="C2001" t="str">
            <v>최고급 소형 무기창고</v>
          </cell>
        </row>
        <row r="2002">
          <cell r="A2002">
            <v>70111526</v>
          </cell>
          <cell r="C2002" t="str">
            <v>최고급 소형 휴게실</v>
          </cell>
        </row>
        <row r="2003">
          <cell r="A2003">
            <v>70111527</v>
          </cell>
          <cell r="C2003" t="str">
            <v>최고급 소형 연회장</v>
          </cell>
        </row>
        <row r="2004">
          <cell r="A2004">
            <v>70111528</v>
          </cell>
          <cell r="C2004" t="str">
            <v>최고급 소형 위장창고</v>
          </cell>
        </row>
        <row r="2005">
          <cell r="A2005">
            <v>70111529</v>
          </cell>
          <cell r="C2005" t="str">
            <v>최고급 소형 강화창고</v>
          </cell>
        </row>
        <row r="2006">
          <cell r="A2006">
            <v>70111600</v>
          </cell>
          <cell r="C2006" t="str">
            <v>낡은 중형 물자창고</v>
          </cell>
        </row>
        <row r="2007">
          <cell r="A2007">
            <v>70111601</v>
          </cell>
          <cell r="C2007" t="str">
            <v>낡은 중형 식료품 창고</v>
          </cell>
        </row>
        <row r="2008">
          <cell r="A2008">
            <v>70111602</v>
          </cell>
          <cell r="C2008" t="str">
            <v>낡은 중형 조미료 창고</v>
          </cell>
        </row>
        <row r="2009">
          <cell r="A2009">
            <v>70111603</v>
          </cell>
          <cell r="C2009" t="str">
            <v>낡은 중형 가축 창고</v>
          </cell>
        </row>
        <row r="2010">
          <cell r="A2010">
            <v>70111604</v>
          </cell>
          <cell r="C2010" t="str">
            <v>낡은 중형 의약품 창고</v>
          </cell>
        </row>
        <row r="2011">
          <cell r="A2011">
            <v>70111605</v>
          </cell>
          <cell r="C2011" t="str">
            <v>낡은 중형 잡화 창고</v>
          </cell>
        </row>
        <row r="2012">
          <cell r="A2012">
            <v>70111606</v>
          </cell>
          <cell r="C2012" t="str">
            <v>낡은 중형 주류 창고</v>
          </cell>
        </row>
        <row r="2013">
          <cell r="A2013">
            <v>70111607</v>
          </cell>
          <cell r="C2013" t="str">
            <v>낡은 중형 염료 창고</v>
          </cell>
        </row>
        <row r="2014">
          <cell r="A2014">
            <v>70111608</v>
          </cell>
          <cell r="C2014" t="str">
            <v>낡은 중형 광석 창고</v>
          </cell>
        </row>
        <row r="2015">
          <cell r="A2015">
            <v>70111609</v>
          </cell>
          <cell r="C2015" t="str">
            <v>낡은 중형 공업품 창고</v>
          </cell>
        </row>
        <row r="2016">
          <cell r="A2016">
            <v>70111610</v>
          </cell>
          <cell r="C2016" t="str">
            <v>낡은 중형 기호품 창고</v>
          </cell>
        </row>
        <row r="2017">
          <cell r="A2017">
            <v>70111611</v>
          </cell>
          <cell r="C2017" t="str">
            <v>낡은 중형 섬유 창고</v>
          </cell>
        </row>
        <row r="2018">
          <cell r="A2018">
            <v>70111612</v>
          </cell>
          <cell r="C2018" t="str">
            <v>낡은 중형 직물 창고</v>
          </cell>
        </row>
        <row r="2019">
          <cell r="A2019">
            <v>70111613</v>
          </cell>
          <cell r="C2019" t="str">
            <v>낡은 중형 공예품 창고</v>
          </cell>
        </row>
        <row r="2020">
          <cell r="A2020">
            <v>70111614</v>
          </cell>
          <cell r="C2020" t="str">
            <v>낡은 중형 미술품 창고</v>
          </cell>
        </row>
        <row r="2021">
          <cell r="A2021">
            <v>70111615</v>
          </cell>
          <cell r="C2021" t="str">
            <v>낡은 중형 향신료 창고</v>
          </cell>
        </row>
        <row r="2022">
          <cell r="A2022">
            <v>70111616</v>
          </cell>
          <cell r="C2022" t="str">
            <v>낡은 중형 귀금속 창고</v>
          </cell>
        </row>
        <row r="2023">
          <cell r="A2023">
            <v>70111617</v>
          </cell>
          <cell r="C2023" t="str">
            <v>낡은 중형 향료 창고</v>
          </cell>
        </row>
        <row r="2024">
          <cell r="A2024">
            <v>70111618</v>
          </cell>
          <cell r="C2024" t="str">
            <v>낡은 중형 보석 창고</v>
          </cell>
        </row>
        <row r="2025">
          <cell r="A2025">
            <v>70111619</v>
          </cell>
          <cell r="C2025" t="str">
            <v>낡은 중형 무기류 창고</v>
          </cell>
        </row>
        <row r="2026">
          <cell r="A2026">
            <v>70111620</v>
          </cell>
          <cell r="C2026" t="str">
            <v>낡은 중형 총포류 창고</v>
          </cell>
        </row>
        <row r="2027">
          <cell r="A2027">
            <v>70111621</v>
          </cell>
          <cell r="C2027" t="str">
            <v>낡은 중형 짐창고</v>
          </cell>
        </row>
        <row r="2028">
          <cell r="A2028">
            <v>70111622</v>
          </cell>
          <cell r="C2028" t="str">
            <v>낡은 중형 조수실</v>
          </cell>
        </row>
        <row r="2029">
          <cell r="A2029">
            <v>70111623</v>
          </cell>
          <cell r="C2029" t="str">
            <v>낡은 중형 선원실</v>
          </cell>
        </row>
        <row r="2030">
          <cell r="A2030">
            <v>70111624</v>
          </cell>
          <cell r="C2030" t="str">
            <v>낡은 중형 탄약창고</v>
          </cell>
        </row>
        <row r="2031">
          <cell r="A2031">
            <v>70111625</v>
          </cell>
          <cell r="C2031" t="str">
            <v>낡은 중형 무기창고</v>
          </cell>
        </row>
        <row r="2032">
          <cell r="A2032">
            <v>70111626</v>
          </cell>
          <cell r="C2032" t="str">
            <v>낡은 중형 휴게실</v>
          </cell>
        </row>
        <row r="2033">
          <cell r="A2033">
            <v>70111627</v>
          </cell>
          <cell r="C2033" t="str">
            <v>낡은 중형 연회장</v>
          </cell>
        </row>
        <row r="2034">
          <cell r="A2034">
            <v>70111628</v>
          </cell>
          <cell r="C2034" t="str">
            <v>낡은 중형 위장창고</v>
          </cell>
        </row>
        <row r="2035">
          <cell r="A2035">
            <v>70111629</v>
          </cell>
          <cell r="C2035" t="str">
            <v>낡은 중형 강화창고</v>
          </cell>
        </row>
        <row r="2036">
          <cell r="A2036">
            <v>70111700</v>
          </cell>
          <cell r="C2036" t="str">
            <v>중형 물자창고</v>
          </cell>
        </row>
        <row r="2037">
          <cell r="A2037">
            <v>70111701</v>
          </cell>
          <cell r="C2037" t="str">
            <v>중형 식료품 창고</v>
          </cell>
        </row>
        <row r="2038">
          <cell r="A2038">
            <v>70111702</v>
          </cell>
          <cell r="C2038" t="str">
            <v>중형 조미료 창고</v>
          </cell>
        </row>
        <row r="2039">
          <cell r="A2039">
            <v>70111703</v>
          </cell>
          <cell r="C2039" t="str">
            <v>중형 가축 창고</v>
          </cell>
        </row>
        <row r="2040">
          <cell r="A2040">
            <v>70111704</v>
          </cell>
          <cell r="C2040" t="str">
            <v>중형 의약품 창고</v>
          </cell>
        </row>
        <row r="2041">
          <cell r="A2041">
            <v>70111705</v>
          </cell>
          <cell r="C2041" t="str">
            <v>중형 잡화 창고</v>
          </cell>
        </row>
        <row r="2042">
          <cell r="A2042">
            <v>70111706</v>
          </cell>
          <cell r="C2042" t="str">
            <v>중형 주류 창고</v>
          </cell>
        </row>
        <row r="2043">
          <cell r="A2043">
            <v>70111707</v>
          </cell>
          <cell r="C2043" t="str">
            <v>중형 염료 창고</v>
          </cell>
        </row>
        <row r="2044">
          <cell r="A2044">
            <v>70111708</v>
          </cell>
          <cell r="C2044" t="str">
            <v>중형 광석 창고</v>
          </cell>
        </row>
        <row r="2045">
          <cell r="A2045">
            <v>70111709</v>
          </cell>
          <cell r="C2045" t="str">
            <v>중형 공업품 창고</v>
          </cell>
        </row>
        <row r="2046">
          <cell r="A2046">
            <v>70111710</v>
          </cell>
          <cell r="C2046" t="str">
            <v>중형 기호품 창고</v>
          </cell>
        </row>
        <row r="2047">
          <cell r="A2047">
            <v>70111711</v>
          </cell>
          <cell r="C2047" t="str">
            <v>중형 섬유 창고</v>
          </cell>
        </row>
        <row r="2048">
          <cell r="A2048">
            <v>70111712</v>
          </cell>
          <cell r="C2048" t="str">
            <v>중형 직물 창고</v>
          </cell>
        </row>
        <row r="2049">
          <cell r="A2049">
            <v>70111713</v>
          </cell>
          <cell r="C2049" t="str">
            <v>중형 공예품 창고</v>
          </cell>
        </row>
        <row r="2050">
          <cell r="A2050">
            <v>70111714</v>
          </cell>
          <cell r="C2050" t="str">
            <v>중형 미술품 창고</v>
          </cell>
        </row>
        <row r="2051">
          <cell r="A2051">
            <v>70111715</v>
          </cell>
          <cell r="C2051" t="str">
            <v>중형 향신료 창고</v>
          </cell>
        </row>
        <row r="2052">
          <cell r="A2052">
            <v>70111716</v>
          </cell>
          <cell r="C2052" t="str">
            <v>중형 귀금속 창고</v>
          </cell>
        </row>
        <row r="2053">
          <cell r="A2053">
            <v>70111717</v>
          </cell>
          <cell r="C2053" t="str">
            <v>중형 향료 창고</v>
          </cell>
        </row>
        <row r="2054">
          <cell r="A2054">
            <v>70111718</v>
          </cell>
          <cell r="C2054" t="str">
            <v>중형 보석 창고</v>
          </cell>
        </row>
        <row r="2055">
          <cell r="A2055">
            <v>70111719</v>
          </cell>
          <cell r="C2055" t="str">
            <v>중형 무기류 창고</v>
          </cell>
        </row>
        <row r="2056">
          <cell r="A2056">
            <v>70111720</v>
          </cell>
          <cell r="C2056" t="str">
            <v>중형 총포류 창고</v>
          </cell>
        </row>
        <row r="2057">
          <cell r="A2057">
            <v>70111721</v>
          </cell>
          <cell r="C2057" t="str">
            <v>중형 짐창고</v>
          </cell>
        </row>
        <row r="2058">
          <cell r="A2058">
            <v>70111722</v>
          </cell>
          <cell r="C2058" t="str">
            <v>중형 조수실</v>
          </cell>
        </row>
        <row r="2059">
          <cell r="A2059">
            <v>70111723</v>
          </cell>
          <cell r="C2059" t="str">
            <v>중형 선원실</v>
          </cell>
        </row>
        <row r="2060">
          <cell r="A2060">
            <v>70111724</v>
          </cell>
          <cell r="C2060" t="str">
            <v>중형 탄약창고</v>
          </cell>
        </row>
        <row r="2061">
          <cell r="A2061">
            <v>70111725</v>
          </cell>
          <cell r="C2061" t="str">
            <v>중형 무기창고</v>
          </cell>
        </row>
        <row r="2062">
          <cell r="A2062">
            <v>70111726</v>
          </cell>
          <cell r="C2062" t="str">
            <v>중형 휴게실</v>
          </cell>
        </row>
        <row r="2063">
          <cell r="A2063">
            <v>70111727</v>
          </cell>
          <cell r="C2063" t="str">
            <v>중형 연회장</v>
          </cell>
        </row>
        <row r="2064">
          <cell r="A2064">
            <v>70111728</v>
          </cell>
          <cell r="C2064" t="str">
            <v>중형 위장창고</v>
          </cell>
        </row>
        <row r="2065">
          <cell r="A2065">
            <v>70111729</v>
          </cell>
          <cell r="C2065" t="str">
            <v>중형 강화창고</v>
          </cell>
        </row>
        <row r="2066">
          <cell r="A2066">
            <v>70111800</v>
          </cell>
          <cell r="C2066" t="str">
            <v>고급 중형 물자창고</v>
          </cell>
        </row>
        <row r="2067">
          <cell r="A2067">
            <v>70111801</v>
          </cell>
          <cell r="C2067" t="str">
            <v>고급 중형 식료품 창고</v>
          </cell>
        </row>
        <row r="2068">
          <cell r="A2068">
            <v>70111802</v>
          </cell>
          <cell r="C2068" t="str">
            <v>고급 중형 조미료 창고</v>
          </cell>
        </row>
        <row r="2069">
          <cell r="A2069">
            <v>70111803</v>
          </cell>
          <cell r="C2069" t="str">
            <v>고급 중형 가축 창고</v>
          </cell>
        </row>
        <row r="2070">
          <cell r="A2070">
            <v>70111804</v>
          </cell>
          <cell r="C2070" t="str">
            <v>고급 중형 의약품 창고</v>
          </cell>
        </row>
        <row r="2071">
          <cell r="A2071">
            <v>70111805</v>
          </cell>
          <cell r="C2071" t="str">
            <v>고급 중형 잡화 창고</v>
          </cell>
        </row>
        <row r="2072">
          <cell r="A2072">
            <v>70111806</v>
          </cell>
          <cell r="C2072" t="str">
            <v>고급 중형 주류 창고</v>
          </cell>
        </row>
        <row r="2073">
          <cell r="A2073">
            <v>70111807</v>
          </cell>
          <cell r="C2073" t="str">
            <v>고급 중형 염료 창고</v>
          </cell>
        </row>
        <row r="2074">
          <cell r="A2074">
            <v>70111808</v>
          </cell>
          <cell r="C2074" t="str">
            <v>고급 중형 광석 창고</v>
          </cell>
        </row>
        <row r="2075">
          <cell r="A2075">
            <v>70111809</v>
          </cell>
          <cell r="C2075" t="str">
            <v>고급 중형 공업품 창고</v>
          </cell>
        </row>
        <row r="2076">
          <cell r="A2076">
            <v>70111810</v>
          </cell>
          <cell r="C2076" t="str">
            <v>고급 중형 기호품 창고</v>
          </cell>
        </row>
        <row r="2077">
          <cell r="A2077">
            <v>70111811</v>
          </cell>
          <cell r="C2077" t="str">
            <v>고급 중형 섬유 창고</v>
          </cell>
        </row>
        <row r="2078">
          <cell r="A2078">
            <v>70111812</v>
          </cell>
          <cell r="C2078" t="str">
            <v>고급 중형 직물 창고</v>
          </cell>
        </row>
        <row r="2079">
          <cell r="A2079">
            <v>70111813</v>
          </cell>
          <cell r="C2079" t="str">
            <v>고급 중형 공예품 창고</v>
          </cell>
        </row>
        <row r="2080">
          <cell r="A2080">
            <v>70111814</v>
          </cell>
          <cell r="C2080" t="str">
            <v>고급 중형 미술품 창고</v>
          </cell>
        </row>
        <row r="2081">
          <cell r="A2081">
            <v>70111815</v>
          </cell>
          <cell r="C2081" t="str">
            <v>고급 중형 향신료 창고</v>
          </cell>
        </row>
        <row r="2082">
          <cell r="A2082">
            <v>70111816</v>
          </cell>
          <cell r="C2082" t="str">
            <v>고급 중형 귀금속 창고</v>
          </cell>
        </row>
        <row r="2083">
          <cell r="A2083">
            <v>70111817</v>
          </cell>
          <cell r="C2083" t="str">
            <v>고급 중형 향료 창고</v>
          </cell>
        </row>
        <row r="2084">
          <cell r="A2084">
            <v>70111818</v>
          </cell>
          <cell r="C2084" t="str">
            <v>고급 중형 보석 창고</v>
          </cell>
        </row>
        <row r="2085">
          <cell r="A2085">
            <v>70111819</v>
          </cell>
          <cell r="C2085" t="str">
            <v>고급 중형 무기류 창고</v>
          </cell>
        </row>
        <row r="2086">
          <cell r="A2086">
            <v>70111820</v>
          </cell>
          <cell r="C2086" t="str">
            <v>고급 중형 총포류 창고</v>
          </cell>
        </row>
        <row r="2087">
          <cell r="A2087">
            <v>70111821</v>
          </cell>
          <cell r="C2087" t="str">
            <v>고급 중형 짐창고</v>
          </cell>
        </row>
        <row r="2088">
          <cell r="A2088">
            <v>70111822</v>
          </cell>
          <cell r="C2088" t="str">
            <v>고급 중형 조수실</v>
          </cell>
        </row>
        <row r="2089">
          <cell r="A2089">
            <v>70111823</v>
          </cell>
          <cell r="C2089" t="str">
            <v>고급 중형 선원실</v>
          </cell>
        </row>
        <row r="2090">
          <cell r="A2090">
            <v>70111824</v>
          </cell>
          <cell r="C2090" t="str">
            <v>고급 중형 탄약창고</v>
          </cell>
        </row>
        <row r="2091">
          <cell r="A2091">
            <v>70111825</v>
          </cell>
          <cell r="C2091" t="str">
            <v>고급 중형 무기창고</v>
          </cell>
        </row>
        <row r="2092">
          <cell r="A2092">
            <v>70111826</v>
          </cell>
          <cell r="C2092" t="str">
            <v>고급 중형 휴게실</v>
          </cell>
        </row>
        <row r="2093">
          <cell r="A2093">
            <v>70111827</v>
          </cell>
          <cell r="C2093" t="str">
            <v>고급 중형 연회장</v>
          </cell>
        </row>
        <row r="2094">
          <cell r="A2094">
            <v>70111828</v>
          </cell>
          <cell r="C2094" t="str">
            <v>고급 중형 위장창고</v>
          </cell>
        </row>
        <row r="2095">
          <cell r="A2095">
            <v>70111829</v>
          </cell>
          <cell r="C2095" t="str">
            <v>고급 중형 강화창고</v>
          </cell>
        </row>
        <row r="2096">
          <cell r="A2096">
            <v>70111900</v>
          </cell>
          <cell r="C2096" t="str">
            <v>최고급 중형 물자창고</v>
          </cell>
        </row>
        <row r="2097">
          <cell r="A2097">
            <v>70111901</v>
          </cell>
          <cell r="C2097" t="str">
            <v>최고급 중형 식료품 창고</v>
          </cell>
        </row>
        <row r="2098">
          <cell r="A2098">
            <v>70111902</v>
          </cell>
          <cell r="C2098" t="str">
            <v>최고급 중형 조미료 창고</v>
          </cell>
        </row>
        <row r="2099">
          <cell r="A2099">
            <v>70111903</v>
          </cell>
          <cell r="C2099" t="str">
            <v>최고급 중형 가축 창고</v>
          </cell>
        </row>
        <row r="2100">
          <cell r="A2100">
            <v>70111904</v>
          </cell>
          <cell r="C2100" t="str">
            <v>최고급 중형 의약품 창고</v>
          </cell>
        </row>
        <row r="2101">
          <cell r="A2101">
            <v>70111905</v>
          </cell>
          <cell r="C2101" t="str">
            <v>최고급 중형 잡화 창고</v>
          </cell>
        </row>
        <row r="2102">
          <cell r="A2102">
            <v>70111906</v>
          </cell>
          <cell r="C2102" t="str">
            <v>최고급 중형 주류 창고</v>
          </cell>
        </row>
        <row r="2103">
          <cell r="A2103">
            <v>70111907</v>
          </cell>
          <cell r="C2103" t="str">
            <v>최고급 중형 염료 창고</v>
          </cell>
        </row>
        <row r="2104">
          <cell r="A2104">
            <v>70111908</v>
          </cell>
          <cell r="C2104" t="str">
            <v>최고급 중형 광석 창고</v>
          </cell>
        </row>
        <row r="2105">
          <cell r="A2105">
            <v>70111909</v>
          </cell>
          <cell r="C2105" t="str">
            <v>최고급 중형 공업품 창고</v>
          </cell>
        </row>
        <row r="2106">
          <cell r="A2106">
            <v>70111910</v>
          </cell>
          <cell r="C2106" t="str">
            <v>최고급 중형 기호품 창고</v>
          </cell>
        </row>
        <row r="2107">
          <cell r="A2107">
            <v>70111911</v>
          </cell>
          <cell r="C2107" t="str">
            <v>최고급 중형 섬유 창고</v>
          </cell>
        </row>
        <row r="2108">
          <cell r="A2108">
            <v>70111912</v>
          </cell>
          <cell r="C2108" t="str">
            <v>최고급 중형 직물 창고</v>
          </cell>
        </row>
        <row r="2109">
          <cell r="A2109">
            <v>70111913</v>
          </cell>
          <cell r="C2109" t="str">
            <v>최고급 중형 공예품 창고</v>
          </cell>
        </row>
        <row r="2110">
          <cell r="A2110">
            <v>70111914</v>
          </cell>
          <cell r="C2110" t="str">
            <v>최고급 중형 미술품 창고</v>
          </cell>
        </row>
        <row r="2111">
          <cell r="A2111">
            <v>70111915</v>
          </cell>
          <cell r="C2111" t="str">
            <v>최고급 중형 향신료 창고</v>
          </cell>
        </row>
        <row r="2112">
          <cell r="A2112">
            <v>70111916</v>
          </cell>
          <cell r="C2112" t="str">
            <v>최고급 중형 귀금속 창고</v>
          </cell>
        </row>
        <row r="2113">
          <cell r="A2113">
            <v>70111917</v>
          </cell>
          <cell r="C2113" t="str">
            <v>최고급 중형 향료 창고</v>
          </cell>
        </row>
        <row r="2114">
          <cell r="A2114">
            <v>70111918</v>
          </cell>
          <cell r="C2114" t="str">
            <v>최고급 중형 보석 창고</v>
          </cell>
        </row>
        <row r="2115">
          <cell r="A2115">
            <v>70111919</v>
          </cell>
          <cell r="C2115" t="str">
            <v>최고급 중형 무기류 창고</v>
          </cell>
        </row>
        <row r="2116">
          <cell r="A2116">
            <v>70111920</v>
          </cell>
          <cell r="C2116" t="str">
            <v>최고급 중형 총포류 창고</v>
          </cell>
        </row>
        <row r="2117">
          <cell r="A2117">
            <v>70111921</v>
          </cell>
          <cell r="C2117" t="str">
            <v>최고급 중형 짐창고</v>
          </cell>
        </row>
        <row r="2118">
          <cell r="A2118">
            <v>70111922</v>
          </cell>
          <cell r="C2118" t="str">
            <v>최고급 중형 조수실</v>
          </cell>
        </row>
        <row r="2119">
          <cell r="A2119">
            <v>70111923</v>
          </cell>
          <cell r="C2119" t="str">
            <v>최고급 중형 선원실</v>
          </cell>
        </row>
        <row r="2120">
          <cell r="A2120">
            <v>70111924</v>
          </cell>
          <cell r="C2120" t="str">
            <v>최고급 중형 탄약창고</v>
          </cell>
        </row>
        <row r="2121">
          <cell r="A2121">
            <v>70111925</v>
          </cell>
          <cell r="C2121" t="str">
            <v>최고급 중형 무기창고</v>
          </cell>
        </row>
        <row r="2122">
          <cell r="A2122">
            <v>70111926</v>
          </cell>
          <cell r="C2122" t="str">
            <v>최고급 중형 휴게실</v>
          </cell>
        </row>
        <row r="2123">
          <cell r="A2123">
            <v>70111927</v>
          </cell>
          <cell r="C2123" t="str">
            <v>최고급 중형 연회장</v>
          </cell>
        </row>
        <row r="2124">
          <cell r="A2124">
            <v>70111928</v>
          </cell>
          <cell r="C2124" t="str">
            <v>최고급 중형 위장창고</v>
          </cell>
        </row>
        <row r="2125">
          <cell r="A2125">
            <v>70111929</v>
          </cell>
          <cell r="C2125" t="str">
            <v>최고급 중형 강화창고</v>
          </cell>
        </row>
        <row r="2126">
          <cell r="A2126">
            <v>70112000</v>
          </cell>
          <cell r="C2126" t="str">
            <v>낡은 중형 물자창고</v>
          </cell>
        </row>
        <row r="2127">
          <cell r="A2127">
            <v>70112001</v>
          </cell>
          <cell r="C2127" t="str">
            <v>낡은 중형 식료품 창고</v>
          </cell>
        </row>
        <row r="2128">
          <cell r="A2128">
            <v>70112002</v>
          </cell>
          <cell r="C2128" t="str">
            <v>낡은 중형 조미료 창고</v>
          </cell>
        </row>
        <row r="2129">
          <cell r="A2129">
            <v>70112003</v>
          </cell>
          <cell r="C2129" t="str">
            <v>낡은 중형 가축 창고</v>
          </cell>
        </row>
        <row r="2130">
          <cell r="A2130">
            <v>70112004</v>
          </cell>
          <cell r="C2130" t="str">
            <v>낡은 중형 의약품 창고</v>
          </cell>
        </row>
        <row r="2131">
          <cell r="A2131">
            <v>70112005</v>
          </cell>
          <cell r="C2131" t="str">
            <v>낡은 중형 잡화 창고</v>
          </cell>
        </row>
        <row r="2132">
          <cell r="A2132">
            <v>70112006</v>
          </cell>
          <cell r="C2132" t="str">
            <v>낡은 중형 주류 창고</v>
          </cell>
        </row>
        <row r="2133">
          <cell r="A2133">
            <v>70112007</v>
          </cell>
          <cell r="C2133" t="str">
            <v>낡은 중형 염료 창고</v>
          </cell>
        </row>
        <row r="2134">
          <cell r="A2134">
            <v>70112008</v>
          </cell>
          <cell r="C2134" t="str">
            <v>낡은 중형 광석 창고</v>
          </cell>
        </row>
        <row r="2135">
          <cell r="A2135">
            <v>70112009</v>
          </cell>
          <cell r="C2135" t="str">
            <v>낡은 중형 공업품 창고</v>
          </cell>
        </row>
        <row r="2136">
          <cell r="A2136">
            <v>70112010</v>
          </cell>
          <cell r="C2136" t="str">
            <v>낡은 중형 기호품 창고</v>
          </cell>
        </row>
        <row r="2137">
          <cell r="A2137">
            <v>70112011</v>
          </cell>
          <cell r="C2137" t="str">
            <v>낡은 중형 섬유 창고</v>
          </cell>
        </row>
        <row r="2138">
          <cell r="A2138">
            <v>70112012</v>
          </cell>
          <cell r="C2138" t="str">
            <v>낡은 중형 직물 창고</v>
          </cell>
        </row>
        <row r="2139">
          <cell r="A2139">
            <v>70112013</v>
          </cell>
          <cell r="C2139" t="str">
            <v>낡은 중형 공예품 창고</v>
          </cell>
        </row>
        <row r="2140">
          <cell r="A2140">
            <v>70112014</v>
          </cell>
          <cell r="C2140" t="str">
            <v>낡은 중형 미술품 창고</v>
          </cell>
        </row>
        <row r="2141">
          <cell r="A2141">
            <v>70112015</v>
          </cell>
          <cell r="C2141" t="str">
            <v>낡은 중형 향신료 창고</v>
          </cell>
        </row>
        <row r="2142">
          <cell r="A2142">
            <v>70112016</v>
          </cell>
          <cell r="C2142" t="str">
            <v>낡은 중형 귀금속 창고</v>
          </cell>
        </row>
        <row r="2143">
          <cell r="A2143">
            <v>70112017</v>
          </cell>
          <cell r="C2143" t="str">
            <v>낡은 중형 향료 창고</v>
          </cell>
        </row>
        <row r="2144">
          <cell r="A2144">
            <v>70112018</v>
          </cell>
          <cell r="C2144" t="str">
            <v>낡은 중형 보석 창고</v>
          </cell>
        </row>
        <row r="2145">
          <cell r="A2145">
            <v>70112019</v>
          </cell>
          <cell r="C2145" t="str">
            <v>낡은 중형 무기류 창고</v>
          </cell>
        </row>
        <row r="2146">
          <cell r="A2146">
            <v>70112020</v>
          </cell>
          <cell r="C2146" t="str">
            <v>낡은 중형 총포류 창고</v>
          </cell>
        </row>
        <row r="2147">
          <cell r="A2147">
            <v>70112021</v>
          </cell>
          <cell r="C2147" t="str">
            <v>낡은 중형 짐창고</v>
          </cell>
        </row>
        <row r="2148">
          <cell r="A2148">
            <v>70112022</v>
          </cell>
          <cell r="C2148" t="str">
            <v>낡은 중형 조수실</v>
          </cell>
        </row>
        <row r="2149">
          <cell r="A2149">
            <v>70112023</v>
          </cell>
          <cell r="C2149" t="str">
            <v>낡은 중형 선원실</v>
          </cell>
        </row>
        <row r="2150">
          <cell r="A2150">
            <v>70112024</v>
          </cell>
          <cell r="C2150" t="str">
            <v>낡은 중형 탄약창고</v>
          </cell>
        </row>
        <row r="2151">
          <cell r="A2151">
            <v>70112025</v>
          </cell>
          <cell r="C2151" t="str">
            <v>낡은 중형 무기창고</v>
          </cell>
        </row>
        <row r="2152">
          <cell r="A2152">
            <v>70112026</v>
          </cell>
          <cell r="C2152" t="str">
            <v>낡은 중형 휴게실</v>
          </cell>
        </row>
        <row r="2153">
          <cell r="A2153">
            <v>70112027</v>
          </cell>
          <cell r="C2153" t="str">
            <v>낡은 중형 연회장</v>
          </cell>
        </row>
        <row r="2154">
          <cell r="A2154">
            <v>70112028</v>
          </cell>
          <cell r="C2154" t="str">
            <v>낡은 중형 위장창고</v>
          </cell>
        </row>
        <row r="2155">
          <cell r="A2155">
            <v>70112029</v>
          </cell>
          <cell r="C2155" t="str">
            <v>낡은 중형 강화창고</v>
          </cell>
        </row>
        <row r="2156">
          <cell r="A2156">
            <v>70112100</v>
          </cell>
          <cell r="C2156" t="str">
            <v>중형 물자창고</v>
          </cell>
        </row>
        <row r="2157">
          <cell r="A2157">
            <v>70112101</v>
          </cell>
          <cell r="C2157" t="str">
            <v>중형 식료품 창고</v>
          </cell>
        </row>
        <row r="2158">
          <cell r="A2158">
            <v>70112102</v>
          </cell>
          <cell r="C2158" t="str">
            <v>중형 조미료 창고</v>
          </cell>
        </row>
        <row r="2159">
          <cell r="A2159">
            <v>70112103</v>
          </cell>
          <cell r="C2159" t="str">
            <v>중형 가축 창고</v>
          </cell>
        </row>
        <row r="2160">
          <cell r="A2160">
            <v>70112104</v>
          </cell>
          <cell r="C2160" t="str">
            <v>중형 의약품 창고</v>
          </cell>
        </row>
        <row r="2161">
          <cell r="A2161">
            <v>70112105</v>
          </cell>
          <cell r="C2161" t="str">
            <v>중형 잡화 창고</v>
          </cell>
        </row>
        <row r="2162">
          <cell r="A2162">
            <v>70112106</v>
          </cell>
          <cell r="C2162" t="str">
            <v>중형 주류 창고</v>
          </cell>
        </row>
        <row r="2163">
          <cell r="A2163">
            <v>70112107</v>
          </cell>
          <cell r="C2163" t="str">
            <v>중형 염료 창고</v>
          </cell>
        </row>
        <row r="2164">
          <cell r="A2164">
            <v>70112108</v>
          </cell>
          <cell r="C2164" t="str">
            <v>중형 광석 창고</v>
          </cell>
        </row>
        <row r="2165">
          <cell r="A2165">
            <v>70112109</v>
          </cell>
          <cell r="C2165" t="str">
            <v>중형 공업품 창고</v>
          </cell>
        </row>
        <row r="2166">
          <cell r="A2166">
            <v>70112110</v>
          </cell>
          <cell r="C2166" t="str">
            <v>중형 기호품 창고</v>
          </cell>
        </row>
        <row r="2167">
          <cell r="A2167">
            <v>70112111</v>
          </cell>
          <cell r="C2167" t="str">
            <v>중형 섬유 창고</v>
          </cell>
        </row>
        <row r="2168">
          <cell r="A2168">
            <v>70112112</v>
          </cell>
          <cell r="C2168" t="str">
            <v>중형 직물 창고</v>
          </cell>
        </row>
        <row r="2169">
          <cell r="A2169">
            <v>70112113</v>
          </cell>
          <cell r="C2169" t="str">
            <v>중형 공예품 창고</v>
          </cell>
        </row>
        <row r="2170">
          <cell r="A2170">
            <v>70112114</v>
          </cell>
          <cell r="C2170" t="str">
            <v>중형 미술품 창고</v>
          </cell>
        </row>
        <row r="2171">
          <cell r="A2171">
            <v>70112115</v>
          </cell>
          <cell r="C2171" t="str">
            <v>중형 향신료 창고</v>
          </cell>
        </row>
        <row r="2172">
          <cell r="A2172">
            <v>70112116</v>
          </cell>
          <cell r="C2172" t="str">
            <v>중형 귀금속 창고</v>
          </cell>
        </row>
        <row r="2173">
          <cell r="A2173">
            <v>70112117</v>
          </cell>
          <cell r="C2173" t="str">
            <v>중형 향료 창고</v>
          </cell>
        </row>
        <row r="2174">
          <cell r="A2174">
            <v>70112118</v>
          </cell>
          <cell r="C2174" t="str">
            <v>중형 보석 창고</v>
          </cell>
        </row>
        <row r="2175">
          <cell r="A2175">
            <v>70112119</v>
          </cell>
          <cell r="C2175" t="str">
            <v>중형 무기류 창고</v>
          </cell>
        </row>
        <row r="2176">
          <cell r="A2176">
            <v>70112120</v>
          </cell>
          <cell r="C2176" t="str">
            <v>중형 총포류 창고</v>
          </cell>
        </row>
        <row r="2177">
          <cell r="A2177">
            <v>70112121</v>
          </cell>
          <cell r="C2177" t="str">
            <v>중형 짐창고</v>
          </cell>
        </row>
        <row r="2178">
          <cell r="A2178">
            <v>70112122</v>
          </cell>
          <cell r="C2178" t="str">
            <v>중형 조수실</v>
          </cell>
        </row>
        <row r="2179">
          <cell r="A2179">
            <v>70112123</v>
          </cell>
          <cell r="C2179" t="str">
            <v>중형 선원실</v>
          </cell>
        </row>
        <row r="2180">
          <cell r="A2180">
            <v>70112124</v>
          </cell>
          <cell r="C2180" t="str">
            <v>중형 탄약창고</v>
          </cell>
        </row>
        <row r="2181">
          <cell r="A2181">
            <v>70112125</v>
          </cell>
          <cell r="C2181" t="str">
            <v>중형 무기창고</v>
          </cell>
        </row>
        <row r="2182">
          <cell r="A2182">
            <v>70112126</v>
          </cell>
          <cell r="C2182" t="str">
            <v>중형 휴게실</v>
          </cell>
        </row>
        <row r="2183">
          <cell r="A2183">
            <v>70112127</v>
          </cell>
          <cell r="C2183" t="str">
            <v>중형 연회장</v>
          </cell>
        </row>
        <row r="2184">
          <cell r="A2184">
            <v>70112128</v>
          </cell>
          <cell r="C2184" t="str">
            <v>중형 위장창고</v>
          </cell>
        </row>
        <row r="2185">
          <cell r="A2185">
            <v>70112129</v>
          </cell>
          <cell r="C2185" t="str">
            <v>중형 강화창고</v>
          </cell>
        </row>
        <row r="2186">
          <cell r="A2186">
            <v>70112200</v>
          </cell>
          <cell r="C2186" t="str">
            <v>고급 중형 물자창고</v>
          </cell>
        </row>
        <row r="2187">
          <cell r="A2187">
            <v>70112201</v>
          </cell>
          <cell r="C2187" t="str">
            <v>고급 중형 식료품 창고</v>
          </cell>
        </row>
        <row r="2188">
          <cell r="A2188">
            <v>70112202</v>
          </cell>
          <cell r="C2188" t="str">
            <v>고급 중형 조미료 창고</v>
          </cell>
        </row>
        <row r="2189">
          <cell r="A2189">
            <v>70112203</v>
          </cell>
          <cell r="C2189" t="str">
            <v>고급 중형 가축 창고</v>
          </cell>
        </row>
        <row r="2190">
          <cell r="A2190">
            <v>70112204</v>
          </cell>
          <cell r="C2190" t="str">
            <v>고급 중형 의약품 창고</v>
          </cell>
        </row>
        <row r="2191">
          <cell r="A2191">
            <v>70112205</v>
          </cell>
          <cell r="C2191" t="str">
            <v>고급 중형 잡화 창고</v>
          </cell>
        </row>
        <row r="2192">
          <cell r="A2192">
            <v>70112206</v>
          </cell>
          <cell r="C2192" t="str">
            <v>고급 중형 주류 창고</v>
          </cell>
        </row>
        <row r="2193">
          <cell r="A2193">
            <v>70112207</v>
          </cell>
          <cell r="C2193" t="str">
            <v>고급 중형 염료 창고</v>
          </cell>
        </row>
        <row r="2194">
          <cell r="A2194">
            <v>70112208</v>
          </cell>
          <cell r="C2194" t="str">
            <v>고급 중형 광석 창고</v>
          </cell>
        </row>
        <row r="2195">
          <cell r="A2195">
            <v>70112209</v>
          </cell>
          <cell r="C2195" t="str">
            <v>고급 중형 공업품 창고</v>
          </cell>
        </row>
        <row r="2196">
          <cell r="A2196">
            <v>70112210</v>
          </cell>
          <cell r="C2196" t="str">
            <v>고급 중형 기호품 창고</v>
          </cell>
        </row>
        <row r="2197">
          <cell r="A2197">
            <v>70112211</v>
          </cell>
          <cell r="C2197" t="str">
            <v>고급 중형 섬유 창고</v>
          </cell>
        </row>
        <row r="2198">
          <cell r="A2198">
            <v>70112212</v>
          </cell>
          <cell r="C2198" t="str">
            <v>고급 중형 직물 창고</v>
          </cell>
        </row>
        <row r="2199">
          <cell r="A2199">
            <v>70112213</v>
          </cell>
          <cell r="C2199" t="str">
            <v>고급 중형 공예품 창고</v>
          </cell>
        </row>
        <row r="2200">
          <cell r="A2200">
            <v>70112214</v>
          </cell>
          <cell r="C2200" t="str">
            <v>고급 중형 미술품 창고</v>
          </cell>
        </row>
        <row r="2201">
          <cell r="A2201">
            <v>70112215</v>
          </cell>
          <cell r="C2201" t="str">
            <v>고급 중형 향신료 창고</v>
          </cell>
        </row>
        <row r="2202">
          <cell r="A2202">
            <v>70112216</v>
          </cell>
          <cell r="C2202" t="str">
            <v>고급 중형 귀금속 창고</v>
          </cell>
        </row>
        <row r="2203">
          <cell r="A2203">
            <v>70112217</v>
          </cell>
          <cell r="C2203" t="str">
            <v>고급 중형 향료 창고</v>
          </cell>
        </row>
        <row r="2204">
          <cell r="A2204">
            <v>70112218</v>
          </cell>
          <cell r="C2204" t="str">
            <v>고급 중형 보석 창고</v>
          </cell>
        </row>
        <row r="2205">
          <cell r="A2205">
            <v>70112219</v>
          </cell>
          <cell r="C2205" t="str">
            <v>고급 중형 무기류 창고</v>
          </cell>
        </row>
        <row r="2206">
          <cell r="A2206">
            <v>70112220</v>
          </cell>
          <cell r="C2206" t="str">
            <v>고급 중형 총포류 창고</v>
          </cell>
        </row>
        <row r="2207">
          <cell r="A2207">
            <v>70112221</v>
          </cell>
          <cell r="C2207" t="str">
            <v>고급 중형 짐창고</v>
          </cell>
        </row>
        <row r="2208">
          <cell r="A2208">
            <v>70112222</v>
          </cell>
          <cell r="C2208" t="str">
            <v>고급 중형 조수실</v>
          </cell>
        </row>
        <row r="2209">
          <cell r="A2209">
            <v>70112223</v>
          </cell>
          <cell r="C2209" t="str">
            <v>고급 중형 선원실</v>
          </cell>
        </row>
        <row r="2210">
          <cell r="A2210">
            <v>70112224</v>
          </cell>
          <cell r="C2210" t="str">
            <v>고급 중형 탄약창고</v>
          </cell>
        </row>
        <row r="2211">
          <cell r="A2211">
            <v>70112225</v>
          </cell>
          <cell r="C2211" t="str">
            <v>고급 중형 무기창고</v>
          </cell>
        </row>
        <row r="2212">
          <cell r="A2212">
            <v>70112226</v>
          </cell>
          <cell r="C2212" t="str">
            <v>고급 중형 휴게실</v>
          </cell>
        </row>
        <row r="2213">
          <cell r="A2213">
            <v>70112227</v>
          </cell>
          <cell r="C2213" t="str">
            <v>고급 중형 연회장</v>
          </cell>
        </row>
        <row r="2214">
          <cell r="A2214">
            <v>70112228</v>
          </cell>
          <cell r="C2214" t="str">
            <v>고급 중형 위장창고</v>
          </cell>
        </row>
        <row r="2215">
          <cell r="A2215">
            <v>70112229</v>
          </cell>
          <cell r="C2215" t="str">
            <v>고급 중형 강화창고</v>
          </cell>
        </row>
        <row r="2216">
          <cell r="A2216">
            <v>70112300</v>
          </cell>
          <cell r="C2216" t="str">
            <v>최고급 중형 물자창고</v>
          </cell>
        </row>
        <row r="2217">
          <cell r="A2217">
            <v>70112301</v>
          </cell>
          <cell r="C2217" t="str">
            <v>최고급 중형 식료품 창고</v>
          </cell>
        </row>
        <row r="2218">
          <cell r="A2218">
            <v>70112302</v>
          </cell>
          <cell r="C2218" t="str">
            <v>최고급 중형 조미료 창고</v>
          </cell>
        </row>
        <row r="2219">
          <cell r="A2219">
            <v>70112303</v>
          </cell>
          <cell r="C2219" t="str">
            <v>최고급 중형 가축 창고</v>
          </cell>
        </row>
        <row r="2220">
          <cell r="A2220">
            <v>70112304</v>
          </cell>
          <cell r="C2220" t="str">
            <v>최고급 중형 의약품 창고</v>
          </cell>
        </row>
        <row r="2221">
          <cell r="A2221">
            <v>70112305</v>
          </cell>
          <cell r="C2221" t="str">
            <v>최고급 중형 잡화 창고</v>
          </cell>
        </row>
        <row r="2222">
          <cell r="A2222">
            <v>70112306</v>
          </cell>
          <cell r="C2222" t="str">
            <v>최고급 중형 주류 창고</v>
          </cell>
        </row>
        <row r="2223">
          <cell r="A2223">
            <v>70112307</v>
          </cell>
          <cell r="C2223" t="str">
            <v>최고급 중형 염료 창고</v>
          </cell>
        </row>
        <row r="2224">
          <cell r="A2224">
            <v>70112308</v>
          </cell>
          <cell r="C2224" t="str">
            <v>최고급 중형 광석 창고</v>
          </cell>
        </row>
        <row r="2225">
          <cell r="A2225">
            <v>70112309</v>
          </cell>
          <cell r="C2225" t="str">
            <v>최고급 중형 공업품 창고</v>
          </cell>
        </row>
        <row r="2226">
          <cell r="A2226">
            <v>70112310</v>
          </cell>
          <cell r="C2226" t="str">
            <v>최고급 중형 기호품 창고</v>
          </cell>
        </row>
        <row r="2227">
          <cell r="A2227">
            <v>70112311</v>
          </cell>
          <cell r="C2227" t="str">
            <v>최고급 중형 섬유 창고</v>
          </cell>
        </row>
        <row r="2228">
          <cell r="A2228">
            <v>70112312</v>
          </cell>
          <cell r="C2228" t="str">
            <v>최고급 중형 직물 창고</v>
          </cell>
        </row>
        <row r="2229">
          <cell r="A2229">
            <v>70112313</v>
          </cell>
          <cell r="C2229" t="str">
            <v>최고급 중형 공예품 창고</v>
          </cell>
        </row>
        <row r="2230">
          <cell r="A2230">
            <v>70112314</v>
          </cell>
          <cell r="C2230" t="str">
            <v>최고급 중형 미술품 창고</v>
          </cell>
        </row>
        <row r="2231">
          <cell r="A2231">
            <v>70112315</v>
          </cell>
          <cell r="C2231" t="str">
            <v>최고급 중형 향신료 창고</v>
          </cell>
        </row>
        <row r="2232">
          <cell r="A2232">
            <v>70112316</v>
          </cell>
          <cell r="C2232" t="str">
            <v>최고급 중형 귀금속 창고</v>
          </cell>
        </row>
        <row r="2233">
          <cell r="A2233">
            <v>70112317</v>
          </cell>
          <cell r="C2233" t="str">
            <v>최고급 중형 향료 창고</v>
          </cell>
        </row>
        <row r="2234">
          <cell r="A2234">
            <v>70112318</v>
          </cell>
          <cell r="C2234" t="str">
            <v>최고급 중형 보석 창고</v>
          </cell>
        </row>
        <row r="2235">
          <cell r="A2235">
            <v>70112319</v>
          </cell>
          <cell r="C2235" t="str">
            <v>최고급 중형 무기류 창고</v>
          </cell>
        </row>
        <row r="2236">
          <cell r="A2236">
            <v>70112320</v>
          </cell>
          <cell r="C2236" t="str">
            <v>최고급 중형 총포류 창고</v>
          </cell>
        </row>
        <row r="2237">
          <cell r="A2237">
            <v>70112321</v>
          </cell>
          <cell r="C2237" t="str">
            <v>최고급 중형 짐창고</v>
          </cell>
        </row>
        <row r="2238">
          <cell r="A2238">
            <v>70112322</v>
          </cell>
          <cell r="C2238" t="str">
            <v>최고급 중형 조수실</v>
          </cell>
        </row>
        <row r="2239">
          <cell r="A2239">
            <v>70112323</v>
          </cell>
          <cell r="C2239" t="str">
            <v>최고급 중형 선원실</v>
          </cell>
        </row>
        <row r="2240">
          <cell r="A2240">
            <v>70112324</v>
          </cell>
          <cell r="C2240" t="str">
            <v>최고급 중형 탄약창고</v>
          </cell>
        </row>
        <row r="2241">
          <cell r="A2241">
            <v>70112325</v>
          </cell>
          <cell r="C2241" t="str">
            <v>최고급 중형 무기창고</v>
          </cell>
        </row>
        <row r="2242">
          <cell r="A2242">
            <v>70112326</v>
          </cell>
          <cell r="C2242" t="str">
            <v>최고급 중형 휴게실</v>
          </cell>
        </row>
        <row r="2243">
          <cell r="A2243">
            <v>70112327</v>
          </cell>
          <cell r="C2243" t="str">
            <v>최고급 중형 연회장</v>
          </cell>
        </row>
        <row r="2244">
          <cell r="A2244">
            <v>70112328</v>
          </cell>
          <cell r="C2244" t="str">
            <v>최고급 중형 위장창고</v>
          </cell>
        </row>
        <row r="2245">
          <cell r="A2245">
            <v>70112329</v>
          </cell>
          <cell r="C2245" t="str">
            <v>최고급 중형 강화창고</v>
          </cell>
        </row>
        <row r="2246">
          <cell r="A2246">
            <v>70112400</v>
          </cell>
          <cell r="C2246" t="str">
            <v>낡은 중형 물자창고</v>
          </cell>
        </row>
        <row r="2247">
          <cell r="A2247">
            <v>70112401</v>
          </cell>
          <cell r="C2247" t="str">
            <v>낡은 중형 식료품 창고</v>
          </cell>
        </row>
        <row r="2248">
          <cell r="A2248">
            <v>70112402</v>
          </cell>
          <cell r="C2248" t="str">
            <v>낡은 중형 조미료 창고</v>
          </cell>
        </row>
        <row r="2249">
          <cell r="A2249">
            <v>70112403</v>
          </cell>
          <cell r="C2249" t="str">
            <v>낡은 중형 가축 창고</v>
          </cell>
        </row>
        <row r="2250">
          <cell r="A2250">
            <v>70112404</v>
          </cell>
          <cell r="C2250" t="str">
            <v>낡은 중형 의약품 창고</v>
          </cell>
        </row>
        <row r="2251">
          <cell r="A2251">
            <v>70112405</v>
          </cell>
          <cell r="C2251" t="str">
            <v>낡은 중형 잡화 창고</v>
          </cell>
        </row>
        <row r="2252">
          <cell r="A2252">
            <v>70112406</v>
          </cell>
          <cell r="C2252" t="str">
            <v>낡은 중형 주류 창고</v>
          </cell>
        </row>
        <row r="2253">
          <cell r="A2253">
            <v>70112407</v>
          </cell>
          <cell r="C2253" t="str">
            <v>낡은 중형 염료 창고</v>
          </cell>
        </row>
        <row r="2254">
          <cell r="A2254">
            <v>70112408</v>
          </cell>
          <cell r="C2254" t="str">
            <v>낡은 중형 광석 창고</v>
          </cell>
        </row>
        <row r="2255">
          <cell r="A2255">
            <v>70112409</v>
          </cell>
          <cell r="C2255" t="str">
            <v>낡은 중형 공업품 창고</v>
          </cell>
        </row>
        <row r="2256">
          <cell r="A2256">
            <v>70112410</v>
          </cell>
          <cell r="C2256" t="str">
            <v>낡은 중형 기호품 창고</v>
          </cell>
        </row>
        <row r="2257">
          <cell r="A2257">
            <v>70112411</v>
          </cell>
          <cell r="C2257" t="str">
            <v>낡은 중형 섬유 창고</v>
          </cell>
        </row>
        <row r="2258">
          <cell r="A2258">
            <v>70112412</v>
          </cell>
          <cell r="C2258" t="str">
            <v>낡은 중형 직물 창고</v>
          </cell>
        </row>
        <row r="2259">
          <cell r="A2259">
            <v>70112413</v>
          </cell>
          <cell r="C2259" t="str">
            <v>낡은 중형 공예품 창고</v>
          </cell>
        </row>
        <row r="2260">
          <cell r="A2260">
            <v>70112414</v>
          </cell>
          <cell r="C2260" t="str">
            <v>낡은 중형 미술품 창고</v>
          </cell>
        </row>
        <row r="2261">
          <cell r="A2261">
            <v>70112415</v>
          </cell>
          <cell r="C2261" t="str">
            <v>낡은 중형 향신료 창고</v>
          </cell>
        </row>
        <row r="2262">
          <cell r="A2262">
            <v>70112416</v>
          </cell>
          <cell r="C2262" t="str">
            <v>낡은 중형 귀금속 창고</v>
          </cell>
        </row>
        <row r="2263">
          <cell r="A2263">
            <v>70112417</v>
          </cell>
          <cell r="C2263" t="str">
            <v>낡은 중형 향료 창고</v>
          </cell>
        </row>
        <row r="2264">
          <cell r="A2264">
            <v>70112418</v>
          </cell>
          <cell r="C2264" t="str">
            <v>낡은 중형 보석 창고</v>
          </cell>
        </row>
        <row r="2265">
          <cell r="A2265">
            <v>70112419</v>
          </cell>
          <cell r="C2265" t="str">
            <v>낡은 중형 무기류 창고</v>
          </cell>
        </row>
        <row r="2266">
          <cell r="A2266">
            <v>70112420</v>
          </cell>
          <cell r="C2266" t="str">
            <v>낡은 중형 총포류 창고</v>
          </cell>
        </row>
        <row r="2267">
          <cell r="A2267">
            <v>70112421</v>
          </cell>
          <cell r="C2267" t="str">
            <v>낡은 중형 짐창고</v>
          </cell>
        </row>
        <row r="2268">
          <cell r="A2268">
            <v>70112422</v>
          </cell>
          <cell r="C2268" t="str">
            <v>낡은 중형 조수실</v>
          </cell>
        </row>
        <row r="2269">
          <cell r="A2269">
            <v>70112423</v>
          </cell>
          <cell r="C2269" t="str">
            <v>낡은 중형 선원실</v>
          </cell>
        </row>
        <row r="2270">
          <cell r="A2270">
            <v>70112424</v>
          </cell>
          <cell r="C2270" t="str">
            <v>낡은 중형 탄약창고</v>
          </cell>
        </row>
        <row r="2271">
          <cell r="A2271">
            <v>70112425</v>
          </cell>
          <cell r="C2271" t="str">
            <v>낡은 중형 무기창고</v>
          </cell>
        </row>
        <row r="2272">
          <cell r="A2272">
            <v>70112426</v>
          </cell>
          <cell r="C2272" t="str">
            <v>낡은 중형 휴게실</v>
          </cell>
        </row>
        <row r="2273">
          <cell r="A2273">
            <v>70112427</v>
          </cell>
          <cell r="C2273" t="str">
            <v>낡은 중형 연회장</v>
          </cell>
        </row>
        <row r="2274">
          <cell r="A2274">
            <v>70112428</v>
          </cell>
          <cell r="C2274" t="str">
            <v>낡은 중형 위장창고</v>
          </cell>
        </row>
        <row r="2275">
          <cell r="A2275">
            <v>70112429</v>
          </cell>
          <cell r="C2275" t="str">
            <v>낡은 중형 강화창고</v>
          </cell>
        </row>
        <row r="2276">
          <cell r="A2276">
            <v>70112500</v>
          </cell>
          <cell r="C2276" t="str">
            <v>중형 물자창고</v>
          </cell>
        </row>
        <row r="2277">
          <cell r="A2277">
            <v>70112501</v>
          </cell>
          <cell r="C2277" t="str">
            <v>중형 식료품 창고</v>
          </cell>
        </row>
        <row r="2278">
          <cell r="A2278">
            <v>70112502</v>
          </cell>
          <cell r="C2278" t="str">
            <v>중형 조미료 창고</v>
          </cell>
        </row>
        <row r="2279">
          <cell r="A2279">
            <v>70112503</v>
          </cell>
          <cell r="C2279" t="str">
            <v>중형 가축 창고</v>
          </cell>
        </row>
        <row r="2280">
          <cell r="A2280">
            <v>70112504</v>
          </cell>
          <cell r="C2280" t="str">
            <v>중형 의약품 창고</v>
          </cell>
        </row>
        <row r="2281">
          <cell r="A2281">
            <v>70112505</v>
          </cell>
          <cell r="C2281" t="str">
            <v>중형 잡화 창고</v>
          </cell>
        </row>
        <row r="2282">
          <cell r="A2282">
            <v>70112506</v>
          </cell>
          <cell r="C2282" t="str">
            <v>중형 주류 창고</v>
          </cell>
        </row>
        <row r="2283">
          <cell r="A2283">
            <v>70112507</v>
          </cell>
          <cell r="C2283" t="str">
            <v>중형 염료 창고</v>
          </cell>
        </row>
        <row r="2284">
          <cell r="A2284">
            <v>70112508</v>
          </cell>
          <cell r="C2284" t="str">
            <v>중형 광석 창고</v>
          </cell>
        </row>
        <row r="2285">
          <cell r="A2285">
            <v>70112509</v>
          </cell>
          <cell r="C2285" t="str">
            <v>중형 공업품 창고</v>
          </cell>
        </row>
        <row r="2286">
          <cell r="A2286">
            <v>70112510</v>
          </cell>
          <cell r="C2286" t="str">
            <v>중형 기호품 창고</v>
          </cell>
        </row>
        <row r="2287">
          <cell r="A2287">
            <v>70112511</v>
          </cell>
          <cell r="C2287" t="str">
            <v>중형 섬유 창고</v>
          </cell>
        </row>
        <row r="2288">
          <cell r="A2288">
            <v>70112512</v>
          </cell>
          <cell r="C2288" t="str">
            <v>중형 직물 창고</v>
          </cell>
        </row>
        <row r="2289">
          <cell r="A2289">
            <v>70112513</v>
          </cell>
          <cell r="C2289" t="str">
            <v>중형 공예품 창고</v>
          </cell>
        </row>
        <row r="2290">
          <cell r="A2290">
            <v>70112514</v>
          </cell>
          <cell r="C2290" t="str">
            <v>중형 미술품 창고</v>
          </cell>
        </row>
        <row r="2291">
          <cell r="A2291">
            <v>70112515</v>
          </cell>
          <cell r="C2291" t="str">
            <v>중형 향신료 창고</v>
          </cell>
        </row>
        <row r="2292">
          <cell r="A2292">
            <v>70112516</v>
          </cell>
          <cell r="C2292" t="str">
            <v>중형 귀금속 창고</v>
          </cell>
        </row>
        <row r="2293">
          <cell r="A2293">
            <v>70112517</v>
          </cell>
          <cell r="C2293" t="str">
            <v>중형 향료 창고</v>
          </cell>
        </row>
        <row r="2294">
          <cell r="A2294">
            <v>70112518</v>
          </cell>
          <cell r="C2294" t="str">
            <v>중형 보석 창고</v>
          </cell>
        </row>
        <row r="2295">
          <cell r="A2295">
            <v>70112519</v>
          </cell>
          <cell r="C2295" t="str">
            <v>중형 무기류 창고</v>
          </cell>
        </row>
        <row r="2296">
          <cell r="A2296">
            <v>70112520</v>
          </cell>
          <cell r="C2296" t="str">
            <v>중형 총포류 창고</v>
          </cell>
        </row>
        <row r="2297">
          <cell r="A2297">
            <v>70112521</v>
          </cell>
          <cell r="C2297" t="str">
            <v>중형 짐창고</v>
          </cell>
        </row>
        <row r="2298">
          <cell r="A2298">
            <v>70112522</v>
          </cell>
          <cell r="C2298" t="str">
            <v>중형 조수실</v>
          </cell>
        </row>
        <row r="2299">
          <cell r="A2299">
            <v>70112523</v>
          </cell>
          <cell r="C2299" t="str">
            <v>중형 선원실</v>
          </cell>
        </row>
        <row r="2300">
          <cell r="A2300">
            <v>70112524</v>
          </cell>
          <cell r="C2300" t="str">
            <v>중형 탄약창고</v>
          </cell>
        </row>
        <row r="2301">
          <cell r="A2301">
            <v>70112525</v>
          </cell>
          <cell r="C2301" t="str">
            <v>중형 무기창고</v>
          </cell>
        </row>
        <row r="2302">
          <cell r="A2302">
            <v>70112526</v>
          </cell>
          <cell r="C2302" t="str">
            <v>중형 휴게실</v>
          </cell>
        </row>
        <row r="2303">
          <cell r="A2303">
            <v>70112527</v>
          </cell>
          <cell r="C2303" t="str">
            <v>중형 연회장</v>
          </cell>
        </row>
        <row r="2304">
          <cell r="A2304">
            <v>70112528</v>
          </cell>
          <cell r="C2304" t="str">
            <v>중형 위장창고</v>
          </cell>
        </row>
        <row r="2305">
          <cell r="A2305">
            <v>70112529</v>
          </cell>
          <cell r="C2305" t="str">
            <v>중형 강화창고</v>
          </cell>
        </row>
        <row r="2306">
          <cell r="A2306">
            <v>70112600</v>
          </cell>
          <cell r="C2306" t="str">
            <v>고급 중형 물자창고</v>
          </cell>
        </row>
        <row r="2307">
          <cell r="A2307">
            <v>70112601</v>
          </cell>
          <cell r="C2307" t="str">
            <v>고급 중형 식료품 창고</v>
          </cell>
        </row>
        <row r="2308">
          <cell r="A2308">
            <v>70112602</v>
          </cell>
          <cell r="C2308" t="str">
            <v>고급 중형 조미료 창고</v>
          </cell>
        </row>
        <row r="2309">
          <cell r="A2309">
            <v>70112603</v>
          </cell>
          <cell r="C2309" t="str">
            <v>고급 중형 가축 창고</v>
          </cell>
        </row>
        <row r="2310">
          <cell r="A2310">
            <v>70112604</v>
          </cell>
          <cell r="C2310" t="str">
            <v>고급 중형 의약품 창고</v>
          </cell>
        </row>
        <row r="2311">
          <cell r="A2311">
            <v>70112605</v>
          </cell>
          <cell r="C2311" t="str">
            <v>고급 중형 잡화 창고</v>
          </cell>
        </row>
        <row r="2312">
          <cell r="A2312">
            <v>70112606</v>
          </cell>
          <cell r="C2312" t="str">
            <v>고급 중형 주류 창고</v>
          </cell>
        </row>
        <row r="2313">
          <cell r="A2313">
            <v>70112607</v>
          </cell>
          <cell r="C2313" t="str">
            <v>고급 중형 염료 창고</v>
          </cell>
        </row>
        <row r="2314">
          <cell r="A2314">
            <v>70112608</v>
          </cell>
          <cell r="C2314" t="str">
            <v>고급 중형 광석 창고</v>
          </cell>
        </row>
        <row r="2315">
          <cell r="A2315">
            <v>70112609</v>
          </cell>
          <cell r="C2315" t="str">
            <v>고급 중형 공업품 창고</v>
          </cell>
        </row>
        <row r="2316">
          <cell r="A2316">
            <v>70112610</v>
          </cell>
          <cell r="C2316" t="str">
            <v>고급 중형 기호품 창고</v>
          </cell>
        </row>
        <row r="2317">
          <cell r="A2317">
            <v>70112611</v>
          </cell>
          <cell r="C2317" t="str">
            <v>고급 중형 섬유 창고</v>
          </cell>
        </row>
        <row r="2318">
          <cell r="A2318">
            <v>70112612</v>
          </cell>
          <cell r="C2318" t="str">
            <v>고급 중형 직물 창고</v>
          </cell>
        </row>
        <row r="2319">
          <cell r="A2319">
            <v>70112613</v>
          </cell>
          <cell r="C2319" t="str">
            <v>고급 중형 공예품 창고</v>
          </cell>
        </row>
        <row r="2320">
          <cell r="A2320">
            <v>70112614</v>
          </cell>
          <cell r="C2320" t="str">
            <v>고급 중형 미술품 창고</v>
          </cell>
        </row>
        <row r="2321">
          <cell r="A2321">
            <v>70112615</v>
          </cell>
          <cell r="C2321" t="str">
            <v>고급 중형 향신료 창고</v>
          </cell>
        </row>
        <row r="2322">
          <cell r="A2322">
            <v>70112616</v>
          </cell>
          <cell r="C2322" t="str">
            <v>고급 중형 귀금속 창고</v>
          </cell>
        </row>
        <row r="2323">
          <cell r="A2323">
            <v>70112617</v>
          </cell>
          <cell r="C2323" t="str">
            <v>고급 중형 향료 창고</v>
          </cell>
        </row>
        <row r="2324">
          <cell r="A2324">
            <v>70112618</v>
          </cell>
          <cell r="C2324" t="str">
            <v>고급 중형 보석 창고</v>
          </cell>
        </row>
        <row r="2325">
          <cell r="A2325">
            <v>70112619</v>
          </cell>
          <cell r="C2325" t="str">
            <v>고급 중형 무기류 창고</v>
          </cell>
        </row>
        <row r="2326">
          <cell r="A2326">
            <v>70112620</v>
          </cell>
          <cell r="C2326" t="str">
            <v>고급 중형 총포류 창고</v>
          </cell>
        </row>
        <row r="2327">
          <cell r="A2327">
            <v>70112621</v>
          </cell>
          <cell r="C2327" t="str">
            <v>고급 중형 짐창고</v>
          </cell>
        </row>
        <row r="2328">
          <cell r="A2328">
            <v>70112622</v>
          </cell>
          <cell r="C2328" t="str">
            <v>고급 중형 조수실</v>
          </cell>
        </row>
        <row r="2329">
          <cell r="A2329">
            <v>70112623</v>
          </cell>
          <cell r="C2329" t="str">
            <v>고급 중형 선원실</v>
          </cell>
        </row>
        <row r="2330">
          <cell r="A2330">
            <v>70112624</v>
          </cell>
          <cell r="C2330" t="str">
            <v>고급 중형 탄약창고</v>
          </cell>
        </row>
        <row r="2331">
          <cell r="A2331">
            <v>70112625</v>
          </cell>
          <cell r="C2331" t="str">
            <v>고급 중형 무기창고</v>
          </cell>
        </row>
        <row r="2332">
          <cell r="A2332">
            <v>70112626</v>
          </cell>
          <cell r="C2332" t="str">
            <v>고급 중형 휴게실</v>
          </cell>
        </row>
        <row r="2333">
          <cell r="A2333">
            <v>70112627</v>
          </cell>
          <cell r="C2333" t="str">
            <v>고급 중형 연회장</v>
          </cell>
        </row>
        <row r="2334">
          <cell r="A2334">
            <v>70112628</v>
          </cell>
          <cell r="C2334" t="str">
            <v>고급 중형 위장창고</v>
          </cell>
        </row>
        <row r="2335">
          <cell r="A2335">
            <v>70112629</v>
          </cell>
          <cell r="C2335" t="str">
            <v>고급 중형 강화창고</v>
          </cell>
        </row>
        <row r="2336">
          <cell r="A2336">
            <v>70112700</v>
          </cell>
          <cell r="C2336" t="str">
            <v>최고급 중형 물자창고</v>
          </cell>
        </row>
        <row r="2337">
          <cell r="A2337">
            <v>70112701</v>
          </cell>
          <cell r="C2337" t="str">
            <v>최고급 중형 식료품 창고</v>
          </cell>
        </row>
        <row r="2338">
          <cell r="A2338">
            <v>70112702</v>
          </cell>
          <cell r="C2338" t="str">
            <v>최고급 중형 조미료 창고</v>
          </cell>
        </row>
        <row r="2339">
          <cell r="A2339">
            <v>70112703</v>
          </cell>
          <cell r="C2339" t="str">
            <v>최고급 중형 가축 창고</v>
          </cell>
        </row>
        <row r="2340">
          <cell r="A2340">
            <v>70112704</v>
          </cell>
          <cell r="C2340" t="str">
            <v>최고급 중형 의약품 창고</v>
          </cell>
        </row>
        <row r="2341">
          <cell r="A2341">
            <v>70112705</v>
          </cell>
          <cell r="C2341" t="str">
            <v>최고급 중형 잡화 창고</v>
          </cell>
        </row>
        <row r="2342">
          <cell r="A2342">
            <v>70112706</v>
          </cell>
          <cell r="C2342" t="str">
            <v>최고급 중형 주류 창고</v>
          </cell>
        </row>
        <row r="2343">
          <cell r="A2343">
            <v>70112707</v>
          </cell>
          <cell r="C2343" t="str">
            <v>최고급 중형 염료 창고</v>
          </cell>
        </row>
        <row r="2344">
          <cell r="A2344">
            <v>70112708</v>
          </cell>
          <cell r="C2344" t="str">
            <v>최고급 중형 광석 창고</v>
          </cell>
        </row>
        <row r="2345">
          <cell r="A2345">
            <v>70112709</v>
          </cell>
          <cell r="C2345" t="str">
            <v>최고급 중형 공업품 창고</v>
          </cell>
        </row>
        <row r="2346">
          <cell r="A2346">
            <v>70112710</v>
          </cell>
          <cell r="C2346" t="str">
            <v>최고급 중형 기호품 창고</v>
          </cell>
        </row>
        <row r="2347">
          <cell r="A2347">
            <v>70112711</v>
          </cell>
          <cell r="C2347" t="str">
            <v>최고급 중형 섬유 창고</v>
          </cell>
        </row>
        <row r="2348">
          <cell r="A2348">
            <v>70112712</v>
          </cell>
          <cell r="C2348" t="str">
            <v>최고급 중형 직물 창고</v>
          </cell>
        </row>
        <row r="2349">
          <cell r="A2349">
            <v>70112713</v>
          </cell>
          <cell r="C2349" t="str">
            <v>최고급 중형 공예품 창고</v>
          </cell>
        </row>
        <row r="2350">
          <cell r="A2350">
            <v>70112714</v>
          </cell>
          <cell r="C2350" t="str">
            <v>최고급 중형 미술품 창고</v>
          </cell>
        </row>
        <row r="2351">
          <cell r="A2351">
            <v>70112715</v>
          </cell>
          <cell r="C2351" t="str">
            <v>최고급 중형 향신료 창고</v>
          </cell>
        </row>
        <row r="2352">
          <cell r="A2352">
            <v>70112716</v>
          </cell>
          <cell r="C2352" t="str">
            <v>최고급 중형 귀금속 창고</v>
          </cell>
        </row>
        <row r="2353">
          <cell r="A2353">
            <v>70112717</v>
          </cell>
          <cell r="C2353" t="str">
            <v>최고급 중형 향료 창고</v>
          </cell>
        </row>
        <row r="2354">
          <cell r="A2354">
            <v>70112718</v>
          </cell>
          <cell r="C2354" t="str">
            <v>최고급 중형 보석 창고</v>
          </cell>
        </row>
        <row r="2355">
          <cell r="A2355">
            <v>70112719</v>
          </cell>
          <cell r="C2355" t="str">
            <v>최고급 중형 무기류 창고</v>
          </cell>
        </row>
        <row r="2356">
          <cell r="A2356">
            <v>70112720</v>
          </cell>
          <cell r="C2356" t="str">
            <v>최고급 중형 총포류 창고</v>
          </cell>
        </row>
        <row r="2357">
          <cell r="A2357">
            <v>70112721</v>
          </cell>
          <cell r="C2357" t="str">
            <v>최고급 중형 짐창고</v>
          </cell>
        </row>
        <row r="2358">
          <cell r="A2358">
            <v>70112722</v>
          </cell>
          <cell r="C2358" t="str">
            <v>최고급 중형 조수실</v>
          </cell>
        </row>
        <row r="2359">
          <cell r="A2359">
            <v>70112723</v>
          </cell>
          <cell r="C2359" t="str">
            <v>최고급 중형 선원실</v>
          </cell>
        </row>
        <row r="2360">
          <cell r="A2360">
            <v>70112724</v>
          </cell>
          <cell r="C2360" t="str">
            <v>최고급 중형 탄약창고</v>
          </cell>
        </row>
        <row r="2361">
          <cell r="A2361">
            <v>70112725</v>
          </cell>
          <cell r="C2361" t="str">
            <v>최고급 중형 무기창고</v>
          </cell>
        </row>
        <row r="2362">
          <cell r="A2362">
            <v>70112726</v>
          </cell>
          <cell r="C2362" t="str">
            <v>최고급 중형 휴게실</v>
          </cell>
        </row>
        <row r="2363">
          <cell r="A2363">
            <v>70112727</v>
          </cell>
          <cell r="C2363" t="str">
            <v>최고급 중형 연회장</v>
          </cell>
        </row>
        <row r="2364">
          <cell r="A2364">
            <v>70112728</v>
          </cell>
          <cell r="C2364" t="str">
            <v>최고급 중형 위장창고</v>
          </cell>
        </row>
        <row r="2365">
          <cell r="A2365">
            <v>70112729</v>
          </cell>
          <cell r="C2365" t="str">
            <v>최고급 중형 강화창고</v>
          </cell>
        </row>
        <row r="2366">
          <cell r="A2366">
            <v>70112800</v>
          </cell>
          <cell r="C2366" t="str">
            <v>낡은 중형 물자창고</v>
          </cell>
        </row>
        <row r="2367">
          <cell r="A2367">
            <v>70112801</v>
          </cell>
          <cell r="C2367" t="str">
            <v>낡은 중형 식료품 창고</v>
          </cell>
        </row>
        <row r="2368">
          <cell r="A2368">
            <v>70112802</v>
          </cell>
          <cell r="C2368" t="str">
            <v>낡은 중형 조미료 창고</v>
          </cell>
        </row>
        <row r="2369">
          <cell r="A2369">
            <v>70112803</v>
          </cell>
          <cell r="C2369" t="str">
            <v>낡은 중형 가축 창고</v>
          </cell>
        </row>
        <row r="2370">
          <cell r="A2370">
            <v>70112804</v>
          </cell>
          <cell r="C2370" t="str">
            <v>낡은 중형 의약품 창고</v>
          </cell>
        </row>
        <row r="2371">
          <cell r="A2371">
            <v>70112805</v>
          </cell>
          <cell r="C2371" t="str">
            <v>낡은 중형 잡화 창고</v>
          </cell>
        </row>
        <row r="2372">
          <cell r="A2372">
            <v>70112806</v>
          </cell>
          <cell r="C2372" t="str">
            <v>낡은 중형 주류 창고</v>
          </cell>
        </row>
        <row r="2373">
          <cell r="A2373">
            <v>70112807</v>
          </cell>
          <cell r="C2373" t="str">
            <v>낡은 중형 염료 창고</v>
          </cell>
        </row>
        <row r="2374">
          <cell r="A2374">
            <v>70112808</v>
          </cell>
          <cell r="C2374" t="str">
            <v>낡은 중형 광석 창고</v>
          </cell>
        </row>
        <row r="2375">
          <cell r="A2375">
            <v>70112809</v>
          </cell>
          <cell r="C2375" t="str">
            <v>낡은 중형 공업품 창고</v>
          </cell>
        </row>
        <row r="2376">
          <cell r="A2376">
            <v>70112810</v>
          </cell>
          <cell r="C2376" t="str">
            <v>낡은 중형 기호품 창고</v>
          </cell>
        </row>
        <row r="2377">
          <cell r="A2377">
            <v>70112811</v>
          </cell>
          <cell r="C2377" t="str">
            <v>낡은 중형 섬유 창고</v>
          </cell>
        </row>
        <row r="2378">
          <cell r="A2378">
            <v>70112812</v>
          </cell>
          <cell r="C2378" t="str">
            <v>낡은 중형 직물 창고</v>
          </cell>
        </row>
        <row r="2379">
          <cell r="A2379">
            <v>70112813</v>
          </cell>
          <cell r="C2379" t="str">
            <v>낡은 중형 공예품 창고</v>
          </cell>
        </row>
        <row r="2380">
          <cell r="A2380">
            <v>70112814</v>
          </cell>
          <cell r="C2380" t="str">
            <v>낡은 중형 미술품 창고</v>
          </cell>
        </row>
        <row r="2381">
          <cell r="A2381">
            <v>70112815</v>
          </cell>
          <cell r="C2381" t="str">
            <v>낡은 중형 향신료 창고</v>
          </cell>
        </row>
        <row r="2382">
          <cell r="A2382">
            <v>70112816</v>
          </cell>
          <cell r="C2382" t="str">
            <v>낡은 중형 귀금속 창고</v>
          </cell>
        </row>
        <row r="2383">
          <cell r="A2383">
            <v>70112817</v>
          </cell>
          <cell r="C2383" t="str">
            <v>낡은 중형 향료 창고</v>
          </cell>
        </row>
        <row r="2384">
          <cell r="A2384">
            <v>70112818</v>
          </cell>
          <cell r="C2384" t="str">
            <v>낡은 중형 보석 창고</v>
          </cell>
        </row>
        <row r="2385">
          <cell r="A2385">
            <v>70112819</v>
          </cell>
          <cell r="C2385" t="str">
            <v>낡은 중형 무기류 창고</v>
          </cell>
        </row>
        <row r="2386">
          <cell r="A2386">
            <v>70112820</v>
          </cell>
          <cell r="C2386" t="str">
            <v>낡은 중형 총포류 창고</v>
          </cell>
        </row>
        <row r="2387">
          <cell r="A2387">
            <v>70112821</v>
          </cell>
          <cell r="C2387" t="str">
            <v>낡은 중형 짐창고</v>
          </cell>
        </row>
        <row r="2388">
          <cell r="A2388">
            <v>70112822</v>
          </cell>
          <cell r="C2388" t="str">
            <v>낡은 중형 조수실</v>
          </cell>
        </row>
        <row r="2389">
          <cell r="A2389">
            <v>70112823</v>
          </cell>
          <cell r="C2389" t="str">
            <v>낡은 중형 선원실</v>
          </cell>
        </row>
        <row r="2390">
          <cell r="A2390">
            <v>70112824</v>
          </cell>
          <cell r="C2390" t="str">
            <v>낡은 중형 탄약창고</v>
          </cell>
        </row>
        <row r="2391">
          <cell r="A2391">
            <v>70112825</v>
          </cell>
          <cell r="C2391" t="str">
            <v>낡은 중형 무기창고</v>
          </cell>
        </row>
        <row r="2392">
          <cell r="A2392">
            <v>70112826</v>
          </cell>
          <cell r="C2392" t="str">
            <v>낡은 중형 휴게실</v>
          </cell>
        </row>
        <row r="2393">
          <cell r="A2393">
            <v>70112827</v>
          </cell>
          <cell r="C2393" t="str">
            <v>낡은 중형 연회장</v>
          </cell>
        </row>
        <row r="2394">
          <cell r="A2394">
            <v>70112828</v>
          </cell>
          <cell r="C2394" t="str">
            <v>낡은 중형 위장창고</v>
          </cell>
        </row>
        <row r="2395">
          <cell r="A2395">
            <v>70112829</v>
          </cell>
          <cell r="C2395" t="str">
            <v>낡은 중형 강화창고</v>
          </cell>
        </row>
        <row r="2396">
          <cell r="A2396">
            <v>70112900</v>
          </cell>
          <cell r="C2396" t="str">
            <v>중형 물자창고</v>
          </cell>
        </row>
        <row r="2397">
          <cell r="A2397">
            <v>70112901</v>
          </cell>
          <cell r="C2397" t="str">
            <v>중형 식료품 창고</v>
          </cell>
        </row>
        <row r="2398">
          <cell r="A2398">
            <v>70112902</v>
          </cell>
          <cell r="C2398" t="str">
            <v>중형 조미료 창고</v>
          </cell>
        </row>
        <row r="2399">
          <cell r="A2399">
            <v>70112903</v>
          </cell>
          <cell r="C2399" t="str">
            <v>중형 가축 창고</v>
          </cell>
        </row>
        <row r="2400">
          <cell r="A2400">
            <v>70112904</v>
          </cell>
          <cell r="C2400" t="str">
            <v>중형 의약품 창고</v>
          </cell>
        </row>
        <row r="2401">
          <cell r="A2401">
            <v>70112905</v>
          </cell>
          <cell r="C2401" t="str">
            <v>중형 잡화 창고</v>
          </cell>
        </row>
        <row r="2402">
          <cell r="A2402">
            <v>70112906</v>
          </cell>
          <cell r="C2402" t="str">
            <v>중형 주류 창고</v>
          </cell>
        </row>
        <row r="2403">
          <cell r="A2403">
            <v>70112907</v>
          </cell>
          <cell r="C2403" t="str">
            <v>중형 염료 창고</v>
          </cell>
        </row>
        <row r="2404">
          <cell r="A2404">
            <v>70112908</v>
          </cell>
          <cell r="C2404" t="str">
            <v>중형 광석 창고</v>
          </cell>
        </row>
        <row r="2405">
          <cell r="A2405">
            <v>70112909</v>
          </cell>
          <cell r="C2405" t="str">
            <v>중형 공업품 창고</v>
          </cell>
        </row>
        <row r="2406">
          <cell r="A2406">
            <v>70112910</v>
          </cell>
          <cell r="C2406" t="str">
            <v>중형 기호품 창고</v>
          </cell>
        </row>
        <row r="2407">
          <cell r="A2407">
            <v>70112911</v>
          </cell>
          <cell r="C2407" t="str">
            <v>중형 섬유 창고</v>
          </cell>
        </row>
        <row r="2408">
          <cell r="A2408">
            <v>70112912</v>
          </cell>
          <cell r="C2408" t="str">
            <v>중형 직물 창고</v>
          </cell>
        </row>
        <row r="2409">
          <cell r="A2409">
            <v>70112913</v>
          </cell>
          <cell r="C2409" t="str">
            <v>중형 공예품 창고</v>
          </cell>
        </row>
        <row r="2410">
          <cell r="A2410">
            <v>70112914</v>
          </cell>
          <cell r="C2410" t="str">
            <v>중형 미술품 창고</v>
          </cell>
        </row>
        <row r="2411">
          <cell r="A2411">
            <v>70112915</v>
          </cell>
          <cell r="C2411" t="str">
            <v>중형 향신료 창고</v>
          </cell>
        </row>
        <row r="2412">
          <cell r="A2412">
            <v>70112916</v>
          </cell>
          <cell r="C2412" t="str">
            <v>중형 귀금속 창고</v>
          </cell>
        </row>
        <row r="2413">
          <cell r="A2413">
            <v>70112917</v>
          </cell>
          <cell r="C2413" t="str">
            <v>중형 향료 창고</v>
          </cell>
        </row>
        <row r="2414">
          <cell r="A2414">
            <v>70112918</v>
          </cell>
          <cell r="C2414" t="str">
            <v>중형 보석 창고</v>
          </cell>
        </row>
        <row r="2415">
          <cell r="A2415">
            <v>70112919</v>
          </cell>
          <cell r="C2415" t="str">
            <v>중형 무기류 창고</v>
          </cell>
        </row>
        <row r="2416">
          <cell r="A2416">
            <v>70112920</v>
          </cell>
          <cell r="C2416" t="str">
            <v>중형 총포류 창고</v>
          </cell>
        </row>
        <row r="2417">
          <cell r="A2417">
            <v>70112921</v>
          </cell>
          <cell r="C2417" t="str">
            <v>중형 짐창고</v>
          </cell>
        </row>
        <row r="2418">
          <cell r="A2418">
            <v>70112922</v>
          </cell>
          <cell r="C2418" t="str">
            <v>중형 조수실</v>
          </cell>
        </row>
        <row r="2419">
          <cell r="A2419">
            <v>70112923</v>
          </cell>
          <cell r="C2419" t="str">
            <v>중형 선원실</v>
          </cell>
        </row>
        <row r="2420">
          <cell r="A2420">
            <v>70112924</v>
          </cell>
          <cell r="C2420" t="str">
            <v>중형 탄약창고</v>
          </cell>
        </row>
        <row r="2421">
          <cell r="A2421">
            <v>70112925</v>
          </cell>
          <cell r="C2421" t="str">
            <v>중형 무기창고</v>
          </cell>
        </row>
        <row r="2422">
          <cell r="A2422">
            <v>70112926</v>
          </cell>
          <cell r="C2422" t="str">
            <v>중형 휴게실</v>
          </cell>
        </row>
        <row r="2423">
          <cell r="A2423">
            <v>70112927</v>
          </cell>
          <cell r="C2423" t="str">
            <v>중형 연회장</v>
          </cell>
        </row>
        <row r="2424">
          <cell r="A2424">
            <v>70112928</v>
          </cell>
          <cell r="C2424" t="str">
            <v>중형 위장창고</v>
          </cell>
        </row>
        <row r="2425">
          <cell r="A2425">
            <v>70112929</v>
          </cell>
          <cell r="C2425" t="str">
            <v>중형 강화창고</v>
          </cell>
        </row>
        <row r="2426">
          <cell r="A2426">
            <v>70113000</v>
          </cell>
          <cell r="C2426" t="str">
            <v>고급 중형 물자창고</v>
          </cell>
        </row>
        <row r="2427">
          <cell r="A2427">
            <v>70113001</v>
          </cell>
          <cell r="C2427" t="str">
            <v>고급 중형 식료품 창고</v>
          </cell>
        </row>
        <row r="2428">
          <cell r="A2428">
            <v>70113002</v>
          </cell>
          <cell r="C2428" t="str">
            <v>고급 중형 조미료 창고</v>
          </cell>
        </row>
        <row r="2429">
          <cell r="A2429">
            <v>70113003</v>
          </cell>
          <cell r="C2429" t="str">
            <v>고급 중형 가축 창고</v>
          </cell>
        </row>
        <row r="2430">
          <cell r="A2430">
            <v>70113004</v>
          </cell>
          <cell r="C2430" t="str">
            <v>고급 중형 의약품 창고</v>
          </cell>
        </row>
        <row r="2431">
          <cell r="A2431">
            <v>70113005</v>
          </cell>
          <cell r="C2431" t="str">
            <v>고급 중형 잡화 창고</v>
          </cell>
        </row>
        <row r="2432">
          <cell r="A2432">
            <v>70113006</v>
          </cell>
          <cell r="C2432" t="str">
            <v>고급 중형 주류 창고</v>
          </cell>
        </row>
        <row r="2433">
          <cell r="A2433">
            <v>70113007</v>
          </cell>
          <cell r="C2433" t="str">
            <v>고급 중형 염료 창고</v>
          </cell>
        </row>
        <row r="2434">
          <cell r="A2434">
            <v>70113008</v>
          </cell>
          <cell r="C2434" t="str">
            <v>고급 중형 광석 창고</v>
          </cell>
        </row>
        <row r="2435">
          <cell r="A2435">
            <v>70113009</v>
          </cell>
          <cell r="C2435" t="str">
            <v>고급 중형 공업품 창고</v>
          </cell>
        </row>
        <row r="2436">
          <cell r="A2436">
            <v>70113010</v>
          </cell>
          <cell r="C2436" t="str">
            <v>고급 중형 기호품 창고</v>
          </cell>
        </row>
        <row r="2437">
          <cell r="A2437">
            <v>70113011</v>
          </cell>
          <cell r="C2437" t="str">
            <v>고급 중형 섬유 창고</v>
          </cell>
        </row>
        <row r="2438">
          <cell r="A2438">
            <v>70113012</v>
          </cell>
          <cell r="C2438" t="str">
            <v>고급 중형 직물 창고</v>
          </cell>
        </row>
        <row r="2439">
          <cell r="A2439">
            <v>70113013</v>
          </cell>
          <cell r="C2439" t="str">
            <v>고급 중형 공예품 창고</v>
          </cell>
        </row>
        <row r="2440">
          <cell r="A2440">
            <v>70113014</v>
          </cell>
          <cell r="C2440" t="str">
            <v>고급 중형 미술품 창고</v>
          </cell>
        </row>
        <row r="2441">
          <cell r="A2441">
            <v>70113015</v>
          </cell>
          <cell r="C2441" t="str">
            <v>고급 중형 향신료 창고</v>
          </cell>
        </row>
        <row r="2442">
          <cell r="A2442">
            <v>70113016</v>
          </cell>
          <cell r="C2442" t="str">
            <v>고급 중형 귀금속 창고</v>
          </cell>
        </row>
        <row r="2443">
          <cell r="A2443">
            <v>70113017</v>
          </cell>
          <cell r="C2443" t="str">
            <v>고급 중형 향료 창고</v>
          </cell>
        </row>
        <row r="2444">
          <cell r="A2444">
            <v>70113018</v>
          </cell>
          <cell r="C2444" t="str">
            <v>고급 중형 보석 창고</v>
          </cell>
        </row>
        <row r="2445">
          <cell r="A2445">
            <v>70113019</v>
          </cell>
          <cell r="C2445" t="str">
            <v>고급 중형 무기류 창고</v>
          </cell>
        </row>
        <row r="2446">
          <cell r="A2446">
            <v>70113020</v>
          </cell>
          <cell r="C2446" t="str">
            <v>고급 중형 총포류 창고</v>
          </cell>
        </row>
        <row r="2447">
          <cell r="A2447">
            <v>70113021</v>
          </cell>
          <cell r="C2447" t="str">
            <v>고급 중형 짐창고</v>
          </cell>
        </row>
        <row r="2448">
          <cell r="A2448">
            <v>70113022</v>
          </cell>
          <cell r="C2448" t="str">
            <v>고급 중형 조수실</v>
          </cell>
        </row>
        <row r="2449">
          <cell r="A2449">
            <v>70113023</v>
          </cell>
          <cell r="C2449" t="str">
            <v>고급 중형 선원실</v>
          </cell>
        </row>
        <row r="2450">
          <cell r="A2450">
            <v>70113024</v>
          </cell>
          <cell r="C2450" t="str">
            <v>고급 중형 탄약창고</v>
          </cell>
        </row>
        <row r="2451">
          <cell r="A2451">
            <v>70113025</v>
          </cell>
          <cell r="C2451" t="str">
            <v>고급 중형 무기창고</v>
          </cell>
        </row>
        <row r="2452">
          <cell r="A2452">
            <v>70113026</v>
          </cell>
          <cell r="C2452" t="str">
            <v>고급 중형 휴게실</v>
          </cell>
        </row>
        <row r="2453">
          <cell r="A2453">
            <v>70113027</v>
          </cell>
          <cell r="C2453" t="str">
            <v>고급 중형 연회장</v>
          </cell>
        </row>
        <row r="2454">
          <cell r="A2454">
            <v>70113028</v>
          </cell>
          <cell r="C2454" t="str">
            <v>고급 중형 위장창고</v>
          </cell>
        </row>
        <row r="2455">
          <cell r="A2455">
            <v>70113029</v>
          </cell>
          <cell r="C2455" t="str">
            <v>고급 중형 강화창고</v>
          </cell>
        </row>
        <row r="2456">
          <cell r="A2456">
            <v>70113100</v>
          </cell>
          <cell r="C2456" t="str">
            <v>최고급 중형 물자창고</v>
          </cell>
        </row>
        <row r="2457">
          <cell r="A2457">
            <v>70113101</v>
          </cell>
          <cell r="C2457" t="str">
            <v>최고급 중형 식료품 창고</v>
          </cell>
        </row>
        <row r="2458">
          <cell r="A2458">
            <v>70113102</v>
          </cell>
          <cell r="C2458" t="str">
            <v>최고급 중형 조미료 창고</v>
          </cell>
        </row>
        <row r="2459">
          <cell r="A2459">
            <v>70113103</v>
          </cell>
          <cell r="C2459" t="str">
            <v>최고급 중형 가축 창고</v>
          </cell>
        </row>
        <row r="2460">
          <cell r="A2460">
            <v>70113104</v>
          </cell>
          <cell r="C2460" t="str">
            <v>최고급 중형 의약품 창고</v>
          </cell>
        </row>
        <row r="2461">
          <cell r="A2461">
            <v>70113105</v>
          </cell>
          <cell r="C2461" t="str">
            <v>최고급 중형 잡화 창고</v>
          </cell>
        </row>
        <row r="2462">
          <cell r="A2462">
            <v>70113106</v>
          </cell>
          <cell r="C2462" t="str">
            <v>최고급 중형 주류 창고</v>
          </cell>
        </row>
        <row r="2463">
          <cell r="A2463">
            <v>70113107</v>
          </cell>
          <cell r="C2463" t="str">
            <v>최고급 중형 염료 창고</v>
          </cell>
        </row>
        <row r="2464">
          <cell r="A2464">
            <v>70113108</v>
          </cell>
          <cell r="C2464" t="str">
            <v>최고급 중형 광석 창고</v>
          </cell>
        </row>
        <row r="2465">
          <cell r="A2465">
            <v>70113109</v>
          </cell>
          <cell r="C2465" t="str">
            <v>최고급 중형 공업품 창고</v>
          </cell>
        </row>
        <row r="2466">
          <cell r="A2466">
            <v>70113110</v>
          </cell>
          <cell r="C2466" t="str">
            <v>최고급 중형 기호품 창고</v>
          </cell>
        </row>
        <row r="2467">
          <cell r="A2467">
            <v>70113111</v>
          </cell>
          <cell r="C2467" t="str">
            <v>최고급 중형 섬유 창고</v>
          </cell>
        </row>
        <row r="2468">
          <cell r="A2468">
            <v>70113112</v>
          </cell>
          <cell r="C2468" t="str">
            <v>최고급 중형 직물 창고</v>
          </cell>
        </row>
        <row r="2469">
          <cell r="A2469">
            <v>70113113</v>
          </cell>
          <cell r="C2469" t="str">
            <v>최고급 중형 공예품 창고</v>
          </cell>
        </row>
        <row r="2470">
          <cell r="A2470">
            <v>70113114</v>
          </cell>
          <cell r="C2470" t="str">
            <v>최고급 중형 미술품 창고</v>
          </cell>
        </row>
        <row r="2471">
          <cell r="A2471">
            <v>70113115</v>
          </cell>
          <cell r="C2471" t="str">
            <v>최고급 중형 향신료 창고</v>
          </cell>
        </row>
        <row r="2472">
          <cell r="A2472">
            <v>70113116</v>
          </cell>
          <cell r="C2472" t="str">
            <v>최고급 중형 귀금속 창고</v>
          </cell>
        </row>
        <row r="2473">
          <cell r="A2473">
            <v>70113117</v>
          </cell>
          <cell r="C2473" t="str">
            <v>최고급 중형 향료 창고</v>
          </cell>
        </row>
        <row r="2474">
          <cell r="A2474">
            <v>70113118</v>
          </cell>
          <cell r="C2474" t="str">
            <v>최고급 중형 보석 창고</v>
          </cell>
        </row>
        <row r="2475">
          <cell r="A2475">
            <v>70113119</v>
          </cell>
          <cell r="C2475" t="str">
            <v>최고급 중형 무기류 창고</v>
          </cell>
        </row>
        <row r="2476">
          <cell r="A2476">
            <v>70113120</v>
          </cell>
          <cell r="C2476" t="str">
            <v>최고급 중형 총포류 창고</v>
          </cell>
        </row>
        <row r="2477">
          <cell r="A2477">
            <v>70113121</v>
          </cell>
          <cell r="C2477" t="str">
            <v>최고급 중형 짐창고</v>
          </cell>
        </row>
        <row r="2478">
          <cell r="A2478">
            <v>70113122</v>
          </cell>
          <cell r="C2478" t="str">
            <v>최고급 중형 조수실</v>
          </cell>
        </row>
        <row r="2479">
          <cell r="A2479">
            <v>70113123</v>
          </cell>
          <cell r="C2479" t="str">
            <v>최고급 중형 선원실</v>
          </cell>
        </row>
        <row r="2480">
          <cell r="A2480">
            <v>70113124</v>
          </cell>
          <cell r="C2480" t="str">
            <v>최고급 중형 탄약창고</v>
          </cell>
        </row>
        <row r="2481">
          <cell r="A2481">
            <v>70113125</v>
          </cell>
          <cell r="C2481" t="str">
            <v>최고급 중형 무기창고</v>
          </cell>
        </row>
        <row r="2482">
          <cell r="A2482">
            <v>70113126</v>
          </cell>
          <cell r="C2482" t="str">
            <v>최고급 중형 휴게실</v>
          </cell>
        </row>
        <row r="2483">
          <cell r="A2483">
            <v>70113127</v>
          </cell>
          <cell r="C2483" t="str">
            <v>최고급 중형 연회장</v>
          </cell>
        </row>
        <row r="2484">
          <cell r="A2484">
            <v>70113128</v>
          </cell>
          <cell r="C2484" t="str">
            <v>최고급 중형 위장창고</v>
          </cell>
        </row>
        <row r="2485">
          <cell r="A2485">
            <v>70113129</v>
          </cell>
          <cell r="C2485" t="str">
            <v>최고급 중형 강화창고</v>
          </cell>
        </row>
        <row r="2486">
          <cell r="A2486">
            <v>70113200</v>
          </cell>
          <cell r="C2486" t="str">
            <v>낡은 중형 물자창고</v>
          </cell>
        </row>
        <row r="2487">
          <cell r="A2487">
            <v>70113201</v>
          </cell>
          <cell r="C2487" t="str">
            <v>낡은 중형 식료품 창고</v>
          </cell>
        </row>
        <row r="2488">
          <cell r="A2488">
            <v>70113202</v>
          </cell>
          <cell r="C2488" t="str">
            <v>낡은 중형 조미료 창고</v>
          </cell>
        </row>
        <row r="2489">
          <cell r="A2489">
            <v>70113203</v>
          </cell>
          <cell r="C2489" t="str">
            <v>낡은 중형 가축 창고</v>
          </cell>
        </row>
        <row r="2490">
          <cell r="A2490">
            <v>70113204</v>
          </cell>
          <cell r="C2490" t="str">
            <v>낡은 중형 의약품 창고</v>
          </cell>
        </row>
        <row r="2491">
          <cell r="A2491">
            <v>70113205</v>
          </cell>
          <cell r="C2491" t="str">
            <v>낡은 중형 잡화 창고</v>
          </cell>
        </row>
        <row r="2492">
          <cell r="A2492">
            <v>70113206</v>
          </cell>
          <cell r="C2492" t="str">
            <v>낡은 중형 주류 창고</v>
          </cell>
        </row>
        <row r="2493">
          <cell r="A2493">
            <v>70113207</v>
          </cell>
          <cell r="C2493" t="str">
            <v>낡은 중형 염료 창고</v>
          </cell>
        </row>
        <row r="2494">
          <cell r="A2494">
            <v>70113208</v>
          </cell>
          <cell r="C2494" t="str">
            <v>낡은 중형 광석 창고</v>
          </cell>
        </row>
        <row r="2495">
          <cell r="A2495">
            <v>70113209</v>
          </cell>
          <cell r="C2495" t="str">
            <v>낡은 중형 공업품 창고</v>
          </cell>
        </row>
        <row r="2496">
          <cell r="A2496">
            <v>70113210</v>
          </cell>
          <cell r="C2496" t="str">
            <v>낡은 중형 기호품 창고</v>
          </cell>
        </row>
        <row r="2497">
          <cell r="A2497">
            <v>70113211</v>
          </cell>
          <cell r="C2497" t="str">
            <v>낡은 중형 섬유 창고</v>
          </cell>
        </row>
        <row r="2498">
          <cell r="A2498">
            <v>70113212</v>
          </cell>
          <cell r="C2498" t="str">
            <v>낡은 중형 직물 창고</v>
          </cell>
        </row>
        <row r="2499">
          <cell r="A2499">
            <v>70113213</v>
          </cell>
          <cell r="C2499" t="str">
            <v>낡은 중형 공예품 창고</v>
          </cell>
        </row>
        <row r="2500">
          <cell r="A2500">
            <v>70113214</v>
          </cell>
          <cell r="C2500" t="str">
            <v>낡은 중형 미술품 창고</v>
          </cell>
        </row>
        <row r="2501">
          <cell r="A2501">
            <v>70113215</v>
          </cell>
          <cell r="C2501" t="str">
            <v>낡은 중형 향신료 창고</v>
          </cell>
        </row>
        <row r="2502">
          <cell r="A2502">
            <v>70113216</v>
          </cell>
          <cell r="C2502" t="str">
            <v>낡은 중형 귀금속 창고</v>
          </cell>
        </row>
        <row r="2503">
          <cell r="A2503">
            <v>70113217</v>
          </cell>
          <cell r="C2503" t="str">
            <v>낡은 중형 향료 창고</v>
          </cell>
        </row>
        <row r="2504">
          <cell r="A2504">
            <v>70113218</v>
          </cell>
          <cell r="C2504" t="str">
            <v>낡은 중형 보석 창고</v>
          </cell>
        </row>
        <row r="2505">
          <cell r="A2505">
            <v>70113219</v>
          </cell>
          <cell r="C2505" t="str">
            <v>낡은 중형 무기류 창고</v>
          </cell>
        </row>
        <row r="2506">
          <cell r="A2506">
            <v>70113220</v>
          </cell>
          <cell r="C2506" t="str">
            <v>낡은 중형 총포류 창고</v>
          </cell>
        </row>
        <row r="2507">
          <cell r="A2507">
            <v>70113221</v>
          </cell>
          <cell r="C2507" t="str">
            <v>낡은 중형 짐창고</v>
          </cell>
        </row>
        <row r="2508">
          <cell r="A2508">
            <v>70113222</v>
          </cell>
          <cell r="C2508" t="str">
            <v>낡은 중형 조수실</v>
          </cell>
        </row>
        <row r="2509">
          <cell r="A2509">
            <v>70113223</v>
          </cell>
          <cell r="C2509" t="str">
            <v>낡은 중형 선원실</v>
          </cell>
        </row>
        <row r="2510">
          <cell r="A2510">
            <v>70113224</v>
          </cell>
          <cell r="C2510" t="str">
            <v>낡은 중형 탄약창고</v>
          </cell>
        </row>
        <row r="2511">
          <cell r="A2511">
            <v>70113225</v>
          </cell>
          <cell r="C2511" t="str">
            <v>낡은 중형 무기창고</v>
          </cell>
        </row>
        <row r="2512">
          <cell r="A2512">
            <v>70113226</v>
          </cell>
          <cell r="C2512" t="str">
            <v>낡은 중형 휴게실</v>
          </cell>
        </row>
        <row r="2513">
          <cell r="A2513">
            <v>70113227</v>
          </cell>
          <cell r="C2513" t="str">
            <v>낡은 중형 연회장</v>
          </cell>
        </row>
        <row r="2514">
          <cell r="A2514">
            <v>70113228</v>
          </cell>
          <cell r="C2514" t="str">
            <v>낡은 중형 위장창고</v>
          </cell>
        </row>
        <row r="2515">
          <cell r="A2515">
            <v>70113229</v>
          </cell>
          <cell r="C2515" t="str">
            <v>낡은 중형 강화창고</v>
          </cell>
        </row>
        <row r="2516">
          <cell r="A2516">
            <v>70113300</v>
          </cell>
          <cell r="C2516" t="str">
            <v>중형 물자창고</v>
          </cell>
        </row>
        <row r="2517">
          <cell r="A2517">
            <v>70113301</v>
          </cell>
          <cell r="C2517" t="str">
            <v>중형 식료품 창고</v>
          </cell>
        </row>
        <row r="2518">
          <cell r="A2518">
            <v>70113302</v>
          </cell>
          <cell r="C2518" t="str">
            <v>중형 조미료 창고</v>
          </cell>
        </row>
        <row r="2519">
          <cell r="A2519">
            <v>70113303</v>
          </cell>
          <cell r="C2519" t="str">
            <v>중형 가축 창고</v>
          </cell>
        </row>
        <row r="2520">
          <cell r="A2520">
            <v>70113304</v>
          </cell>
          <cell r="C2520" t="str">
            <v>중형 의약품 창고</v>
          </cell>
        </row>
        <row r="2521">
          <cell r="A2521">
            <v>70113305</v>
          </cell>
          <cell r="C2521" t="str">
            <v>중형 잡화 창고</v>
          </cell>
        </row>
        <row r="2522">
          <cell r="A2522">
            <v>70113306</v>
          </cell>
          <cell r="C2522" t="str">
            <v>중형 주류 창고</v>
          </cell>
        </row>
        <row r="2523">
          <cell r="A2523">
            <v>70113307</v>
          </cell>
          <cell r="C2523" t="str">
            <v>중형 염료 창고</v>
          </cell>
        </row>
        <row r="2524">
          <cell r="A2524">
            <v>70113308</v>
          </cell>
          <cell r="C2524" t="str">
            <v>중형 광석 창고</v>
          </cell>
        </row>
        <row r="2525">
          <cell r="A2525">
            <v>70113309</v>
          </cell>
          <cell r="C2525" t="str">
            <v>중형 공업품 창고</v>
          </cell>
        </row>
        <row r="2526">
          <cell r="A2526">
            <v>70113310</v>
          </cell>
          <cell r="C2526" t="str">
            <v>중형 기호품 창고</v>
          </cell>
        </row>
        <row r="2527">
          <cell r="A2527">
            <v>70113311</v>
          </cell>
          <cell r="C2527" t="str">
            <v>중형 섬유 창고</v>
          </cell>
        </row>
        <row r="2528">
          <cell r="A2528">
            <v>70113312</v>
          </cell>
          <cell r="C2528" t="str">
            <v>중형 직물 창고</v>
          </cell>
        </row>
        <row r="2529">
          <cell r="A2529">
            <v>70113313</v>
          </cell>
          <cell r="C2529" t="str">
            <v>중형 공예품 창고</v>
          </cell>
        </row>
        <row r="2530">
          <cell r="A2530">
            <v>70113314</v>
          </cell>
          <cell r="C2530" t="str">
            <v>중형 미술품 창고</v>
          </cell>
        </row>
        <row r="2531">
          <cell r="A2531">
            <v>70113315</v>
          </cell>
          <cell r="C2531" t="str">
            <v>중형 향신료 창고</v>
          </cell>
        </row>
        <row r="2532">
          <cell r="A2532">
            <v>70113316</v>
          </cell>
          <cell r="C2532" t="str">
            <v>중형 귀금속 창고</v>
          </cell>
        </row>
        <row r="2533">
          <cell r="A2533">
            <v>70113317</v>
          </cell>
          <cell r="C2533" t="str">
            <v>중형 향료 창고</v>
          </cell>
        </row>
        <row r="2534">
          <cell r="A2534">
            <v>70113318</v>
          </cell>
          <cell r="C2534" t="str">
            <v>중형 보석 창고</v>
          </cell>
        </row>
        <row r="2535">
          <cell r="A2535">
            <v>70113319</v>
          </cell>
          <cell r="C2535" t="str">
            <v>중형 무기류 창고</v>
          </cell>
        </row>
        <row r="2536">
          <cell r="A2536">
            <v>70113320</v>
          </cell>
          <cell r="C2536" t="str">
            <v>중형 총포류 창고</v>
          </cell>
        </row>
        <row r="2537">
          <cell r="A2537">
            <v>70113321</v>
          </cell>
          <cell r="C2537" t="str">
            <v>중형 짐창고</v>
          </cell>
        </row>
        <row r="2538">
          <cell r="A2538">
            <v>70113322</v>
          </cell>
          <cell r="C2538" t="str">
            <v>중형 조수실</v>
          </cell>
        </row>
        <row r="2539">
          <cell r="A2539">
            <v>70113323</v>
          </cell>
          <cell r="C2539" t="str">
            <v>중형 선원실</v>
          </cell>
        </row>
        <row r="2540">
          <cell r="A2540">
            <v>70113324</v>
          </cell>
          <cell r="C2540" t="str">
            <v>중형 탄약창고</v>
          </cell>
        </row>
        <row r="2541">
          <cell r="A2541">
            <v>70113325</v>
          </cell>
          <cell r="C2541" t="str">
            <v>중형 무기창고</v>
          </cell>
        </row>
        <row r="2542">
          <cell r="A2542">
            <v>70113326</v>
          </cell>
          <cell r="C2542" t="str">
            <v>중형 휴게실</v>
          </cell>
        </row>
        <row r="2543">
          <cell r="A2543">
            <v>70113327</v>
          </cell>
          <cell r="C2543" t="str">
            <v>중형 연회장</v>
          </cell>
        </row>
        <row r="2544">
          <cell r="A2544">
            <v>70113328</v>
          </cell>
          <cell r="C2544" t="str">
            <v>중형 위장창고</v>
          </cell>
        </row>
        <row r="2545">
          <cell r="A2545">
            <v>70113329</v>
          </cell>
          <cell r="C2545" t="str">
            <v>중형 강화창고</v>
          </cell>
        </row>
        <row r="2546">
          <cell r="A2546">
            <v>70113400</v>
          </cell>
          <cell r="C2546" t="str">
            <v>고급 중형 물자창고</v>
          </cell>
        </row>
        <row r="2547">
          <cell r="A2547">
            <v>70113401</v>
          </cell>
          <cell r="C2547" t="str">
            <v>고급 중형 식료품 창고</v>
          </cell>
        </row>
        <row r="2548">
          <cell r="A2548">
            <v>70113402</v>
          </cell>
          <cell r="C2548" t="str">
            <v>고급 중형 조미료 창고</v>
          </cell>
        </row>
        <row r="2549">
          <cell r="A2549">
            <v>70113403</v>
          </cell>
          <cell r="C2549" t="str">
            <v>고급 중형 가축 창고</v>
          </cell>
        </row>
        <row r="2550">
          <cell r="A2550">
            <v>70113404</v>
          </cell>
          <cell r="C2550" t="str">
            <v>고급 중형 의약품 창고</v>
          </cell>
        </row>
        <row r="2551">
          <cell r="A2551">
            <v>70113405</v>
          </cell>
          <cell r="C2551" t="str">
            <v>고급 중형 잡화 창고</v>
          </cell>
        </row>
        <row r="2552">
          <cell r="A2552">
            <v>70113406</v>
          </cell>
          <cell r="C2552" t="str">
            <v>고급 중형 주류 창고</v>
          </cell>
        </row>
        <row r="2553">
          <cell r="A2553">
            <v>70113407</v>
          </cell>
          <cell r="C2553" t="str">
            <v>고급 중형 염료 창고</v>
          </cell>
        </row>
        <row r="2554">
          <cell r="A2554">
            <v>70113408</v>
          </cell>
          <cell r="C2554" t="str">
            <v>고급 중형 광석 창고</v>
          </cell>
        </row>
        <row r="2555">
          <cell r="A2555">
            <v>70113409</v>
          </cell>
          <cell r="C2555" t="str">
            <v>고급 중형 공업품 창고</v>
          </cell>
        </row>
        <row r="2556">
          <cell r="A2556">
            <v>70113410</v>
          </cell>
          <cell r="C2556" t="str">
            <v>고급 중형 기호품 창고</v>
          </cell>
        </row>
        <row r="2557">
          <cell r="A2557">
            <v>70113411</v>
          </cell>
          <cell r="C2557" t="str">
            <v>고급 중형 섬유 창고</v>
          </cell>
        </row>
        <row r="2558">
          <cell r="A2558">
            <v>70113412</v>
          </cell>
          <cell r="C2558" t="str">
            <v>고급 중형 직물 창고</v>
          </cell>
        </row>
        <row r="2559">
          <cell r="A2559">
            <v>70113413</v>
          </cell>
          <cell r="C2559" t="str">
            <v>고급 중형 공예품 창고</v>
          </cell>
        </row>
        <row r="2560">
          <cell r="A2560">
            <v>70113414</v>
          </cell>
          <cell r="C2560" t="str">
            <v>고급 중형 미술품 창고</v>
          </cell>
        </row>
        <row r="2561">
          <cell r="A2561">
            <v>70113415</v>
          </cell>
          <cell r="C2561" t="str">
            <v>고급 중형 향신료 창고</v>
          </cell>
        </row>
        <row r="2562">
          <cell r="A2562">
            <v>70113416</v>
          </cell>
          <cell r="C2562" t="str">
            <v>고급 중형 귀금속 창고</v>
          </cell>
        </row>
        <row r="2563">
          <cell r="A2563">
            <v>70113417</v>
          </cell>
          <cell r="C2563" t="str">
            <v>고급 중형 향료 창고</v>
          </cell>
        </row>
        <row r="2564">
          <cell r="A2564">
            <v>70113418</v>
          </cell>
          <cell r="C2564" t="str">
            <v>고급 중형 보석 창고</v>
          </cell>
        </row>
        <row r="2565">
          <cell r="A2565">
            <v>70113419</v>
          </cell>
          <cell r="C2565" t="str">
            <v>고급 중형 무기류 창고</v>
          </cell>
        </row>
        <row r="2566">
          <cell r="A2566">
            <v>70113420</v>
          </cell>
          <cell r="C2566" t="str">
            <v>고급 중형 총포류 창고</v>
          </cell>
        </row>
        <row r="2567">
          <cell r="A2567">
            <v>70113421</v>
          </cell>
          <cell r="C2567" t="str">
            <v>고급 중형 짐창고</v>
          </cell>
        </row>
        <row r="2568">
          <cell r="A2568">
            <v>70113422</v>
          </cell>
          <cell r="C2568" t="str">
            <v>고급 중형 조수실</v>
          </cell>
        </row>
        <row r="2569">
          <cell r="A2569">
            <v>70113423</v>
          </cell>
          <cell r="C2569" t="str">
            <v>고급 중형 선원실</v>
          </cell>
        </row>
        <row r="2570">
          <cell r="A2570">
            <v>70113424</v>
          </cell>
          <cell r="C2570" t="str">
            <v>고급 중형 탄약창고</v>
          </cell>
        </row>
        <row r="2571">
          <cell r="A2571">
            <v>70113425</v>
          </cell>
          <cell r="C2571" t="str">
            <v>고급 중형 무기창고</v>
          </cell>
        </row>
        <row r="2572">
          <cell r="A2572">
            <v>70113426</v>
          </cell>
          <cell r="C2572" t="str">
            <v>고급 중형 휴게실</v>
          </cell>
        </row>
        <row r="2573">
          <cell r="A2573">
            <v>70113427</v>
          </cell>
          <cell r="C2573" t="str">
            <v>고급 중형 연회장</v>
          </cell>
        </row>
        <row r="2574">
          <cell r="A2574">
            <v>70113428</v>
          </cell>
          <cell r="C2574" t="str">
            <v>고급 중형 위장창고</v>
          </cell>
        </row>
        <row r="2575">
          <cell r="A2575">
            <v>70113429</v>
          </cell>
          <cell r="C2575" t="str">
            <v>고급 중형 강화창고</v>
          </cell>
        </row>
        <row r="2576">
          <cell r="A2576">
            <v>70113500</v>
          </cell>
          <cell r="C2576" t="str">
            <v>최고급 중형 물자창고</v>
          </cell>
        </row>
        <row r="2577">
          <cell r="A2577">
            <v>70113501</v>
          </cell>
          <cell r="C2577" t="str">
            <v>최고급 중형 식료품 창고</v>
          </cell>
        </row>
        <row r="2578">
          <cell r="A2578">
            <v>70113502</v>
          </cell>
          <cell r="C2578" t="str">
            <v>최고급 중형 조미료 창고</v>
          </cell>
        </row>
        <row r="2579">
          <cell r="A2579">
            <v>70113503</v>
          </cell>
          <cell r="C2579" t="str">
            <v>최고급 중형 가축 창고</v>
          </cell>
        </row>
        <row r="2580">
          <cell r="A2580">
            <v>70113504</v>
          </cell>
          <cell r="C2580" t="str">
            <v>최고급 중형 의약품 창고</v>
          </cell>
        </row>
        <row r="2581">
          <cell r="A2581">
            <v>70113505</v>
          </cell>
          <cell r="C2581" t="str">
            <v>최고급 중형 잡화 창고</v>
          </cell>
        </row>
        <row r="2582">
          <cell r="A2582">
            <v>70113506</v>
          </cell>
          <cell r="C2582" t="str">
            <v>최고급 중형 주류 창고</v>
          </cell>
        </row>
        <row r="2583">
          <cell r="A2583">
            <v>70113507</v>
          </cell>
          <cell r="C2583" t="str">
            <v>최고급 중형 염료 창고</v>
          </cell>
        </row>
        <row r="2584">
          <cell r="A2584">
            <v>70113508</v>
          </cell>
          <cell r="C2584" t="str">
            <v>최고급 중형 광석 창고</v>
          </cell>
        </row>
        <row r="2585">
          <cell r="A2585">
            <v>70113509</v>
          </cell>
          <cell r="C2585" t="str">
            <v>최고급 중형 공업품 창고</v>
          </cell>
        </row>
        <row r="2586">
          <cell r="A2586">
            <v>70113510</v>
          </cell>
          <cell r="C2586" t="str">
            <v>최고급 중형 기호품 창고</v>
          </cell>
        </row>
        <row r="2587">
          <cell r="A2587">
            <v>70113511</v>
          </cell>
          <cell r="C2587" t="str">
            <v>최고급 중형 섬유 창고</v>
          </cell>
        </row>
        <row r="2588">
          <cell r="A2588">
            <v>70113512</v>
          </cell>
          <cell r="C2588" t="str">
            <v>최고급 중형 직물 창고</v>
          </cell>
        </row>
        <row r="2589">
          <cell r="A2589">
            <v>70113513</v>
          </cell>
          <cell r="C2589" t="str">
            <v>최고급 중형 공예품 창고</v>
          </cell>
        </row>
        <row r="2590">
          <cell r="A2590">
            <v>70113514</v>
          </cell>
          <cell r="C2590" t="str">
            <v>최고급 중형 미술품 창고</v>
          </cell>
        </row>
        <row r="2591">
          <cell r="A2591">
            <v>70113515</v>
          </cell>
          <cell r="C2591" t="str">
            <v>최고급 중형 향신료 창고</v>
          </cell>
        </row>
        <row r="2592">
          <cell r="A2592">
            <v>70113516</v>
          </cell>
          <cell r="C2592" t="str">
            <v>최고급 중형 귀금속 창고</v>
          </cell>
        </row>
        <row r="2593">
          <cell r="A2593">
            <v>70113517</v>
          </cell>
          <cell r="C2593" t="str">
            <v>최고급 중형 향료 창고</v>
          </cell>
        </row>
        <row r="2594">
          <cell r="A2594">
            <v>70113518</v>
          </cell>
          <cell r="C2594" t="str">
            <v>최고급 중형 보석 창고</v>
          </cell>
        </row>
        <row r="2595">
          <cell r="A2595">
            <v>70113519</v>
          </cell>
          <cell r="C2595" t="str">
            <v>최고급 중형 무기류 창고</v>
          </cell>
        </row>
        <row r="2596">
          <cell r="A2596">
            <v>70113520</v>
          </cell>
          <cell r="C2596" t="str">
            <v>최고급 중형 총포류 창고</v>
          </cell>
        </row>
        <row r="2597">
          <cell r="A2597">
            <v>70113521</v>
          </cell>
          <cell r="C2597" t="str">
            <v>최고급 중형 짐창고</v>
          </cell>
        </row>
        <row r="2598">
          <cell r="A2598">
            <v>70113522</v>
          </cell>
          <cell r="C2598" t="str">
            <v>최고급 중형 조수실</v>
          </cell>
        </row>
        <row r="2599">
          <cell r="A2599">
            <v>70113523</v>
          </cell>
          <cell r="C2599" t="str">
            <v>최고급 중형 선원실</v>
          </cell>
        </row>
        <row r="2600">
          <cell r="A2600">
            <v>70113524</v>
          </cell>
          <cell r="C2600" t="str">
            <v>최고급 중형 탄약창고</v>
          </cell>
        </row>
        <row r="2601">
          <cell r="A2601">
            <v>70113525</v>
          </cell>
          <cell r="C2601" t="str">
            <v>최고급 중형 무기창고</v>
          </cell>
        </row>
        <row r="2602">
          <cell r="A2602">
            <v>70113526</v>
          </cell>
          <cell r="C2602" t="str">
            <v>최고급 중형 휴게실</v>
          </cell>
        </row>
        <row r="2603">
          <cell r="A2603">
            <v>70113527</v>
          </cell>
          <cell r="C2603" t="str">
            <v>최고급 중형 연회장</v>
          </cell>
        </row>
        <row r="2604">
          <cell r="A2604">
            <v>70113528</v>
          </cell>
          <cell r="C2604" t="str">
            <v>최고급 중형 위장창고</v>
          </cell>
        </row>
        <row r="2605">
          <cell r="A2605">
            <v>70113529</v>
          </cell>
          <cell r="C2605" t="str">
            <v>최고급 중형 강화창고</v>
          </cell>
        </row>
        <row r="2606">
          <cell r="A2606">
            <v>70113600</v>
          </cell>
          <cell r="C2606" t="str">
            <v>낡은 중형 물자창고</v>
          </cell>
        </row>
        <row r="2607">
          <cell r="A2607">
            <v>70113601</v>
          </cell>
          <cell r="C2607" t="str">
            <v>낡은 중형 식료품 창고</v>
          </cell>
        </row>
        <row r="2608">
          <cell r="A2608">
            <v>70113602</v>
          </cell>
          <cell r="C2608" t="str">
            <v>낡은 중형 조미료 창고</v>
          </cell>
        </row>
        <row r="2609">
          <cell r="A2609">
            <v>70113603</v>
          </cell>
          <cell r="C2609" t="str">
            <v>낡은 중형 가축 창고</v>
          </cell>
        </row>
        <row r="2610">
          <cell r="A2610">
            <v>70113604</v>
          </cell>
          <cell r="C2610" t="str">
            <v>낡은 중형 의약품 창고</v>
          </cell>
        </row>
        <row r="2611">
          <cell r="A2611">
            <v>70113605</v>
          </cell>
          <cell r="C2611" t="str">
            <v>낡은 중형 잡화 창고</v>
          </cell>
        </row>
        <row r="2612">
          <cell r="A2612">
            <v>70113606</v>
          </cell>
          <cell r="C2612" t="str">
            <v>낡은 중형 주류 창고</v>
          </cell>
        </row>
        <row r="2613">
          <cell r="A2613">
            <v>70113607</v>
          </cell>
          <cell r="C2613" t="str">
            <v>낡은 중형 염료 창고</v>
          </cell>
        </row>
        <row r="2614">
          <cell r="A2614">
            <v>70113608</v>
          </cell>
          <cell r="C2614" t="str">
            <v>낡은 중형 광석 창고</v>
          </cell>
        </row>
        <row r="2615">
          <cell r="A2615">
            <v>70113609</v>
          </cell>
          <cell r="C2615" t="str">
            <v>낡은 중형 공업품 창고</v>
          </cell>
        </row>
        <row r="2616">
          <cell r="A2616">
            <v>70113610</v>
          </cell>
          <cell r="C2616" t="str">
            <v>낡은 중형 기호품 창고</v>
          </cell>
        </row>
        <row r="2617">
          <cell r="A2617">
            <v>70113611</v>
          </cell>
          <cell r="C2617" t="str">
            <v>낡은 중형 섬유 창고</v>
          </cell>
        </row>
        <row r="2618">
          <cell r="A2618">
            <v>70113612</v>
          </cell>
          <cell r="C2618" t="str">
            <v>낡은 중형 직물 창고</v>
          </cell>
        </row>
        <row r="2619">
          <cell r="A2619">
            <v>70113613</v>
          </cell>
          <cell r="C2619" t="str">
            <v>낡은 중형 공예품 창고</v>
          </cell>
        </row>
        <row r="2620">
          <cell r="A2620">
            <v>70113614</v>
          </cell>
          <cell r="C2620" t="str">
            <v>낡은 중형 미술품 창고</v>
          </cell>
        </row>
        <row r="2621">
          <cell r="A2621">
            <v>70113615</v>
          </cell>
          <cell r="C2621" t="str">
            <v>낡은 중형 향신료 창고</v>
          </cell>
        </row>
        <row r="2622">
          <cell r="A2622">
            <v>70113616</v>
          </cell>
          <cell r="C2622" t="str">
            <v>낡은 중형 귀금속 창고</v>
          </cell>
        </row>
        <row r="2623">
          <cell r="A2623">
            <v>70113617</v>
          </cell>
          <cell r="C2623" t="str">
            <v>낡은 중형 향료 창고</v>
          </cell>
        </row>
        <row r="2624">
          <cell r="A2624">
            <v>70113618</v>
          </cell>
          <cell r="C2624" t="str">
            <v>낡은 중형 보석 창고</v>
          </cell>
        </row>
        <row r="2625">
          <cell r="A2625">
            <v>70113619</v>
          </cell>
          <cell r="C2625" t="str">
            <v>낡은 중형 무기류 창고</v>
          </cell>
        </row>
        <row r="2626">
          <cell r="A2626">
            <v>70113620</v>
          </cell>
          <cell r="C2626" t="str">
            <v>낡은 중형 총포류 창고</v>
          </cell>
        </row>
        <row r="2627">
          <cell r="A2627">
            <v>70113621</v>
          </cell>
          <cell r="C2627" t="str">
            <v>낡은 중형 짐창고</v>
          </cell>
        </row>
        <row r="2628">
          <cell r="A2628">
            <v>70113622</v>
          </cell>
          <cell r="C2628" t="str">
            <v>낡은 중형 조수실</v>
          </cell>
        </row>
        <row r="2629">
          <cell r="A2629">
            <v>70113623</v>
          </cell>
          <cell r="C2629" t="str">
            <v>낡은 중형 선원실</v>
          </cell>
        </row>
        <row r="2630">
          <cell r="A2630">
            <v>70113624</v>
          </cell>
          <cell r="C2630" t="str">
            <v>낡은 중형 탄약창고</v>
          </cell>
        </row>
        <row r="2631">
          <cell r="A2631">
            <v>70113625</v>
          </cell>
          <cell r="C2631" t="str">
            <v>낡은 중형 무기창고</v>
          </cell>
        </row>
        <row r="2632">
          <cell r="A2632">
            <v>70113626</v>
          </cell>
          <cell r="C2632" t="str">
            <v>낡은 중형 휴게실</v>
          </cell>
        </row>
        <row r="2633">
          <cell r="A2633">
            <v>70113627</v>
          </cell>
          <cell r="C2633" t="str">
            <v>낡은 중형 연회장</v>
          </cell>
        </row>
        <row r="2634">
          <cell r="A2634">
            <v>70113628</v>
          </cell>
          <cell r="C2634" t="str">
            <v>낡은 중형 위장창고</v>
          </cell>
        </row>
        <row r="2635">
          <cell r="A2635">
            <v>70113629</v>
          </cell>
          <cell r="C2635" t="str">
            <v>낡은 중형 강화창고</v>
          </cell>
        </row>
        <row r="2636">
          <cell r="A2636">
            <v>70113700</v>
          </cell>
          <cell r="C2636" t="str">
            <v>중형 물자창고</v>
          </cell>
        </row>
        <row r="2637">
          <cell r="A2637">
            <v>70113701</v>
          </cell>
          <cell r="C2637" t="str">
            <v>중형 식료품 창고</v>
          </cell>
        </row>
        <row r="2638">
          <cell r="A2638">
            <v>70113702</v>
          </cell>
          <cell r="C2638" t="str">
            <v>중형 조미료 창고</v>
          </cell>
        </row>
        <row r="2639">
          <cell r="A2639">
            <v>70113703</v>
          </cell>
          <cell r="C2639" t="str">
            <v>중형 가축 창고</v>
          </cell>
        </row>
        <row r="2640">
          <cell r="A2640">
            <v>70113704</v>
          </cell>
          <cell r="C2640" t="str">
            <v>중형 의약품 창고</v>
          </cell>
        </row>
        <row r="2641">
          <cell r="A2641">
            <v>70113705</v>
          </cell>
          <cell r="C2641" t="str">
            <v>중형 잡화 창고</v>
          </cell>
        </row>
        <row r="2642">
          <cell r="A2642">
            <v>70113706</v>
          </cell>
          <cell r="C2642" t="str">
            <v>중형 주류 창고</v>
          </cell>
        </row>
        <row r="2643">
          <cell r="A2643">
            <v>70113707</v>
          </cell>
          <cell r="C2643" t="str">
            <v>중형 염료 창고</v>
          </cell>
        </row>
        <row r="2644">
          <cell r="A2644">
            <v>70113708</v>
          </cell>
          <cell r="C2644" t="str">
            <v>중형 광석 창고</v>
          </cell>
        </row>
        <row r="2645">
          <cell r="A2645">
            <v>70113709</v>
          </cell>
          <cell r="C2645" t="str">
            <v>중형 공업품 창고</v>
          </cell>
        </row>
        <row r="2646">
          <cell r="A2646">
            <v>70113710</v>
          </cell>
          <cell r="C2646" t="str">
            <v>중형 기호품 창고</v>
          </cell>
        </row>
        <row r="2647">
          <cell r="A2647">
            <v>70113711</v>
          </cell>
          <cell r="C2647" t="str">
            <v>중형 섬유 창고</v>
          </cell>
        </row>
        <row r="2648">
          <cell r="A2648">
            <v>70113712</v>
          </cell>
          <cell r="C2648" t="str">
            <v>중형 직물 창고</v>
          </cell>
        </row>
        <row r="2649">
          <cell r="A2649">
            <v>70113713</v>
          </cell>
          <cell r="C2649" t="str">
            <v>중형 공예품 창고</v>
          </cell>
        </row>
        <row r="2650">
          <cell r="A2650">
            <v>70113714</v>
          </cell>
          <cell r="C2650" t="str">
            <v>중형 미술품 창고</v>
          </cell>
        </row>
        <row r="2651">
          <cell r="A2651">
            <v>70113715</v>
          </cell>
          <cell r="C2651" t="str">
            <v>중형 향신료 창고</v>
          </cell>
        </row>
        <row r="2652">
          <cell r="A2652">
            <v>70113716</v>
          </cell>
          <cell r="C2652" t="str">
            <v>중형 귀금속 창고</v>
          </cell>
        </row>
        <row r="2653">
          <cell r="A2653">
            <v>70113717</v>
          </cell>
          <cell r="C2653" t="str">
            <v>중형 향료 창고</v>
          </cell>
        </row>
        <row r="2654">
          <cell r="A2654">
            <v>70113718</v>
          </cell>
          <cell r="C2654" t="str">
            <v>중형 보석 창고</v>
          </cell>
        </row>
        <row r="2655">
          <cell r="A2655">
            <v>70113719</v>
          </cell>
          <cell r="C2655" t="str">
            <v>중형 무기류 창고</v>
          </cell>
        </row>
        <row r="2656">
          <cell r="A2656">
            <v>70113720</v>
          </cell>
          <cell r="C2656" t="str">
            <v>중형 총포류 창고</v>
          </cell>
        </row>
        <row r="2657">
          <cell r="A2657">
            <v>70113721</v>
          </cell>
          <cell r="C2657" t="str">
            <v>중형 짐창고</v>
          </cell>
        </row>
        <row r="2658">
          <cell r="A2658">
            <v>70113722</v>
          </cell>
          <cell r="C2658" t="str">
            <v>중형 조수실</v>
          </cell>
        </row>
        <row r="2659">
          <cell r="A2659">
            <v>70113723</v>
          </cell>
          <cell r="C2659" t="str">
            <v>중형 선원실</v>
          </cell>
        </row>
        <row r="2660">
          <cell r="A2660">
            <v>70113724</v>
          </cell>
          <cell r="C2660" t="str">
            <v>중형 탄약창고</v>
          </cell>
        </row>
        <row r="2661">
          <cell r="A2661">
            <v>70113725</v>
          </cell>
          <cell r="C2661" t="str">
            <v>중형 무기창고</v>
          </cell>
        </row>
        <row r="2662">
          <cell r="A2662">
            <v>70113726</v>
          </cell>
          <cell r="C2662" t="str">
            <v>중형 휴게실</v>
          </cell>
        </row>
        <row r="2663">
          <cell r="A2663">
            <v>70113727</v>
          </cell>
          <cell r="C2663" t="str">
            <v>중형 연회장</v>
          </cell>
        </row>
        <row r="2664">
          <cell r="A2664">
            <v>70113728</v>
          </cell>
          <cell r="C2664" t="str">
            <v>중형 위장창고</v>
          </cell>
        </row>
        <row r="2665">
          <cell r="A2665">
            <v>70113729</v>
          </cell>
          <cell r="C2665" t="str">
            <v>중형 강화창고</v>
          </cell>
        </row>
        <row r="2666">
          <cell r="A2666">
            <v>70113800</v>
          </cell>
          <cell r="C2666" t="str">
            <v>고급 중형 물자창고</v>
          </cell>
        </row>
        <row r="2667">
          <cell r="A2667">
            <v>70113801</v>
          </cell>
          <cell r="C2667" t="str">
            <v>고급 중형 식료품 창고</v>
          </cell>
        </row>
        <row r="2668">
          <cell r="A2668">
            <v>70113802</v>
          </cell>
          <cell r="C2668" t="str">
            <v>고급 중형 조미료 창고</v>
          </cell>
        </row>
        <row r="2669">
          <cell r="A2669">
            <v>70113803</v>
          </cell>
          <cell r="C2669" t="str">
            <v>고급 중형 가축 창고</v>
          </cell>
        </row>
        <row r="2670">
          <cell r="A2670">
            <v>70113804</v>
          </cell>
          <cell r="C2670" t="str">
            <v>고급 중형 의약품 창고</v>
          </cell>
        </row>
        <row r="2671">
          <cell r="A2671">
            <v>70113805</v>
          </cell>
          <cell r="C2671" t="str">
            <v>고급 중형 잡화 창고</v>
          </cell>
        </row>
        <row r="2672">
          <cell r="A2672">
            <v>70113806</v>
          </cell>
          <cell r="C2672" t="str">
            <v>고급 중형 주류 창고</v>
          </cell>
        </row>
        <row r="2673">
          <cell r="A2673">
            <v>70113807</v>
          </cell>
          <cell r="C2673" t="str">
            <v>고급 중형 염료 창고</v>
          </cell>
        </row>
        <row r="2674">
          <cell r="A2674">
            <v>70113808</v>
          </cell>
          <cell r="C2674" t="str">
            <v>고급 중형 광석 창고</v>
          </cell>
        </row>
        <row r="2675">
          <cell r="A2675">
            <v>70113809</v>
          </cell>
          <cell r="C2675" t="str">
            <v>고급 중형 공업품 창고</v>
          </cell>
        </row>
        <row r="2676">
          <cell r="A2676">
            <v>70113810</v>
          </cell>
          <cell r="C2676" t="str">
            <v>고급 중형 기호품 창고</v>
          </cell>
        </row>
        <row r="2677">
          <cell r="A2677">
            <v>70113811</v>
          </cell>
          <cell r="C2677" t="str">
            <v>고급 중형 섬유 창고</v>
          </cell>
        </row>
        <row r="2678">
          <cell r="A2678">
            <v>70113812</v>
          </cell>
          <cell r="C2678" t="str">
            <v>고급 중형 직물 창고</v>
          </cell>
        </row>
        <row r="2679">
          <cell r="A2679">
            <v>70113813</v>
          </cell>
          <cell r="C2679" t="str">
            <v>고급 중형 공예품 창고</v>
          </cell>
        </row>
        <row r="2680">
          <cell r="A2680">
            <v>70113814</v>
          </cell>
          <cell r="C2680" t="str">
            <v>고급 중형 미술품 창고</v>
          </cell>
        </row>
        <row r="2681">
          <cell r="A2681">
            <v>70113815</v>
          </cell>
          <cell r="C2681" t="str">
            <v>고급 중형 향신료 창고</v>
          </cell>
        </row>
        <row r="2682">
          <cell r="A2682">
            <v>70113816</v>
          </cell>
          <cell r="C2682" t="str">
            <v>고급 중형 귀금속 창고</v>
          </cell>
        </row>
        <row r="2683">
          <cell r="A2683">
            <v>70113817</v>
          </cell>
          <cell r="C2683" t="str">
            <v>고급 중형 향료 창고</v>
          </cell>
        </row>
        <row r="2684">
          <cell r="A2684">
            <v>70113818</v>
          </cell>
          <cell r="C2684" t="str">
            <v>고급 중형 보석 창고</v>
          </cell>
        </row>
        <row r="2685">
          <cell r="A2685">
            <v>70113819</v>
          </cell>
          <cell r="C2685" t="str">
            <v>고급 중형 무기류 창고</v>
          </cell>
        </row>
        <row r="2686">
          <cell r="A2686">
            <v>70113820</v>
          </cell>
          <cell r="C2686" t="str">
            <v>고급 중형 총포류 창고</v>
          </cell>
        </row>
        <row r="2687">
          <cell r="A2687">
            <v>70113821</v>
          </cell>
          <cell r="C2687" t="str">
            <v>고급 중형 짐창고</v>
          </cell>
        </row>
        <row r="2688">
          <cell r="A2688">
            <v>70113822</v>
          </cell>
          <cell r="C2688" t="str">
            <v>고급 중형 조수실</v>
          </cell>
        </row>
        <row r="2689">
          <cell r="A2689">
            <v>70113823</v>
          </cell>
          <cell r="C2689" t="str">
            <v>고급 중형 선원실</v>
          </cell>
        </row>
        <row r="2690">
          <cell r="A2690">
            <v>70113824</v>
          </cell>
          <cell r="C2690" t="str">
            <v>고급 중형 탄약창고</v>
          </cell>
        </row>
        <row r="2691">
          <cell r="A2691">
            <v>70113825</v>
          </cell>
          <cell r="C2691" t="str">
            <v>고급 중형 무기창고</v>
          </cell>
        </row>
        <row r="2692">
          <cell r="A2692">
            <v>70113826</v>
          </cell>
          <cell r="C2692" t="str">
            <v>고급 중형 휴게실</v>
          </cell>
        </row>
        <row r="2693">
          <cell r="A2693">
            <v>70113827</v>
          </cell>
          <cell r="C2693" t="str">
            <v>고급 중형 연회장</v>
          </cell>
        </row>
        <row r="2694">
          <cell r="A2694">
            <v>70113828</v>
          </cell>
          <cell r="C2694" t="str">
            <v>고급 중형 위장창고</v>
          </cell>
        </row>
        <row r="2695">
          <cell r="A2695">
            <v>70113829</v>
          </cell>
          <cell r="C2695" t="str">
            <v>고급 중형 강화창고</v>
          </cell>
        </row>
        <row r="2696">
          <cell r="A2696">
            <v>70113900</v>
          </cell>
          <cell r="C2696" t="str">
            <v>최고급 중형 물자창고</v>
          </cell>
        </row>
        <row r="2697">
          <cell r="A2697">
            <v>70113901</v>
          </cell>
          <cell r="C2697" t="str">
            <v>최고급 중형 식료품 창고</v>
          </cell>
        </row>
        <row r="2698">
          <cell r="A2698">
            <v>70113902</v>
          </cell>
          <cell r="C2698" t="str">
            <v>최고급 중형 조미료 창고</v>
          </cell>
        </row>
        <row r="2699">
          <cell r="A2699">
            <v>70113903</v>
          </cell>
          <cell r="C2699" t="str">
            <v>최고급 중형 가축 창고</v>
          </cell>
        </row>
        <row r="2700">
          <cell r="A2700">
            <v>70113904</v>
          </cell>
          <cell r="C2700" t="str">
            <v>최고급 중형 의약품 창고</v>
          </cell>
        </row>
        <row r="2701">
          <cell r="A2701">
            <v>70113905</v>
          </cell>
          <cell r="C2701" t="str">
            <v>최고급 중형 잡화 창고</v>
          </cell>
        </row>
        <row r="2702">
          <cell r="A2702">
            <v>70113906</v>
          </cell>
          <cell r="C2702" t="str">
            <v>최고급 중형 주류 창고</v>
          </cell>
        </row>
        <row r="2703">
          <cell r="A2703">
            <v>70113907</v>
          </cell>
          <cell r="C2703" t="str">
            <v>최고급 중형 염료 창고</v>
          </cell>
        </row>
        <row r="2704">
          <cell r="A2704">
            <v>70113908</v>
          </cell>
          <cell r="C2704" t="str">
            <v>최고급 중형 광석 창고</v>
          </cell>
        </row>
        <row r="2705">
          <cell r="A2705">
            <v>70113909</v>
          </cell>
          <cell r="C2705" t="str">
            <v>최고급 중형 공업품 창고</v>
          </cell>
        </row>
        <row r="2706">
          <cell r="A2706">
            <v>70113910</v>
          </cell>
          <cell r="C2706" t="str">
            <v>최고급 중형 기호품 창고</v>
          </cell>
        </row>
        <row r="2707">
          <cell r="A2707">
            <v>70113911</v>
          </cell>
          <cell r="C2707" t="str">
            <v>최고급 중형 섬유 창고</v>
          </cell>
        </row>
        <row r="2708">
          <cell r="A2708">
            <v>70113912</v>
          </cell>
          <cell r="C2708" t="str">
            <v>최고급 중형 직물 창고</v>
          </cell>
        </row>
        <row r="2709">
          <cell r="A2709">
            <v>70113913</v>
          </cell>
          <cell r="C2709" t="str">
            <v>최고급 중형 공예품 창고</v>
          </cell>
        </row>
        <row r="2710">
          <cell r="A2710">
            <v>70113914</v>
          </cell>
          <cell r="C2710" t="str">
            <v>최고급 중형 미술품 창고</v>
          </cell>
        </row>
        <row r="2711">
          <cell r="A2711">
            <v>70113915</v>
          </cell>
          <cell r="C2711" t="str">
            <v>최고급 중형 향신료 창고</v>
          </cell>
        </row>
        <row r="2712">
          <cell r="A2712">
            <v>70113916</v>
          </cell>
          <cell r="C2712" t="str">
            <v>최고급 중형 귀금속 창고</v>
          </cell>
        </row>
        <row r="2713">
          <cell r="A2713">
            <v>70113917</v>
          </cell>
          <cell r="C2713" t="str">
            <v>최고급 중형 향료 창고</v>
          </cell>
        </row>
        <row r="2714">
          <cell r="A2714">
            <v>70113918</v>
          </cell>
          <cell r="C2714" t="str">
            <v>최고급 중형 보석 창고</v>
          </cell>
        </row>
        <row r="2715">
          <cell r="A2715">
            <v>70113919</v>
          </cell>
          <cell r="C2715" t="str">
            <v>최고급 중형 무기류 창고</v>
          </cell>
        </row>
        <row r="2716">
          <cell r="A2716">
            <v>70113920</v>
          </cell>
          <cell r="C2716" t="str">
            <v>최고급 중형 총포류 창고</v>
          </cell>
        </row>
        <row r="2717">
          <cell r="A2717">
            <v>70113921</v>
          </cell>
          <cell r="C2717" t="str">
            <v>최고급 중형 짐창고</v>
          </cell>
        </row>
        <row r="2718">
          <cell r="A2718">
            <v>70113922</v>
          </cell>
          <cell r="C2718" t="str">
            <v>최고급 중형 조수실</v>
          </cell>
        </row>
        <row r="2719">
          <cell r="A2719">
            <v>70113923</v>
          </cell>
          <cell r="C2719" t="str">
            <v>최고급 중형 선원실</v>
          </cell>
        </row>
        <row r="2720">
          <cell r="A2720">
            <v>70113924</v>
          </cell>
          <cell r="C2720" t="str">
            <v>최고급 중형 탄약창고</v>
          </cell>
        </row>
        <row r="2721">
          <cell r="A2721">
            <v>70113925</v>
          </cell>
          <cell r="C2721" t="str">
            <v>최고급 중형 무기창고</v>
          </cell>
        </row>
        <row r="2722">
          <cell r="A2722">
            <v>70113926</v>
          </cell>
          <cell r="C2722" t="str">
            <v>최고급 중형 휴게실</v>
          </cell>
        </row>
        <row r="2723">
          <cell r="A2723">
            <v>70113927</v>
          </cell>
          <cell r="C2723" t="str">
            <v>최고급 중형 연회장</v>
          </cell>
        </row>
        <row r="2724">
          <cell r="A2724">
            <v>70113928</v>
          </cell>
          <cell r="C2724" t="str">
            <v>최고급 중형 위장창고</v>
          </cell>
        </row>
        <row r="2725">
          <cell r="A2725">
            <v>70113929</v>
          </cell>
          <cell r="C2725" t="str">
            <v>최고급 중형 강화창고</v>
          </cell>
        </row>
        <row r="2726">
          <cell r="A2726">
            <v>70120001</v>
          </cell>
          <cell r="C2726" t="str">
            <v>종업원실</v>
          </cell>
        </row>
        <row r="2727">
          <cell r="A2727">
            <v>70120002</v>
          </cell>
          <cell r="C2727" t="str">
            <v>응접실</v>
          </cell>
        </row>
        <row r="2728">
          <cell r="A2728">
            <v>70130000</v>
          </cell>
          <cell r="C2728" t="str">
            <v>낡은 돛대</v>
          </cell>
        </row>
        <row r="2729">
          <cell r="A2729">
            <v>70130001</v>
          </cell>
          <cell r="C2729" t="str">
            <v>낡은 파수대</v>
          </cell>
        </row>
        <row r="2730">
          <cell r="A2730">
            <v>70130002</v>
          </cell>
          <cell r="C2730" t="str">
            <v>낡은 부관실</v>
          </cell>
        </row>
        <row r="2731">
          <cell r="A2731">
            <v>70130003</v>
          </cell>
          <cell r="C2731" t="str">
            <v>낡은 재목실</v>
          </cell>
        </row>
        <row r="2732">
          <cell r="A2732">
            <v>70130004</v>
          </cell>
          <cell r="C2732" t="str">
            <v>낡은 회계실</v>
          </cell>
        </row>
        <row r="2733">
          <cell r="A2733">
            <v>70130005</v>
          </cell>
          <cell r="C2733" t="str">
            <v>낡은 측량실</v>
          </cell>
        </row>
        <row r="2734">
          <cell r="A2734">
            <v>70130006</v>
          </cell>
          <cell r="C2734" t="str">
            <v>낡은 무장포대</v>
          </cell>
        </row>
        <row r="2735">
          <cell r="A2735">
            <v>70130007</v>
          </cell>
          <cell r="C2735" t="str">
            <v>낡은 해병대기실</v>
          </cell>
        </row>
        <row r="2736">
          <cell r="A2736">
            <v>70130008</v>
          </cell>
          <cell r="C2736" t="str">
            <v>낡은 개인실</v>
          </cell>
        </row>
        <row r="2737">
          <cell r="A2737">
            <v>70130009</v>
          </cell>
          <cell r="C2737" t="str">
            <v>낡은 예배실</v>
          </cell>
        </row>
        <row r="2738">
          <cell r="A2738">
            <v>70130010</v>
          </cell>
          <cell r="C2738" t="str">
            <v>낡은 조리실</v>
          </cell>
        </row>
        <row r="2739">
          <cell r="A2739">
            <v>70130011</v>
          </cell>
          <cell r="C2739" t="str">
            <v>낡은 진료실</v>
          </cell>
        </row>
        <row r="2740">
          <cell r="A2740">
            <v>70130012</v>
          </cell>
          <cell r="C2740" t="str">
            <v>낡은 체력단련실</v>
          </cell>
        </row>
        <row r="2741">
          <cell r="A2741">
            <v>70130013</v>
          </cell>
          <cell r="C2741" t="str">
            <v>낡은 참모실</v>
          </cell>
        </row>
        <row r="2742">
          <cell r="A2742">
            <v>70130014</v>
          </cell>
          <cell r="C2742" t="str">
            <v>낡은 오락실</v>
          </cell>
        </row>
        <row r="2743">
          <cell r="A2743">
            <v>70130015</v>
          </cell>
          <cell r="C2743" t="str">
            <v>낡은 사육실</v>
          </cell>
        </row>
        <row r="2744">
          <cell r="A2744">
            <v>70130016</v>
          </cell>
          <cell r="C2744" t="str">
            <v>낡은 연구실</v>
          </cell>
        </row>
        <row r="2745">
          <cell r="A2745">
            <v>70130017</v>
          </cell>
          <cell r="C2745" t="str">
            <v>낡은 도서실</v>
          </cell>
        </row>
        <row r="2746">
          <cell r="A2746">
            <v>70130100</v>
          </cell>
          <cell r="C2746" t="str">
            <v>돛대</v>
          </cell>
        </row>
        <row r="2747">
          <cell r="A2747">
            <v>70130101</v>
          </cell>
          <cell r="C2747" t="str">
            <v>파수대</v>
          </cell>
        </row>
        <row r="2748">
          <cell r="A2748">
            <v>70130102</v>
          </cell>
          <cell r="C2748" t="str">
            <v>부관실</v>
          </cell>
        </row>
        <row r="2749">
          <cell r="A2749">
            <v>70130103</v>
          </cell>
          <cell r="C2749" t="str">
            <v>재목실</v>
          </cell>
        </row>
        <row r="2750">
          <cell r="A2750">
            <v>70130104</v>
          </cell>
          <cell r="C2750" t="str">
            <v>회계실</v>
          </cell>
        </row>
        <row r="2751">
          <cell r="A2751">
            <v>70130105</v>
          </cell>
          <cell r="C2751" t="str">
            <v>측량실</v>
          </cell>
        </row>
        <row r="2752">
          <cell r="A2752">
            <v>70130106</v>
          </cell>
          <cell r="C2752" t="str">
            <v>무장포대</v>
          </cell>
        </row>
        <row r="2753">
          <cell r="A2753">
            <v>70130107</v>
          </cell>
          <cell r="C2753" t="str">
            <v>해병대기실</v>
          </cell>
        </row>
        <row r="2754">
          <cell r="A2754">
            <v>70130108</v>
          </cell>
          <cell r="C2754" t="str">
            <v>개인실</v>
          </cell>
        </row>
        <row r="2755">
          <cell r="A2755">
            <v>70130109</v>
          </cell>
          <cell r="C2755" t="str">
            <v>예배실</v>
          </cell>
        </row>
        <row r="2756">
          <cell r="A2756">
            <v>70130110</v>
          </cell>
          <cell r="C2756" t="str">
            <v>조리실</v>
          </cell>
        </row>
        <row r="2757">
          <cell r="A2757">
            <v>70130111</v>
          </cell>
          <cell r="C2757" t="str">
            <v>진료실</v>
          </cell>
        </row>
        <row r="2758">
          <cell r="A2758">
            <v>70130112</v>
          </cell>
          <cell r="C2758" t="str">
            <v>체력단련실</v>
          </cell>
        </row>
        <row r="2759">
          <cell r="A2759">
            <v>70130113</v>
          </cell>
          <cell r="C2759" t="str">
            <v>참모실</v>
          </cell>
        </row>
        <row r="2760">
          <cell r="A2760">
            <v>70130114</v>
          </cell>
          <cell r="C2760" t="str">
            <v>오락실</v>
          </cell>
        </row>
        <row r="2761">
          <cell r="A2761">
            <v>70130115</v>
          </cell>
          <cell r="C2761" t="str">
            <v>사육실</v>
          </cell>
        </row>
        <row r="2762">
          <cell r="A2762">
            <v>70130116</v>
          </cell>
          <cell r="C2762" t="str">
            <v>연구실</v>
          </cell>
        </row>
        <row r="2763">
          <cell r="A2763">
            <v>70130117</v>
          </cell>
          <cell r="C2763" t="str">
            <v>도서실</v>
          </cell>
        </row>
        <row r="2764">
          <cell r="A2764">
            <v>70130200</v>
          </cell>
          <cell r="C2764" t="str">
            <v>고급 돛대</v>
          </cell>
        </row>
        <row r="2765">
          <cell r="A2765">
            <v>70130201</v>
          </cell>
          <cell r="C2765" t="str">
            <v>고급 파수대</v>
          </cell>
        </row>
        <row r="2766">
          <cell r="A2766">
            <v>70130202</v>
          </cell>
          <cell r="C2766" t="str">
            <v>고급 부관실</v>
          </cell>
        </row>
        <row r="2767">
          <cell r="A2767">
            <v>70130203</v>
          </cell>
          <cell r="C2767" t="str">
            <v>고급 재목실</v>
          </cell>
        </row>
        <row r="2768">
          <cell r="A2768">
            <v>70130204</v>
          </cell>
          <cell r="C2768" t="str">
            <v>고급 회계실</v>
          </cell>
        </row>
        <row r="2769">
          <cell r="A2769">
            <v>70130205</v>
          </cell>
          <cell r="C2769" t="str">
            <v>고급 측량실</v>
          </cell>
        </row>
        <row r="2770">
          <cell r="A2770">
            <v>70130206</v>
          </cell>
          <cell r="C2770" t="str">
            <v>고급 무장포대</v>
          </cell>
        </row>
        <row r="2771">
          <cell r="A2771">
            <v>70130207</v>
          </cell>
          <cell r="C2771" t="str">
            <v>고급 해병대기실</v>
          </cell>
        </row>
        <row r="2772">
          <cell r="A2772">
            <v>70130208</v>
          </cell>
          <cell r="C2772" t="str">
            <v>고급 개인실</v>
          </cell>
        </row>
        <row r="2773">
          <cell r="A2773">
            <v>70130209</v>
          </cell>
          <cell r="C2773" t="str">
            <v>고급 예배실</v>
          </cell>
        </row>
        <row r="2774">
          <cell r="A2774">
            <v>70130210</v>
          </cell>
          <cell r="C2774" t="str">
            <v>고급 조리실</v>
          </cell>
        </row>
        <row r="2775">
          <cell r="A2775">
            <v>70130211</v>
          </cell>
          <cell r="C2775" t="str">
            <v>고급 진료실</v>
          </cell>
        </row>
        <row r="2776">
          <cell r="A2776">
            <v>70130212</v>
          </cell>
          <cell r="C2776" t="str">
            <v>고급 체력단련실</v>
          </cell>
        </row>
        <row r="2777">
          <cell r="A2777">
            <v>70130213</v>
          </cell>
          <cell r="C2777" t="str">
            <v>고급 참모실</v>
          </cell>
        </row>
        <row r="2778">
          <cell r="A2778">
            <v>70130214</v>
          </cell>
          <cell r="C2778" t="str">
            <v>고급 오락실</v>
          </cell>
        </row>
        <row r="2779">
          <cell r="A2779">
            <v>70130215</v>
          </cell>
          <cell r="C2779" t="str">
            <v>고급 사육실</v>
          </cell>
        </row>
        <row r="2780">
          <cell r="A2780">
            <v>70130216</v>
          </cell>
          <cell r="C2780" t="str">
            <v>고급 연구실</v>
          </cell>
        </row>
        <row r="2781">
          <cell r="A2781">
            <v>70130217</v>
          </cell>
          <cell r="C2781" t="str">
            <v>고급 도서실</v>
          </cell>
        </row>
        <row r="2782">
          <cell r="A2782">
            <v>70130300</v>
          </cell>
          <cell r="C2782" t="str">
            <v>최고급 돛대</v>
          </cell>
        </row>
        <row r="2783">
          <cell r="A2783">
            <v>70130301</v>
          </cell>
          <cell r="C2783" t="str">
            <v>최고급 파수대</v>
          </cell>
        </row>
        <row r="2784">
          <cell r="A2784">
            <v>70130302</v>
          </cell>
          <cell r="C2784" t="str">
            <v>최고급 부관실</v>
          </cell>
        </row>
        <row r="2785">
          <cell r="A2785">
            <v>70130303</v>
          </cell>
          <cell r="C2785" t="str">
            <v>최고급 재목실</v>
          </cell>
        </row>
        <row r="2786">
          <cell r="A2786">
            <v>70130304</v>
          </cell>
          <cell r="C2786" t="str">
            <v>최고급 회계실</v>
          </cell>
        </row>
        <row r="2787">
          <cell r="A2787">
            <v>70130305</v>
          </cell>
          <cell r="C2787" t="str">
            <v>최고급 측량실</v>
          </cell>
        </row>
        <row r="2788">
          <cell r="A2788">
            <v>70130306</v>
          </cell>
          <cell r="C2788" t="str">
            <v>최고급 무장포대</v>
          </cell>
        </row>
        <row r="2789">
          <cell r="A2789">
            <v>70130307</v>
          </cell>
          <cell r="C2789" t="str">
            <v>최고급 해병대기실</v>
          </cell>
        </row>
        <row r="2790">
          <cell r="A2790">
            <v>70130308</v>
          </cell>
          <cell r="C2790" t="str">
            <v>최고급 개인실</v>
          </cell>
        </row>
        <row r="2791">
          <cell r="A2791">
            <v>70130309</v>
          </cell>
          <cell r="C2791" t="str">
            <v>최고급 예배실</v>
          </cell>
        </row>
        <row r="2792">
          <cell r="A2792">
            <v>70130310</v>
          </cell>
          <cell r="C2792" t="str">
            <v>최고급 조리실</v>
          </cell>
        </row>
        <row r="2793">
          <cell r="A2793">
            <v>70130311</v>
          </cell>
          <cell r="C2793" t="str">
            <v>최고급 진료실</v>
          </cell>
        </row>
        <row r="2794">
          <cell r="A2794">
            <v>70130312</v>
          </cell>
          <cell r="C2794" t="str">
            <v>최고급 체력단련실</v>
          </cell>
        </row>
        <row r="2795">
          <cell r="A2795">
            <v>70130313</v>
          </cell>
          <cell r="C2795" t="str">
            <v>최고급 참모실</v>
          </cell>
        </row>
        <row r="2796">
          <cell r="A2796">
            <v>70130314</v>
          </cell>
          <cell r="C2796" t="str">
            <v>최고급 오락실</v>
          </cell>
        </row>
        <row r="2797">
          <cell r="A2797">
            <v>70130315</v>
          </cell>
          <cell r="C2797" t="str">
            <v>최고급 사육실</v>
          </cell>
        </row>
        <row r="2798">
          <cell r="A2798">
            <v>70130316</v>
          </cell>
          <cell r="C2798" t="str">
            <v>최고급 연구실</v>
          </cell>
        </row>
        <row r="2799">
          <cell r="A2799">
            <v>70130317</v>
          </cell>
          <cell r="C2799" t="str">
            <v>최고급 도서실</v>
          </cell>
        </row>
        <row r="2800">
          <cell r="A2800">
            <v>70130400</v>
          </cell>
          <cell r="C2800" t="str">
            <v>낡은 돛대</v>
          </cell>
        </row>
        <row r="2801">
          <cell r="A2801">
            <v>70130401</v>
          </cell>
          <cell r="C2801" t="str">
            <v>낡은 파수대</v>
          </cell>
        </row>
        <row r="2802">
          <cell r="A2802">
            <v>70130402</v>
          </cell>
          <cell r="C2802" t="str">
            <v>낡은 부관실</v>
          </cell>
        </row>
        <row r="2803">
          <cell r="A2803">
            <v>70130403</v>
          </cell>
          <cell r="C2803" t="str">
            <v>낡은 재목실</v>
          </cell>
        </row>
        <row r="2804">
          <cell r="A2804">
            <v>70130404</v>
          </cell>
          <cell r="C2804" t="str">
            <v>낡은 회계실</v>
          </cell>
        </row>
        <row r="2805">
          <cell r="A2805">
            <v>70130405</v>
          </cell>
          <cell r="C2805" t="str">
            <v>낡은 측량실</v>
          </cell>
        </row>
        <row r="2806">
          <cell r="A2806">
            <v>70130406</v>
          </cell>
          <cell r="C2806" t="str">
            <v>낡은 무장포대</v>
          </cell>
        </row>
        <row r="2807">
          <cell r="A2807">
            <v>70130407</v>
          </cell>
          <cell r="C2807" t="str">
            <v>낡은 해병대기실</v>
          </cell>
        </row>
        <row r="2808">
          <cell r="A2808">
            <v>70130408</v>
          </cell>
          <cell r="C2808" t="str">
            <v>낡은 개인실</v>
          </cell>
        </row>
        <row r="2809">
          <cell r="A2809">
            <v>70130409</v>
          </cell>
          <cell r="C2809" t="str">
            <v>낡은 예배실</v>
          </cell>
        </row>
        <row r="2810">
          <cell r="A2810">
            <v>70130410</v>
          </cell>
          <cell r="C2810" t="str">
            <v>낡은 조리실</v>
          </cell>
        </row>
        <row r="2811">
          <cell r="A2811">
            <v>70130411</v>
          </cell>
          <cell r="C2811" t="str">
            <v>낡은 진료실</v>
          </cell>
        </row>
        <row r="2812">
          <cell r="A2812">
            <v>70130412</v>
          </cell>
          <cell r="C2812" t="str">
            <v>낡은 체력단련실</v>
          </cell>
        </row>
        <row r="2813">
          <cell r="A2813">
            <v>70130413</v>
          </cell>
          <cell r="C2813" t="str">
            <v>낡은 참모실</v>
          </cell>
        </row>
        <row r="2814">
          <cell r="A2814">
            <v>70130414</v>
          </cell>
          <cell r="C2814" t="str">
            <v>낡은 오락실</v>
          </cell>
        </row>
        <row r="2815">
          <cell r="A2815">
            <v>70130415</v>
          </cell>
          <cell r="C2815" t="str">
            <v>낡은 사육실</v>
          </cell>
        </row>
        <row r="2816">
          <cell r="A2816">
            <v>70130416</v>
          </cell>
          <cell r="C2816" t="str">
            <v>낡은 연구실</v>
          </cell>
        </row>
        <row r="2817">
          <cell r="A2817">
            <v>70130417</v>
          </cell>
          <cell r="C2817" t="str">
            <v>낡은 도서실</v>
          </cell>
        </row>
        <row r="2818">
          <cell r="A2818">
            <v>70130500</v>
          </cell>
          <cell r="C2818" t="str">
            <v>돛대</v>
          </cell>
        </row>
        <row r="2819">
          <cell r="A2819">
            <v>70130501</v>
          </cell>
          <cell r="C2819" t="str">
            <v>파수대</v>
          </cell>
        </row>
        <row r="2820">
          <cell r="A2820">
            <v>70130502</v>
          </cell>
          <cell r="C2820" t="str">
            <v>부관실</v>
          </cell>
        </row>
        <row r="2821">
          <cell r="A2821">
            <v>70130503</v>
          </cell>
          <cell r="C2821" t="str">
            <v>재목실</v>
          </cell>
        </row>
        <row r="2822">
          <cell r="A2822">
            <v>70130504</v>
          </cell>
          <cell r="C2822" t="str">
            <v>회계실</v>
          </cell>
        </row>
        <row r="2823">
          <cell r="A2823">
            <v>70130505</v>
          </cell>
          <cell r="C2823" t="str">
            <v>측량실</v>
          </cell>
        </row>
        <row r="2824">
          <cell r="A2824">
            <v>70130506</v>
          </cell>
          <cell r="C2824" t="str">
            <v>무장포대</v>
          </cell>
        </row>
        <row r="2825">
          <cell r="A2825">
            <v>70130507</v>
          </cell>
          <cell r="C2825" t="str">
            <v>해병대기실</v>
          </cell>
        </row>
        <row r="2826">
          <cell r="A2826">
            <v>70130508</v>
          </cell>
          <cell r="C2826" t="str">
            <v>개인실</v>
          </cell>
        </row>
        <row r="2827">
          <cell r="A2827">
            <v>70130509</v>
          </cell>
          <cell r="C2827" t="str">
            <v>예배실</v>
          </cell>
        </row>
        <row r="2828">
          <cell r="A2828">
            <v>70130510</v>
          </cell>
          <cell r="C2828" t="str">
            <v>조리실</v>
          </cell>
        </row>
        <row r="2829">
          <cell r="A2829">
            <v>70130511</v>
          </cell>
          <cell r="C2829" t="str">
            <v>진료실</v>
          </cell>
        </row>
        <row r="2830">
          <cell r="A2830">
            <v>70130512</v>
          </cell>
          <cell r="C2830" t="str">
            <v>체력단련실</v>
          </cell>
        </row>
        <row r="2831">
          <cell r="A2831">
            <v>70130513</v>
          </cell>
          <cell r="C2831" t="str">
            <v>참모실</v>
          </cell>
        </row>
        <row r="2832">
          <cell r="A2832">
            <v>70130514</v>
          </cell>
          <cell r="C2832" t="str">
            <v>오락실</v>
          </cell>
        </row>
        <row r="2833">
          <cell r="A2833">
            <v>70130515</v>
          </cell>
          <cell r="C2833" t="str">
            <v>사육실</v>
          </cell>
        </row>
        <row r="2834">
          <cell r="A2834">
            <v>70130516</v>
          </cell>
          <cell r="C2834" t="str">
            <v>연구실</v>
          </cell>
        </row>
        <row r="2835">
          <cell r="A2835">
            <v>70130517</v>
          </cell>
          <cell r="C2835" t="str">
            <v>도서실</v>
          </cell>
        </row>
        <row r="2836">
          <cell r="A2836">
            <v>70130600</v>
          </cell>
          <cell r="C2836" t="str">
            <v>고급 돛대</v>
          </cell>
        </row>
        <row r="2837">
          <cell r="A2837">
            <v>70130601</v>
          </cell>
          <cell r="C2837" t="str">
            <v>고급 파수대</v>
          </cell>
        </row>
        <row r="2838">
          <cell r="A2838">
            <v>70130602</v>
          </cell>
          <cell r="C2838" t="str">
            <v>고급 부관실</v>
          </cell>
        </row>
        <row r="2839">
          <cell r="A2839">
            <v>70130603</v>
          </cell>
          <cell r="C2839" t="str">
            <v>고급 재목실</v>
          </cell>
        </row>
        <row r="2840">
          <cell r="A2840">
            <v>70130604</v>
          </cell>
          <cell r="C2840" t="str">
            <v>고급 회계실</v>
          </cell>
        </row>
        <row r="2841">
          <cell r="A2841">
            <v>70130605</v>
          </cell>
          <cell r="C2841" t="str">
            <v>고급 측량실</v>
          </cell>
        </row>
        <row r="2842">
          <cell r="A2842">
            <v>70130606</v>
          </cell>
          <cell r="C2842" t="str">
            <v>고급 무장포대</v>
          </cell>
        </row>
        <row r="2843">
          <cell r="A2843">
            <v>70130607</v>
          </cell>
          <cell r="C2843" t="str">
            <v>고급 해병대기실</v>
          </cell>
        </row>
        <row r="2844">
          <cell r="A2844">
            <v>70130608</v>
          </cell>
          <cell r="C2844" t="str">
            <v>고급 개인실</v>
          </cell>
        </row>
        <row r="2845">
          <cell r="A2845">
            <v>70130609</v>
          </cell>
          <cell r="C2845" t="str">
            <v>고급 예배실</v>
          </cell>
        </row>
        <row r="2846">
          <cell r="A2846">
            <v>70130610</v>
          </cell>
          <cell r="C2846" t="str">
            <v>고급 조리실</v>
          </cell>
        </row>
        <row r="2847">
          <cell r="A2847">
            <v>70130611</v>
          </cell>
          <cell r="C2847" t="str">
            <v>고급 진료실</v>
          </cell>
        </row>
        <row r="2848">
          <cell r="A2848">
            <v>70130612</v>
          </cell>
          <cell r="C2848" t="str">
            <v>고급 체력단련실</v>
          </cell>
        </row>
        <row r="2849">
          <cell r="A2849">
            <v>70130613</v>
          </cell>
          <cell r="C2849" t="str">
            <v>고급 참모실</v>
          </cell>
        </row>
        <row r="2850">
          <cell r="A2850">
            <v>70130614</v>
          </cell>
          <cell r="C2850" t="str">
            <v>고급 오락실</v>
          </cell>
        </row>
        <row r="2851">
          <cell r="A2851">
            <v>70130615</v>
          </cell>
          <cell r="C2851" t="str">
            <v>고급 사육실</v>
          </cell>
        </row>
        <row r="2852">
          <cell r="A2852">
            <v>70130616</v>
          </cell>
          <cell r="C2852" t="str">
            <v>고급 연구실</v>
          </cell>
        </row>
        <row r="2853">
          <cell r="A2853">
            <v>70130617</v>
          </cell>
          <cell r="C2853" t="str">
            <v>고급 도서실</v>
          </cell>
        </row>
        <row r="2854">
          <cell r="A2854">
            <v>70130700</v>
          </cell>
          <cell r="C2854" t="str">
            <v>최고급 돛대</v>
          </cell>
        </row>
        <row r="2855">
          <cell r="A2855">
            <v>70130701</v>
          </cell>
          <cell r="C2855" t="str">
            <v>최고급 파수대</v>
          </cell>
        </row>
        <row r="2856">
          <cell r="A2856">
            <v>70130702</v>
          </cell>
          <cell r="C2856" t="str">
            <v>최고급 부관실</v>
          </cell>
        </row>
        <row r="2857">
          <cell r="A2857">
            <v>70130703</v>
          </cell>
          <cell r="C2857" t="str">
            <v>최고급 재목실</v>
          </cell>
        </row>
        <row r="2858">
          <cell r="A2858">
            <v>70130704</v>
          </cell>
          <cell r="C2858" t="str">
            <v>최고급 회계실</v>
          </cell>
        </row>
        <row r="2859">
          <cell r="A2859">
            <v>70130705</v>
          </cell>
          <cell r="C2859" t="str">
            <v>최고급 측량실</v>
          </cell>
        </row>
        <row r="2860">
          <cell r="A2860">
            <v>70130706</v>
          </cell>
          <cell r="C2860" t="str">
            <v>최고급 무장포대</v>
          </cell>
        </row>
        <row r="2861">
          <cell r="A2861">
            <v>70130707</v>
          </cell>
          <cell r="C2861" t="str">
            <v>최고급 해병대기실</v>
          </cell>
        </row>
        <row r="2862">
          <cell r="A2862">
            <v>70130708</v>
          </cell>
          <cell r="C2862" t="str">
            <v>최고급 개인실</v>
          </cell>
        </row>
        <row r="2863">
          <cell r="A2863">
            <v>70130709</v>
          </cell>
          <cell r="C2863" t="str">
            <v>최고급 예배실</v>
          </cell>
        </row>
        <row r="2864">
          <cell r="A2864">
            <v>70130710</v>
          </cell>
          <cell r="C2864" t="str">
            <v>최고급 조리실</v>
          </cell>
        </row>
        <row r="2865">
          <cell r="A2865">
            <v>70130711</v>
          </cell>
          <cell r="C2865" t="str">
            <v>최고급 진료실</v>
          </cell>
        </row>
        <row r="2866">
          <cell r="A2866">
            <v>70130712</v>
          </cell>
          <cell r="C2866" t="str">
            <v>최고급 체력단련실</v>
          </cell>
        </row>
        <row r="2867">
          <cell r="A2867">
            <v>70130713</v>
          </cell>
          <cell r="C2867" t="str">
            <v>최고급 참모실</v>
          </cell>
        </row>
        <row r="2868">
          <cell r="A2868">
            <v>70130714</v>
          </cell>
          <cell r="C2868" t="str">
            <v>최고급 오락실</v>
          </cell>
        </row>
        <row r="2869">
          <cell r="A2869">
            <v>70130715</v>
          </cell>
          <cell r="C2869" t="str">
            <v>최고급 사육실</v>
          </cell>
        </row>
        <row r="2870">
          <cell r="A2870">
            <v>70130716</v>
          </cell>
          <cell r="C2870" t="str">
            <v>최고급 연구실</v>
          </cell>
        </row>
        <row r="2871">
          <cell r="A2871">
            <v>70130717</v>
          </cell>
          <cell r="C2871" t="str">
            <v>최고급 도서실</v>
          </cell>
        </row>
        <row r="2872">
          <cell r="A2872">
            <v>70130800</v>
          </cell>
          <cell r="C2872" t="str">
            <v>낡은 돛대</v>
          </cell>
        </row>
        <row r="2873">
          <cell r="A2873">
            <v>70130801</v>
          </cell>
          <cell r="C2873" t="str">
            <v>낡은 파수대</v>
          </cell>
        </row>
        <row r="2874">
          <cell r="A2874">
            <v>70130802</v>
          </cell>
          <cell r="C2874" t="str">
            <v>낡은 부관실</v>
          </cell>
        </row>
        <row r="2875">
          <cell r="A2875">
            <v>70130803</v>
          </cell>
          <cell r="C2875" t="str">
            <v>낡은 재목실</v>
          </cell>
        </row>
        <row r="2876">
          <cell r="A2876">
            <v>70130804</v>
          </cell>
          <cell r="C2876" t="str">
            <v>낡은 회계실</v>
          </cell>
        </row>
        <row r="2877">
          <cell r="A2877">
            <v>70130805</v>
          </cell>
          <cell r="C2877" t="str">
            <v>낡은 측량실</v>
          </cell>
        </row>
        <row r="2878">
          <cell r="A2878">
            <v>70130806</v>
          </cell>
          <cell r="C2878" t="str">
            <v>낡은 무장포대</v>
          </cell>
        </row>
        <row r="2879">
          <cell r="A2879">
            <v>70130807</v>
          </cell>
          <cell r="C2879" t="str">
            <v>낡은 해병대기실</v>
          </cell>
        </row>
        <row r="2880">
          <cell r="A2880">
            <v>70130808</v>
          </cell>
          <cell r="C2880" t="str">
            <v>낡은 개인실</v>
          </cell>
        </row>
        <row r="2881">
          <cell r="A2881">
            <v>70130809</v>
          </cell>
          <cell r="C2881" t="str">
            <v>낡은 예배실</v>
          </cell>
        </row>
        <row r="2882">
          <cell r="A2882">
            <v>70130810</v>
          </cell>
          <cell r="C2882" t="str">
            <v>낡은 조리실</v>
          </cell>
        </row>
        <row r="2883">
          <cell r="A2883">
            <v>70130811</v>
          </cell>
          <cell r="C2883" t="str">
            <v>낡은 진료실</v>
          </cell>
        </row>
        <row r="2884">
          <cell r="A2884">
            <v>70130812</v>
          </cell>
          <cell r="C2884" t="str">
            <v>낡은 체력단련실</v>
          </cell>
        </row>
        <row r="2885">
          <cell r="A2885">
            <v>70130813</v>
          </cell>
          <cell r="C2885" t="str">
            <v>낡은 참모실</v>
          </cell>
        </row>
        <row r="2886">
          <cell r="A2886">
            <v>70130814</v>
          </cell>
          <cell r="C2886" t="str">
            <v>낡은 오락실</v>
          </cell>
        </row>
        <row r="2887">
          <cell r="A2887">
            <v>70130815</v>
          </cell>
          <cell r="C2887" t="str">
            <v>낡은 사육실</v>
          </cell>
        </row>
        <row r="2888">
          <cell r="A2888">
            <v>70130816</v>
          </cell>
          <cell r="C2888" t="str">
            <v>낡은 연구실</v>
          </cell>
        </row>
        <row r="2889">
          <cell r="A2889">
            <v>70130817</v>
          </cell>
          <cell r="C2889" t="str">
            <v>낡은 도서실</v>
          </cell>
        </row>
        <row r="2890">
          <cell r="A2890">
            <v>70130900</v>
          </cell>
          <cell r="C2890" t="str">
            <v>돛대</v>
          </cell>
        </row>
        <row r="2891">
          <cell r="A2891">
            <v>70130901</v>
          </cell>
          <cell r="C2891" t="str">
            <v>파수대</v>
          </cell>
        </row>
        <row r="2892">
          <cell r="A2892">
            <v>70130902</v>
          </cell>
          <cell r="C2892" t="str">
            <v>부관실</v>
          </cell>
        </row>
        <row r="2893">
          <cell r="A2893">
            <v>70130903</v>
          </cell>
          <cell r="C2893" t="str">
            <v>재목실</v>
          </cell>
        </row>
        <row r="2894">
          <cell r="A2894">
            <v>70130904</v>
          </cell>
          <cell r="C2894" t="str">
            <v>회계실</v>
          </cell>
        </row>
        <row r="2895">
          <cell r="A2895">
            <v>70130905</v>
          </cell>
          <cell r="C2895" t="str">
            <v>측량실</v>
          </cell>
        </row>
        <row r="2896">
          <cell r="A2896">
            <v>70130906</v>
          </cell>
          <cell r="C2896" t="str">
            <v>무장포대</v>
          </cell>
        </row>
        <row r="2897">
          <cell r="A2897">
            <v>70130907</v>
          </cell>
          <cell r="C2897" t="str">
            <v>해병대기실</v>
          </cell>
        </row>
        <row r="2898">
          <cell r="A2898">
            <v>70130908</v>
          </cell>
          <cell r="C2898" t="str">
            <v>개인실</v>
          </cell>
        </row>
        <row r="2899">
          <cell r="A2899">
            <v>70130909</v>
          </cell>
          <cell r="C2899" t="str">
            <v>예배실</v>
          </cell>
        </row>
        <row r="2900">
          <cell r="A2900">
            <v>70130910</v>
          </cell>
          <cell r="C2900" t="str">
            <v>조리실</v>
          </cell>
        </row>
        <row r="2901">
          <cell r="A2901">
            <v>70130911</v>
          </cell>
          <cell r="C2901" t="str">
            <v>진료실</v>
          </cell>
        </row>
        <row r="2902">
          <cell r="A2902">
            <v>70130912</v>
          </cell>
          <cell r="C2902" t="str">
            <v>체력단련실</v>
          </cell>
        </row>
        <row r="2903">
          <cell r="A2903">
            <v>70130913</v>
          </cell>
          <cell r="C2903" t="str">
            <v>참모실</v>
          </cell>
        </row>
        <row r="2904">
          <cell r="A2904">
            <v>70130914</v>
          </cell>
          <cell r="C2904" t="str">
            <v>오락실</v>
          </cell>
        </row>
        <row r="2905">
          <cell r="A2905">
            <v>70130915</v>
          </cell>
          <cell r="C2905" t="str">
            <v>사육실</v>
          </cell>
        </row>
        <row r="2906">
          <cell r="A2906">
            <v>70130916</v>
          </cell>
          <cell r="C2906" t="str">
            <v>연구실</v>
          </cell>
        </row>
        <row r="2907">
          <cell r="A2907">
            <v>70130917</v>
          </cell>
          <cell r="C2907" t="str">
            <v>도서실</v>
          </cell>
        </row>
        <row r="2908">
          <cell r="A2908">
            <v>70131000</v>
          </cell>
          <cell r="C2908" t="str">
            <v>고급 돛대</v>
          </cell>
        </row>
        <row r="2909">
          <cell r="A2909">
            <v>70131001</v>
          </cell>
          <cell r="C2909" t="str">
            <v>고급 파수대</v>
          </cell>
        </row>
        <row r="2910">
          <cell r="A2910">
            <v>70131002</v>
          </cell>
          <cell r="C2910" t="str">
            <v>고급 부관실</v>
          </cell>
        </row>
        <row r="2911">
          <cell r="A2911">
            <v>70131003</v>
          </cell>
          <cell r="C2911" t="str">
            <v>고급 재목실</v>
          </cell>
        </row>
        <row r="2912">
          <cell r="A2912">
            <v>70131004</v>
          </cell>
          <cell r="C2912" t="str">
            <v>고급 회계실</v>
          </cell>
        </row>
        <row r="2913">
          <cell r="A2913">
            <v>70131005</v>
          </cell>
          <cell r="C2913" t="str">
            <v>고급 측량실</v>
          </cell>
        </row>
        <row r="2914">
          <cell r="A2914">
            <v>70131006</v>
          </cell>
          <cell r="C2914" t="str">
            <v>고급 무장포대</v>
          </cell>
        </row>
        <row r="2915">
          <cell r="A2915">
            <v>70131007</v>
          </cell>
          <cell r="C2915" t="str">
            <v>고급 해병대기실</v>
          </cell>
        </row>
        <row r="2916">
          <cell r="A2916">
            <v>70131008</v>
          </cell>
          <cell r="C2916" t="str">
            <v>고급 개인실</v>
          </cell>
        </row>
        <row r="2917">
          <cell r="A2917">
            <v>70131009</v>
          </cell>
          <cell r="C2917" t="str">
            <v>고급 예배실</v>
          </cell>
        </row>
        <row r="2918">
          <cell r="A2918">
            <v>70131010</v>
          </cell>
          <cell r="C2918" t="str">
            <v>고급 조리실</v>
          </cell>
        </row>
        <row r="2919">
          <cell r="A2919">
            <v>70131011</v>
          </cell>
          <cell r="C2919" t="str">
            <v>고급 진료실</v>
          </cell>
        </row>
        <row r="2920">
          <cell r="A2920">
            <v>70131012</v>
          </cell>
          <cell r="C2920" t="str">
            <v>고급 체력단련실</v>
          </cell>
        </row>
        <row r="2921">
          <cell r="A2921">
            <v>70131013</v>
          </cell>
          <cell r="C2921" t="str">
            <v>고급 참모실</v>
          </cell>
        </row>
        <row r="2922">
          <cell r="A2922">
            <v>70131014</v>
          </cell>
          <cell r="C2922" t="str">
            <v>고급 오락실</v>
          </cell>
        </row>
        <row r="2923">
          <cell r="A2923">
            <v>70131015</v>
          </cell>
          <cell r="C2923" t="str">
            <v>고급 사육실</v>
          </cell>
        </row>
        <row r="2924">
          <cell r="A2924">
            <v>70131016</v>
          </cell>
          <cell r="C2924" t="str">
            <v>고급 연구실</v>
          </cell>
        </row>
        <row r="2925">
          <cell r="A2925">
            <v>70131017</v>
          </cell>
          <cell r="C2925" t="str">
            <v>고급 도서실</v>
          </cell>
        </row>
        <row r="2926">
          <cell r="A2926">
            <v>70131100</v>
          </cell>
          <cell r="C2926" t="str">
            <v>최고급 돛대</v>
          </cell>
        </row>
        <row r="2927">
          <cell r="A2927">
            <v>70131101</v>
          </cell>
          <cell r="C2927" t="str">
            <v>최고급 파수대</v>
          </cell>
        </row>
        <row r="2928">
          <cell r="A2928">
            <v>70131102</v>
          </cell>
          <cell r="C2928" t="str">
            <v>최고급 부관실</v>
          </cell>
        </row>
        <row r="2929">
          <cell r="A2929">
            <v>70131103</v>
          </cell>
          <cell r="C2929" t="str">
            <v>최고급 재목실</v>
          </cell>
        </row>
        <row r="2930">
          <cell r="A2930">
            <v>70131104</v>
          </cell>
          <cell r="C2930" t="str">
            <v>최고급 회계실</v>
          </cell>
        </row>
        <row r="2931">
          <cell r="A2931">
            <v>70131105</v>
          </cell>
          <cell r="C2931" t="str">
            <v>최고급 측량실</v>
          </cell>
        </row>
        <row r="2932">
          <cell r="A2932">
            <v>70131106</v>
          </cell>
          <cell r="C2932" t="str">
            <v>최고급 무장포대</v>
          </cell>
        </row>
        <row r="2933">
          <cell r="A2933">
            <v>70131107</v>
          </cell>
          <cell r="C2933" t="str">
            <v>최고급 해병대기실</v>
          </cell>
        </row>
        <row r="2934">
          <cell r="A2934">
            <v>70131108</v>
          </cell>
          <cell r="C2934" t="str">
            <v>최고급 개인실</v>
          </cell>
        </row>
        <row r="2935">
          <cell r="A2935">
            <v>70131109</v>
          </cell>
          <cell r="C2935" t="str">
            <v>최고급 예배실</v>
          </cell>
        </row>
        <row r="2936">
          <cell r="A2936">
            <v>70131110</v>
          </cell>
          <cell r="C2936" t="str">
            <v>최고급 조리실</v>
          </cell>
        </row>
        <row r="2937">
          <cell r="A2937">
            <v>70131111</v>
          </cell>
          <cell r="C2937" t="str">
            <v>최고급 진료실</v>
          </cell>
        </row>
        <row r="2938">
          <cell r="A2938">
            <v>70131112</v>
          </cell>
          <cell r="C2938" t="str">
            <v>최고급 체력단련실</v>
          </cell>
        </row>
        <row r="2939">
          <cell r="A2939">
            <v>70131113</v>
          </cell>
          <cell r="C2939" t="str">
            <v>최고급 참모실</v>
          </cell>
        </row>
        <row r="2940">
          <cell r="A2940">
            <v>70131114</v>
          </cell>
          <cell r="C2940" t="str">
            <v>최고급 오락실</v>
          </cell>
        </row>
        <row r="2941">
          <cell r="A2941">
            <v>70131115</v>
          </cell>
          <cell r="C2941" t="str">
            <v>최고급 사육실</v>
          </cell>
        </row>
        <row r="2942">
          <cell r="A2942">
            <v>70131116</v>
          </cell>
          <cell r="C2942" t="str">
            <v>최고급 연구실</v>
          </cell>
        </row>
        <row r="2943">
          <cell r="A2943">
            <v>70131117</v>
          </cell>
          <cell r="C2943" t="str">
            <v>최고급 도서실</v>
          </cell>
        </row>
        <row r="2944">
          <cell r="A2944">
            <v>70131200</v>
          </cell>
          <cell r="C2944" t="str">
            <v>낡은 돛대</v>
          </cell>
        </row>
        <row r="2945">
          <cell r="A2945">
            <v>70131201</v>
          </cell>
          <cell r="C2945" t="str">
            <v>낡은 파수대</v>
          </cell>
        </row>
        <row r="2946">
          <cell r="A2946">
            <v>70131202</v>
          </cell>
          <cell r="C2946" t="str">
            <v>낡은 부관실</v>
          </cell>
        </row>
        <row r="2947">
          <cell r="A2947">
            <v>70131203</v>
          </cell>
          <cell r="C2947" t="str">
            <v>낡은 재목실</v>
          </cell>
        </row>
        <row r="2948">
          <cell r="A2948">
            <v>70131204</v>
          </cell>
          <cell r="C2948" t="str">
            <v>낡은 회계실</v>
          </cell>
        </row>
        <row r="2949">
          <cell r="A2949">
            <v>70131205</v>
          </cell>
          <cell r="C2949" t="str">
            <v>낡은 측량실</v>
          </cell>
        </row>
        <row r="2950">
          <cell r="A2950">
            <v>70131206</v>
          </cell>
          <cell r="C2950" t="str">
            <v>낡은 무장포대</v>
          </cell>
        </row>
        <row r="2951">
          <cell r="A2951">
            <v>70131207</v>
          </cell>
          <cell r="C2951" t="str">
            <v>낡은 해병대기실</v>
          </cell>
        </row>
        <row r="2952">
          <cell r="A2952">
            <v>70131208</v>
          </cell>
          <cell r="C2952" t="str">
            <v>낡은 개인실</v>
          </cell>
        </row>
        <row r="2953">
          <cell r="A2953">
            <v>70131209</v>
          </cell>
          <cell r="C2953" t="str">
            <v>낡은 예배실</v>
          </cell>
        </row>
        <row r="2954">
          <cell r="A2954">
            <v>70131210</v>
          </cell>
          <cell r="C2954" t="str">
            <v>낡은 조리실</v>
          </cell>
        </row>
        <row r="2955">
          <cell r="A2955">
            <v>70131211</v>
          </cell>
          <cell r="C2955" t="str">
            <v>낡은 진료실</v>
          </cell>
        </row>
        <row r="2956">
          <cell r="A2956">
            <v>70131212</v>
          </cell>
          <cell r="C2956" t="str">
            <v>낡은 체력단련실</v>
          </cell>
        </row>
        <row r="2957">
          <cell r="A2957">
            <v>70131213</v>
          </cell>
          <cell r="C2957" t="str">
            <v>낡은 참모실</v>
          </cell>
        </row>
        <row r="2958">
          <cell r="A2958">
            <v>70131214</v>
          </cell>
          <cell r="C2958" t="str">
            <v>낡은 오락실</v>
          </cell>
        </row>
        <row r="2959">
          <cell r="A2959">
            <v>70131215</v>
          </cell>
          <cell r="C2959" t="str">
            <v>낡은 사육실</v>
          </cell>
        </row>
        <row r="2960">
          <cell r="A2960">
            <v>70131216</v>
          </cell>
          <cell r="C2960" t="str">
            <v>낡은 연구실</v>
          </cell>
        </row>
        <row r="2961">
          <cell r="A2961">
            <v>70131217</v>
          </cell>
          <cell r="C2961" t="str">
            <v>낡은 도서실</v>
          </cell>
        </row>
        <row r="2962">
          <cell r="A2962">
            <v>70131300</v>
          </cell>
          <cell r="C2962" t="str">
            <v>돛대</v>
          </cell>
        </row>
        <row r="2963">
          <cell r="A2963">
            <v>70131301</v>
          </cell>
          <cell r="C2963" t="str">
            <v>파수대</v>
          </cell>
        </row>
        <row r="2964">
          <cell r="A2964">
            <v>70131302</v>
          </cell>
          <cell r="C2964" t="str">
            <v>부관실</v>
          </cell>
        </row>
        <row r="2965">
          <cell r="A2965">
            <v>70131303</v>
          </cell>
          <cell r="C2965" t="str">
            <v>재목실</v>
          </cell>
        </row>
        <row r="2966">
          <cell r="A2966">
            <v>70131304</v>
          </cell>
          <cell r="C2966" t="str">
            <v>회계실</v>
          </cell>
        </row>
        <row r="2967">
          <cell r="A2967">
            <v>70131305</v>
          </cell>
          <cell r="C2967" t="str">
            <v>측량실</v>
          </cell>
        </row>
        <row r="2968">
          <cell r="A2968">
            <v>70131306</v>
          </cell>
          <cell r="C2968" t="str">
            <v>무장포대</v>
          </cell>
        </row>
        <row r="2969">
          <cell r="A2969">
            <v>70131307</v>
          </cell>
          <cell r="C2969" t="str">
            <v>해병대기실</v>
          </cell>
        </row>
        <row r="2970">
          <cell r="A2970">
            <v>70131308</v>
          </cell>
          <cell r="C2970" t="str">
            <v>개인실</v>
          </cell>
        </row>
        <row r="2971">
          <cell r="A2971">
            <v>70131309</v>
          </cell>
          <cell r="C2971" t="str">
            <v>예배실</v>
          </cell>
        </row>
        <row r="2972">
          <cell r="A2972">
            <v>70131310</v>
          </cell>
          <cell r="C2972" t="str">
            <v>조리실</v>
          </cell>
        </row>
        <row r="2973">
          <cell r="A2973">
            <v>70131311</v>
          </cell>
          <cell r="C2973" t="str">
            <v>진료실</v>
          </cell>
        </row>
        <row r="2974">
          <cell r="A2974">
            <v>70131312</v>
          </cell>
          <cell r="C2974" t="str">
            <v>체력단련실</v>
          </cell>
        </row>
        <row r="2975">
          <cell r="A2975">
            <v>70131313</v>
          </cell>
          <cell r="C2975" t="str">
            <v>참모실</v>
          </cell>
        </row>
        <row r="2976">
          <cell r="A2976">
            <v>70131314</v>
          </cell>
          <cell r="C2976" t="str">
            <v>오락실</v>
          </cell>
        </row>
        <row r="2977">
          <cell r="A2977">
            <v>70131315</v>
          </cell>
          <cell r="C2977" t="str">
            <v>사육실</v>
          </cell>
        </row>
        <row r="2978">
          <cell r="A2978">
            <v>70131316</v>
          </cell>
          <cell r="C2978" t="str">
            <v>연구실</v>
          </cell>
        </row>
        <row r="2979">
          <cell r="A2979">
            <v>70131317</v>
          </cell>
          <cell r="C2979" t="str">
            <v>도서실</v>
          </cell>
        </row>
        <row r="2980">
          <cell r="A2980">
            <v>70131400</v>
          </cell>
          <cell r="C2980" t="str">
            <v>고급 돛대</v>
          </cell>
        </row>
        <row r="2981">
          <cell r="A2981">
            <v>70131401</v>
          </cell>
          <cell r="C2981" t="str">
            <v>고급 파수대</v>
          </cell>
        </row>
        <row r="2982">
          <cell r="A2982">
            <v>70131402</v>
          </cell>
          <cell r="C2982" t="str">
            <v>고급 부관실</v>
          </cell>
        </row>
        <row r="2983">
          <cell r="A2983">
            <v>70131403</v>
          </cell>
          <cell r="C2983" t="str">
            <v>고급 재목실</v>
          </cell>
        </row>
        <row r="2984">
          <cell r="A2984">
            <v>70131404</v>
          </cell>
          <cell r="C2984" t="str">
            <v>고급 회계실</v>
          </cell>
        </row>
        <row r="2985">
          <cell r="A2985">
            <v>70131405</v>
          </cell>
          <cell r="C2985" t="str">
            <v>고급 측량실</v>
          </cell>
        </row>
        <row r="2986">
          <cell r="A2986">
            <v>70131406</v>
          </cell>
          <cell r="C2986" t="str">
            <v>고급 무장포대</v>
          </cell>
        </row>
        <row r="2987">
          <cell r="A2987">
            <v>70131407</v>
          </cell>
          <cell r="C2987" t="str">
            <v>고급 해병대기실</v>
          </cell>
        </row>
        <row r="2988">
          <cell r="A2988">
            <v>70131408</v>
          </cell>
          <cell r="C2988" t="str">
            <v>고급 개인실</v>
          </cell>
        </row>
        <row r="2989">
          <cell r="A2989">
            <v>70131409</v>
          </cell>
          <cell r="C2989" t="str">
            <v>고급 예배실</v>
          </cell>
        </row>
        <row r="2990">
          <cell r="A2990">
            <v>70131410</v>
          </cell>
          <cell r="C2990" t="str">
            <v>고급 조리실</v>
          </cell>
        </row>
        <row r="2991">
          <cell r="A2991">
            <v>70131411</v>
          </cell>
          <cell r="C2991" t="str">
            <v>고급 진료실</v>
          </cell>
        </row>
        <row r="2992">
          <cell r="A2992">
            <v>70131412</v>
          </cell>
          <cell r="C2992" t="str">
            <v>고급 체력단련실</v>
          </cell>
        </row>
        <row r="2993">
          <cell r="A2993">
            <v>70131413</v>
          </cell>
          <cell r="C2993" t="str">
            <v>고급 참모실</v>
          </cell>
        </row>
        <row r="2994">
          <cell r="A2994">
            <v>70131414</v>
          </cell>
          <cell r="C2994" t="str">
            <v>고급 오락실</v>
          </cell>
        </row>
        <row r="2995">
          <cell r="A2995">
            <v>70131415</v>
          </cell>
          <cell r="C2995" t="str">
            <v>고급 사육실</v>
          </cell>
        </row>
        <row r="2996">
          <cell r="A2996">
            <v>70131416</v>
          </cell>
          <cell r="C2996" t="str">
            <v>고급 연구실</v>
          </cell>
        </row>
        <row r="2997">
          <cell r="A2997">
            <v>70131417</v>
          </cell>
          <cell r="C2997" t="str">
            <v>고급 도서실</v>
          </cell>
        </row>
        <row r="2998">
          <cell r="A2998">
            <v>70131500</v>
          </cell>
          <cell r="C2998" t="str">
            <v>최고급 돛대</v>
          </cell>
        </row>
        <row r="2999">
          <cell r="A2999">
            <v>70131501</v>
          </cell>
          <cell r="C2999" t="str">
            <v>최고급 파수대</v>
          </cell>
        </row>
        <row r="3000">
          <cell r="A3000">
            <v>70131502</v>
          </cell>
          <cell r="C3000" t="str">
            <v>최고급 부관실</v>
          </cell>
        </row>
        <row r="3001">
          <cell r="A3001">
            <v>70131503</v>
          </cell>
          <cell r="C3001" t="str">
            <v>최고급 재목실</v>
          </cell>
        </row>
        <row r="3002">
          <cell r="A3002">
            <v>70131504</v>
          </cell>
          <cell r="C3002" t="str">
            <v>최고급 회계실</v>
          </cell>
        </row>
        <row r="3003">
          <cell r="A3003">
            <v>70131505</v>
          </cell>
          <cell r="C3003" t="str">
            <v>최고급 측량실</v>
          </cell>
        </row>
        <row r="3004">
          <cell r="A3004">
            <v>70131506</v>
          </cell>
          <cell r="C3004" t="str">
            <v>최고급 무장포대</v>
          </cell>
        </row>
        <row r="3005">
          <cell r="A3005">
            <v>70131507</v>
          </cell>
          <cell r="C3005" t="str">
            <v>최고급 해병대기실</v>
          </cell>
        </row>
        <row r="3006">
          <cell r="A3006">
            <v>70131508</v>
          </cell>
          <cell r="C3006" t="str">
            <v>최고급 개인실</v>
          </cell>
        </row>
        <row r="3007">
          <cell r="A3007">
            <v>70131509</v>
          </cell>
          <cell r="C3007" t="str">
            <v>최고급 예배실</v>
          </cell>
        </row>
        <row r="3008">
          <cell r="A3008">
            <v>70131510</v>
          </cell>
          <cell r="C3008" t="str">
            <v>최고급 조리실</v>
          </cell>
        </row>
        <row r="3009">
          <cell r="A3009">
            <v>70131511</v>
          </cell>
          <cell r="C3009" t="str">
            <v>최고급 진료실</v>
          </cell>
        </row>
        <row r="3010">
          <cell r="A3010">
            <v>70131512</v>
          </cell>
          <cell r="C3010" t="str">
            <v>최고급 체력단련실</v>
          </cell>
        </row>
        <row r="3011">
          <cell r="A3011">
            <v>70131513</v>
          </cell>
          <cell r="C3011" t="str">
            <v>최고급 참모실</v>
          </cell>
        </row>
        <row r="3012">
          <cell r="A3012">
            <v>70131514</v>
          </cell>
          <cell r="C3012" t="str">
            <v>최고급 오락실</v>
          </cell>
        </row>
        <row r="3013">
          <cell r="A3013">
            <v>70131515</v>
          </cell>
          <cell r="C3013" t="str">
            <v>최고급 사육실</v>
          </cell>
        </row>
        <row r="3014">
          <cell r="A3014">
            <v>70131516</v>
          </cell>
          <cell r="C3014" t="str">
            <v>최고급 연구실</v>
          </cell>
        </row>
        <row r="3015">
          <cell r="A3015">
            <v>70131517</v>
          </cell>
          <cell r="C3015" t="str">
            <v>최고급 도서실</v>
          </cell>
        </row>
        <row r="3016">
          <cell r="A3016">
            <v>70131600</v>
          </cell>
          <cell r="C3016" t="str">
            <v>낡은 돛대</v>
          </cell>
        </row>
        <row r="3017">
          <cell r="A3017">
            <v>70131601</v>
          </cell>
          <cell r="C3017" t="str">
            <v>낡은 파수대</v>
          </cell>
        </row>
        <row r="3018">
          <cell r="A3018">
            <v>70131602</v>
          </cell>
          <cell r="C3018" t="str">
            <v>낡은 부관실</v>
          </cell>
        </row>
        <row r="3019">
          <cell r="A3019">
            <v>70131603</v>
          </cell>
          <cell r="C3019" t="str">
            <v>낡은 재목실</v>
          </cell>
        </row>
        <row r="3020">
          <cell r="A3020">
            <v>70131604</v>
          </cell>
          <cell r="C3020" t="str">
            <v>낡은 회계실</v>
          </cell>
        </row>
        <row r="3021">
          <cell r="A3021">
            <v>70131605</v>
          </cell>
          <cell r="C3021" t="str">
            <v>낡은 측량실</v>
          </cell>
        </row>
        <row r="3022">
          <cell r="A3022">
            <v>70131606</v>
          </cell>
          <cell r="C3022" t="str">
            <v>낡은 무장포대</v>
          </cell>
        </row>
        <row r="3023">
          <cell r="A3023">
            <v>70131607</v>
          </cell>
          <cell r="C3023" t="str">
            <v>낡은 해병대기실</v>
          </cell>
        </row>
        <row r="3024">
          <cell r="A3024">
            <v>70131608</v>
          </cell>
          <cell r="C3024" t="str">
            <v>낡은 개인실</v>
          </cell>
        </row>
        <row r="3025">
          <cell r="A3025">
            <v>70131609</v>
          </cell>
          <cell r="C3025" t="str">
            <v>낡은 예배실</v>
          </cell>
        </row>
        <row r="3026">
          <cell r="A3026">
            <v>70131610</v>
          </cell>
          <cell r="C3026" t="str">
            <v>낡은 조리실</v>
          </cell>
        </row>
        <row r="3027">
          <cell r="A3027">
            <v>70131611</v>
          </cell>
          <cell r="C3027" t="str">
            <v>낡은 진료실</v>
          </cell>
        </row>
        <row r="3028">
          <cell r="A3028">
            <v>70131612</v>
          </cell>
          <cell r="C3028" t="str">
            <v>낡은 체력단련실</v>
          </cell>
        </row>
        <row r="3029">
          <cell r="A3029">
            <v>70131613</v>
          </cell>
          <cell r="C3029" t="str">
            <v>낡은 참모실</v>
          </cell>
        </row>
        <row r="3030">
          <cell r="A3030">
            <v>70131614</v>
          </cell>
          <cell r="C3030" t="str">
            <v>낡은 오락실</v>
          </cell>
        </row>
        <row r="3031">
          <cell r="A3031">
            <v>70131615</v>
          </cell>
          <cell r="C3031" t="str">
            <v>낡은 사육실</v>
          </cell>
        </row>
        <row r="3032">
          <cell r="A3032">
            <v>70131616</v>
          </cell>
          <cell r="C3032" t="str">
            <v>낡은 연구실</v>
          </cell>
        </row>
        <row r="3033">
          <cell r="A3033">
            <v>70131617</v>
          </cell>
          <cell r="C3033" t="str">
            <v>낡은 도서실</v>
          </cell>
        </row>
        <row r="3034">
          <cell r="A3034">
            <v>70131700</v>
          </cell>
          <cell r="C3034" t="str">
            <v>돛대</v>
          </cell>
        </row>
        <row r="3035">
          <cell r="A3035">
            <v>70131701</v>
          </cell>
          <cell r="C3035" t="str">
            <v>파수대</v>
          </cell>
        </row>
        <row r="3036">
          <cell r="A3036">
            <v>70131702</v>
          </cell>
          <cell r="C3036" t="str">
            <v>부관실</v>
          </cell>
        </row>
        <row r="3037">
          <cell r="A3037">
            <v>70131703</v>
          </cell>
          <cell r="C3037" t="str">
            <v>재목실</v>
          </cell>
        </row>
        <row r="3038">
          <cell r="A3038">
            <v>70131704</v>
          </cell>
          <cell r="C3038" t="str">
            <v>회계실</v>
          </cell>
        </row>
        <row r="3039">
          <cell r="A3039">
            <v>70131705</v>
          </cell>
          <cell r="C3039" t="str">
            <v>측량실</v>
          </cell>
        </row>
        <row r="3040">
          <cell r="A3040">
            <v>70131706</v>
          </cell>
          <cell r="C3040" t="str">
            <v>무장포대</v>
          </cell>
        </row>
        <row r="3041">
          <cell r="A3041">
            <v>70131707</v>
          </cell>
          <cell r="C3041" t="str">
            <v>해병대기실</v>
          </cell>
        </row>
        <row r="3042">
          <cell r="A3042">
            <v>70131708</v>
          </cell>
          <cell r="C3042" t="str">
            <v>개인실</v>
          </cell>
        </row>
        <row r="3043">
          <cell r="A3043">
            <v>70131709</v>
          </cell>
          <cell r="C3043" t="str">
            <v>예배실</v>
          </cell>
        </row>
        <row r="3044">
          <cell r="A3044">
            <v>70131710</v>
          </cell>
          <cell r="C3044" t="str">
            <v>조리실</v>
          </cell>
        </row>
        <row r="3045">
          <cell r="A3045">
            <v>70131711</v>
          </cell>
          <cell r="C3045" t="str">
            <v>진료실</v>
          </cell>
        </row>
        <row r="3046">
          <cell r="A3046">
            <v>70131712</v>
          </cell>
          <cell r="C3046" t="str">
            <v>체력단련실</v>
          </cell>
        </row>
        <row r="3047">
          <cell r="A3047">
            <v>70131713</v>
          </cell>
          <cell r="C3047" t="str">
            <v>참모실</v>
          </cell>
        </row>
        <row r="3048">
          <cell r="A3048">
            <v>70131714</v>
          </cell>
          <cell r="C3048" t="str">
            <v>오락실</v>
          </cell>
        </row>
        <row r="3049">
          <cell r="A3049">
            <v>70131715</v>
          </cell>
          <cell r="C3049" t="str">
            <v>사육실</v>
          </cell>
        </row>
        <row r="3050">
          <cell r="A3050">
            <v>70131716</v>
          </cell>
          <cell r="C3050" t="str">
            <v>연구실</v>
          </cell>
        </row>
        <row r="3051">
          <cell r="A3051">
            <v>70131717</v>
          </cell>
          <cell r="C3051" t="str">
            <v>도서실</v>
          </cell>
        </row>
        <row r="3052">
          <cell r="A3052">
            <v>70131800</v>
          </cell>
          <cell r="C3052" t="str">
            <v>고급 돛대</v>
          </cell>
        </row>
        <row r="3053">
          <cell r="A3053">
            <v>70131801</v>
          </cell>
          <cell r="C3053" t="str">
            <v>고급 파수대</v>
          </cell>
        </row>
        <row r="3054">
          <cell r="A3054">
            <v>70131802</v>
          </cell>
          <cell r="C3054" t="str">
            <v>고급 부관실</v>
          </cell>
        </row>
        <row r="3055">
          <cell r="A3055">
            <v>70131803</v>
          </cell>
          <cell r="C3055" t="str">
            <v>고급 재목실</v>
          </cell>
        </row>
        <row r="3056">
          <cell r="A3056">
            <v>70131804</v>
          </cell>
          <cell r="C3056" t="str">
            <v>고급 회계실</v>
          </cell>
        </row>
        <row r="3057">
          <cell r="A3057">
            <v>70131805</v>
          </cell>
          <cell r="C3057" t="str">
            <v>고급 측량실</v>
          </cell>
        </row>
        <row r="3058">
          <cell r="A3058">
            <v>70131806</v>
          </cell>
          <cell r="C3058" t="str">
            <v>고급 무장포대</v>
          </cell>
        </row>
        <row r="3059">
          <cell r="A3059">
            <v>70131807</v>
          </cell>
          <cell r="C3059" t="str">
            <v>고급 해병대기실</v>
          </cell>
        </row>
        <row r="3060">
          <cell r="A3060">
            <v>70131808</v>
          </cell>
          <cell r="C3060" t="str">
            <v>고급 개인실</v>
          </cell>
        </row>
        <row r="3061">
          <cell r="A3061">
            <v>70131809</v>
          </cell>
          <cell r="C3061" t="str">
            <v>고급 예배실</v>
          </cell>
        </row>
        <row r="3062">
          <cell r="A3062">
            <v>70131810</v>
          </cell>
          <cell r="C3062" t="str">
            <v>고급 조리실</v>
          </cell>
        </row>
        <row r="3063">
          <cell r="A3063">
            <v>70131811</v>
          </cell>
          <cell r="C3063" t="str">
            <v>고급 진료실</v>
          </cell>
        </row>
        <row r="3064">
          <cell r="A3064">
            <v>70131812</v>
          </cell>
          <cell r="C3064" t="str">
            <v>고급 체력단련실</v>
          </cell>
        </row>
        <row r="3065">
          <cell r="A3065">
            <v>70131813</v>
          </cell>
          <cell r="C3065" t="str">
            <v>고급 참모실</v>
          </cell>
        </row>
        <row r="3066">
          <cell r="A3066">
            <v>70131814</v>
          </cell>
          <cell r="C3066" t="str">
            <v>고급 오락실</v>
          </cell>
        </row>
        <row r="3067">
          <cell r="A3067">
            <v>70131815</v>
          </cell>
          <cell r="C3067" t="str">
            <v>고급 사육실</v>
          </cell>
        </row>
        <row r="3068">
          <cell r="A3068">
            <v>70131816</v>
          </cell>
          <cell r="C3068" t="str">
            <v>고급 연구실</v>
          </cell>
        </row>
        <row r="3069">
          <cell r="A3069">
            <v>70131817</v>
          </cell>
          <cell r="C3069" t="str">
            <v>고급 도서실</v>
          </cell>
        </row>
        <row r="3070">
          <cell r="A3070">
            <v>70131900</v>
          </cell>
          <cell r="C3070" t="str">
            <v>최고급 돛대</v>
          </cell>
        </row>
        <row r="3071">
          <cell r="A3071">
            <v>70131901</v>
          </cell>
          <cell r="C3071" t="str">
            <v>최고급 파수대</v>
          </cell>
        </row>
        <row r="3072">
          <cell r="A3072">
            <v>70131902</v>
          </cell>
          <cell r="C3072" t="str">
            <v>최고급 부관실</v>
          </cell>
        </row>
        <row r="3073">
          <cell r="A3073">
            <v>70131903</v>
          </cell>
          <cell r="C3073" t="str">
            <v>최고급 재목실</v>
          </cell>
        </row>
        <row r="3074">
          <cell r="A3074">
            <v>70131904</v>
          </cell>
          <cell r="C3074" t="str">
            <v>최고급 회계실</v>
          </cell>
        </row>
        <row r="3075">
          <cell r="A3075">
            <v>70131905</v>
          </cell>
          <cell r="C3075" t="str">
            <v>최고급 측량실</v>
          </cell>
        </row>
        <row r="3076">
          <cell r="A3076">
            <v>70131906</v>
          </cell>
          <cell r="C3076" t="str">
            <v>최고급 무장포대</v>
          </cell>
        </row>
        <row r="3077">
          <cell r="A3077">
            <v>70131907</v>
          </cell>
          <cell r="C3077" t="str">
            <v>최고급 해병대기실</v>
          </cell>
        </row>
        <row r="3078">
          <cell r="A3078">
            <v>70131908</v>
          </cell>
          <cell r="C3078" t="str">
            <v>최고급 개인실</v>
          </cell>
        </row>
        <row r="3079">
          <cell r="A3079">
            <v>70131909</v>
          </cell>
          <cell r="C3079" t="str">
            <v>최고급 예배실</v>
          </cell>
        </row>
        <row r="3080">
          <cell r="A3080">
            <v>70131910</v>
          </cell>
          <cell r="C3080" t="str">
            <v>최고급 조리실</v>
          </cell>
        </row>
        <row r="3081">
          <cell r="A3081">
            <v>70131911</v>
          </cell>
          <cell r="C3081" t="str">
            <v>최고급 진료실</v>
          </cell>
        </row>
        <row r="3082">
          <cell r="A3082">
            <v>70131912</v>
          </cell>
          <cell r="C3082" t="str">
            <v>최고급 체력단련실</v>
          </cell>
        </row>
        <row r="3083">
          <cell r="A3083">
            <v>70131913</v>
          </cell>
          <cell r="C3083" t="str">
            <v>최고급 참모실</v>
          </cell>
        </row>
        <row r="3084">
          <cell r="A3084">
            <v>70131914</v>
          </cell>
          <cell r="C3084" t="str">
            <v>최고급 오락실</v>
          </cell>
        </row>
        <row r="3085">
          <cell r="A3085">
            <v>70131915</v>
          </cell>
          <cell r="C3085" t="str">
            <v>최고급 사육실</v>
          </cell>
        </row>
        <row r="3086">
          <cell r="A3086">
            <v>70131916</v>
          </cell>
          <cell r="C3086" t="str">
            <v>최고급 연구실</v>
          </cell>
        </row>
        <row r="3087">
          <cell r="A3087">
            <v>70131917</v>
          </cell>
          <cell r="C3087" t="str">
            <v>최고급 도서실</v>
          </cell>
        </row>
        <row r="3088">
          <cell r="A3088">
            <v>70132000</v>
          </cell>
          <cell r="C3088" t="str">
            <v>낡은 돛대</v>
          </cell>
        </row>
        <row r="3089">
          <cell r="A3089">
            <v>70132001</v>
          </cell>
          <cell r="C3089" t="str">
            <v>낡은 파수대</v>
          </cell>
        </row>
        <row r="3090">
          <cell r="A3090">
            <v>70132002</v>
          </cell>
          <cell r="C3090" t="str">
            <v>낡은 부관실</v>
          </cell>
        </row>
        <row r="3091">
          <cell r="A3091">
            <v>70132003</v>
          </cell>
          <cell r="C3091" t="str">
            <v>낡은 재목실</v>
          </cell>
        </row>
        <row r="3092">
          <cell r="A3092">
            <v>70132004</v>
          </cell>
          <cell r="C3092" t="str">
            <v>낡은 회계실</v>
          </cell>
        </row>
        <row r="3093">
          <cell r="A3093">
            <v>70132005</v>
          </cell>
          <cell r="C3093" t="str">
            <v>낡은 측량실</v>
          </cell>
        </row>
        <row r="3094">
          <cell r="A3094">
            <v>70132006</v>
          </cell>
          <cell r="C3094" t="str">
            <v>낡은 무장포대</v>
          </cell>
        </row>
        <row r="3095">
          <cell r="A3095">
            <v>70132007</v>
          </cell>
          <cell r="C3095" t="str">
            <v>낡은 해병대기실</v>
          </cell>
        </row>
        <row r="3096">
          <cell r="A3096">
            <v>70132008</v>
          </cell>
          <cell r="C3096" t="str">
            <v>낡은 개인실</v>
          </cell>
        </row>
        <row r="3097">
          <cell r="A3097">
            <v>70132009</v>
          </cell>
          <cell r="C3097" t="str">
            <v>낡은 예배실</v>
          </cell>
        </row>
        <row r="3098">
          <cell r="A3098">
            <v>70132010</v>
          </cell>
          <cell r="C3098" t="str">
            <v>낡은 조리실</v>
          </cell>
        </row>
        <row r="3099">
          <cell r="A3099">
            <v>70132011</v>
          </cell>
          <cell r="C3099" t="str">
            <v>낡은 진료실</v>
          </cell>
        </row>
        <row r="3100">
          <cell r="A3100">
            <v>70132012</v>
          </cell>
          <cell r="C3100" t="str">
            <v>낡은 체력단련실</v>
          </cell>
        </row>
        <row r="3101">
          <cell r="A3101">
            <v>70132013</v>
          </cell>
          <cell r="C3101" t="str">
            <v>낡은 참모실</v>
          </cell>
        </row>
        <row r="3102">
          <cell r="A3102">
            <v>70132014</v>
          </cell>
          <cell r="C3102" t="str">
            <v>낡은 오락실</v>
          </cell>
        </row>
        <row r="3103">
          <cell r="A3103">
            <v>70132015</v>
          </cell>
          <cell r="C3103" t="str">
            <v>낡은 사육실</v>
          </cell>
        </row>
        <row r="3104">
          <cell r="A3104">
            <v>70132016</v>
          </cell>
          <cell r="C3104" t="str">
            <v>낡은 연구실</v>
          </cell>
        </row>
        <row r="3105">
          <cell r="A3105">
            <v>70132017</v>
          </cell>
          <cell r="C3105" t="str">
            <v>낡은 도서실</v>
          </cell>
        </row>
        <row r="3106">
          <cell r="A3106">
            <v>70132100</v>
          </cell>
          <cell r="C3106" t="str">
            <v>돛대</v>
          </cell>
        </row>
        <row r="3107">
          <cell r="A3107">
            <v>70132101</v>
          </cell>
          <cell r="C3107" t="str">
            <v>파수대</v>
          </cell>
        </row>
        <row r="3108">
          <cell r="A3108">
            <v>70132102</v>
          </cell>
          <cell r="C3108" t="str">
            <v>부관실</v>
          </cell>
        </row>
        <row r="3109">
          <cell r="A3109">
            <v>70132103</v>
          </cell>
          <cell r="C3109" t="str">
            <v>재목실</v>
          </cell>
        </row>
        <row r="3110">
          <cell r="A3110">
            <v>70132104</v>
          </cell>
          <cell r="C3110" t="str">
            <v>회계실</v>
          </cell>
        </row>
        <row r="3111">
          <cell r="A3111">
            <v>70132105</v>
          </cell>
          <cell r="C3111" t="str">
            <v>측량실</v>
          </cell>
        </row>
        <row r="3112">
          <cell r="A3112">
            <v>70132106</v>
          </cell>
          <cell r="C3112" t="str">
            <v>무장포대</v>
          </cell>
        </row>
        <row r="3113">
          <cell r="A3113">
            <v>70132107</v>
          </cell>
          <cell r="C3113" t="str">
            <v>해병대기실</v>
          </cell>
        </row>
        <row r="3114">
          <cell r="A3114">
            <v>70132108</v>
          </cell>
          <cell r="C3114" t="str">
            <v>개인실</v>
          </cell>
        </row>
        <row r="3115">
          <cell r="A3115">
            <v>70132109</v>
          </cell>
          <cell r="C3115" t="str">
            <v>예배실</v>
          </cell>
        </row>
        <row r="3116">
          <cell r="A3116">
            <v>70132110</v>
          </cell>
          <cell r="C3116" t="str">
            <v>조리실</v>
          </cell>
        </row>
        <row r="3117">
          <cell r="A3117">
            <v>70132111</v>
          </cell>
          <cell r="C3117" t="str">
            <v>진료실</v>
          </cell>
        </row>
        <row r="3118">
          <cell r="A3118">
            <v>70132112</v>
          </cell>
          <cell r="C3118" t="str">
            <v>체력단련실</v>
          </cell>
        </row>
        <row r="3119">
          <cell r="A3119">
            <v>70132113</v>
          </cell>
          <cell r="C3119" t="str">
            <v>참모실</v>
          </cell>
        </row>
        <row r="3120">
          <cell r="A3120">
            <v>70132114</v>
          </cell>
          <cell r="C3120" t="str">
            <v>오락실</v>
          </cell>
        </row>
        <row r="3121">
          <cell r="A3121">
            <v>70132115</v>
          </cell>
          <cell r="C3121" t="str">
            <v>사육실</v>
          </cell>
        </row>
        <row r="3122">
          <cell r="A3122">
            <v>70132116</v>
          </cell>
          <cell r="C3122" t="str">
            <v>연구실</v>
          </cell>
        </row>
        <row r="3123">
          <cell r="A3123">
            <v>70132117</v>
          </cell>
          <cell r="C3123" t="str">
            <v>도서실</v>
          </cell>
        </row>
        <row r="3124">
          <cell r="A3124">
            <v>70132200</v>
          </cell>
          <cell r="C3124" t="str">
            <v>고급 돛대</v>
          </cell>
        </row>
        <row r="3125">
          <cell r="A3125">
            <v>70132201</v>
          </cell>
          <cell r="C3125" t="str">
            <v>고급 파수대</v>
          </cell>
        </row>
        <row r="3126">
          <cell r="A3126">
            <v>70132202</v>
          </cell>
          <cell r="C3126" t="str">
            <v>고급 부관실</v>
          </cell>
        </row>
        <row r="3127">
          <cell r="A3127">
            <v>70132203</v>
          </cell>
          <cell r="C3127" t="str">
            <v>고급 재목실</v>
          </cell>
        </row>
        <row r="3128">
          <cell r="A3128">
            <v>70132204</v>
          </cell>
          <cell r="C3128" t="str">
            <v>고급 회계실</v>
          </cell>
        </row>
        <row r="3129">
          <cell r="A3129">
            <v>70132205</v>
          </cell>
          <cell r="C3129" t="str">
            <v>고급 측량실</v>
          </cell>
        </row>
        <row r="3130">
          <cell r="A3130">
            <v>70132206</v>
          </cell>
          <cell r="C3130" t="str">
            <v>고급 무장포대</v>
          </cell>
        </row>
        <row r="3131">
          <cell r="A3131">
            <v>70132207</v>
          </cell>
          <cell r="C3131" t="str">
            <v>고급 해병대기실</v>
          </cell>
        </row>
        <row r="3132">
          <cell r="A3132">
            <v>70132208</v>
          </cell>
          <cell r="C3132" t="str">
            <v>고급 개인실</v>
          </cell>
        </row>
        <row r="3133">
          <cell r="A3133">
            <v>70132209</v>
          </cell>
          <cell r="C3133" t="str">
            <v>고급 예배실</v>
          </cell>
        </row>
        <row r="3134">
          <cell r="A3134">
            <v>70132210</v>
          </cell>
          <cell r="C3134" t="str">
            <v>고급 조리실</v>
          </cell>
        </row>
        <row r="3135">
          <cell r="A3135">
            <v>70132211</v>
          </cell>
          <cell r="C3135" t="str">
            <v>고급 진료실</v>
          </cell>
        </row>
        <row r="3136">
          <cell r="A3136">
            <v>70132212</v>
          </cell>
          <cell r="C3136" t="str">
            <v>고급 체력단련실</v>
          </cell>
        </row>
        <row r="3137">
          <cell r="A3137">
            <v>70132213</v>
          </cell>
          <cell r="C3137" t="str">
            <v>고급 참모실</v>
          </cell>
        </row>
        <row r="3138">
          <cell r="A3138">
            <v>70132214</v>
          </cell>
          <cell r="C3138" t="str">
            <v>고급 오락실</v>
          </cell>
        </row>
        <row r="3139">
          <cell r="A3139">
            <v>70132215</v>
          </cell>
          <cell r="C3139" t="str">
            <v>고급 사육실</v>
          </cell>
        </row>
        <row r="3140">
          <cell r="A3140">
            <v>70132216</v>
          </cell>
          <cell r="C3140" t="str">
            <v>고급 연구실</v>
          </cell>
        </row>
        <row r="3141">
          <cell r="A3141">
            <v>70132217</v>
          </cell>
          <cell r="C3141" t="str">
            <v>고급 도서실</v>
          </cell>
        </row>
        <row r="3142">
          <cell r="A3142">
            <v>70132300</v>
          </cell>
          <cell r="C3142" t="str">
            <v>최고급 돛대</v>
          </cell>
        </row>
        <row r="3143">
          <cell r="A3143">
            <v>70132301</v>
          </cell>
          <cell r="C3143" t="str">
            <v>최고급 파수대</v>
          </cell>
        </row>
        <row r="3144">
          <cell r="A3144">
            <v>70132302</v>
          </cell>
          <cell r="C3144" t="str">
            <v>최고급 부관실</v>
          </cell>
        </row>
        <row r="3145">
          <cell r="A3145">
            <v>70132303</v>
          </cell>
          <cell r="C3145" t="str">
            <v>최고급 재목실</v>
          </cell>
        </row>
        <row r="3146">
          <cell r="A3146">
            <v>70132304</v>
          </cell>
          <cell r="C3146" t="str">
            <v>최고급 회계실</v>
          </cell>
        </row>
        <row r="3147">
          <cell r="A3147">
            <v>70132305</v>
          </cell>
          <cell r="C3147" t="str">
            <v>최고급 측량실</v>
          </cell>
        </row>
        <row r="3148">
          <cell r="A3148">
            <v>70132306</v>
          </cell>
          <cell r="C3148" t="str">
            <v>최고급 무장포대</v>
          </cell>
        </row>
        <row r="3149">
          <cell r="A3149">
            <v>70132307</v>
          </cell>
          <cell r="C3149" t="str">
            <v>최고급 해병대기실</v>
          </cell>
        </row>
        <row r="3150">
          <cell r="A3150">
            <v>70132308</v>
          </cell>
          <cell r="C3150" t="str">
            <v>최고급 개인실</v>
          </cell>
        </row>
        <row r="3151">
          <cell r="A3151">
            <v>70132309</v>
          </cell>
          <cell r="C3151" t="str">
            <v>최고급 예배실</v>
          </cell>
        </row>
        <row r="3152">
          <cell r="A3152">
            <v>70132310</v>
          </cell>
          <cell r="C3152" t="str">
            <v>최고급 조리실</v>
          </cell>
        </row>
        <row r="3153">
          <cell r="A3153">
            <v>70132311</v>
          </cell>
          <cell r="C3153" t="str">
            <v>최고급 진료실</v>
          </cell>
        </row>
        <row r="3154">
          <cell r="A3154">
            <v>70132312</v>
          </cell>
          <cell r="C3154" t="str">
            <v>최고급 체력단련실</v>
          </cell>
        </row>
        <row r="3155">
          <cell r="A3155">
            <v>70132313</v>
          </cell>
          <cell r="C3155" t="str">
            <v>최고급 참모실</v>
          </cell>
        </row>
        <row r="3156">
          <cell r="A3156">
            <v>70132314</v>
          </cell>
          <cell r="C3156" t="str">
            <v>최고급 오락실</v>
          </cell>
        </row>
        <row r="3157">
          <cell r="A3157">
            <v>70132315</v>
          </cell>
          <cell r="C3157" t="str">
            <v>최고급 사육실</v>
          </cell>
        </row>
        <row r="3158">
          <cell r="A3158">
            <v>70132316</v>
          </cell>
          <cell r="C3158" t="str">
            <v>최고급 연구실</v>
          </cell>
        </row>
        <row r="3159">
          <cell r="A3159">
            <v>70132317</v>
          </cell>
          <cell r="C3159" t="str">
            <v>최고급 도서실</v>
          </cell>
        </row>
        <row r="3160">
          <cell r="A3160">
            <v>70132400</v>
          </cell>
          <cell r="C3160" t="str">
            <v>낡은 돛대</v>
          </cell>
        </row>
        <row r="3161">
          <cell r="A3161">
            <v>70132401</v>
          </cell>
          <cell r="C3161" t="str">
            <v>낡은 파수대</v>
          </cell>
        </row>
        <row r="3162">
          <cell r="A3162">
            <v>70132402</v>
          </cell>
          <cell r="C3162" t="str">
            <v>낡은 부관실</v>
          </cell>
        </row>
        <row r="3163">
          <cell r="A3163">
            <v>70132403</v>
          </cell>
          <cell r="C3163" t="str">
            <v>낡은 재목실</v>
          </cell>
        </row>
        <row r="3164">
          <cell r="A3164">
            <v>70132404</v>
          </cell>
          <cell r="C3164" t="str">
            <v>낡은 회계실</v>
          </cell>
        </row>
        <row r="3165">
          <cell r="A3165">
            <v>70132405</v>
          </cell>
          <cell r="C3165" t="str">
            <v>낡은 측량실</v>
          </cell>
        </row>
        <row r="3166">
          <cell r="A3166">
            <v>70132406</v>
          </cell>
          <cell r="C3166" t="str">
            <v>낡은 무장포대</v>
          </cell>
        </row>
        <row r="3167">
          <cell r="A3167">
            <v>70132407</v>
          </cell>
          <cell r="C3167" t="str">
            <v>낡은 해병대기실</v>
          </cell>
        </row>
        <row r="3168">
          <cell r="A3168">
            <v>70132408</v>
          </cell>
          <cell r="C3168" t="str">
            <v>낡은 개인실</v>
          </cell>
        </row>
        <row r="3169">
          <cell r="A3169">
            <v>70132409</v>
          </cell>
          <cell r="C3169" t="str">
            <v>낡은 예배실</v>
          </cell>
        </row>
        <row r="3170">
          <cell r="A3170">
            <v>70132410</v>
          </cell>
          <cell r="C3170" t="str">
            <v>낡은 조리실</v>
          </cell>
        </row>
        <row r="3171">
          <cell r="A3171">
            <v>70132411</v>
          </cell>
          <cell r="C3171" t="str">
            <v>낡은 진료실</v>
          </cell>
        </row>
        <row r="3172">
          <cell r="A3172">
            <v>70132412</v>
          </cell>
          <cell r="C3172" t="str">
            <v>낡은 체력단련실</v>
          </cell>
        </row>
        <row r="3173">
          <cell r="A3173">
            <v>70132413</v>
          </cell>
          <cell r="C3173" t="str">
            <v>낡은 참모실</v>
          </cell>
        </row>
        <row r="3174">
          <cell r="A3174">
            <v>70132414</v>
          </cell>
          <cell r="C3174" t="str">
            <v>낡은 오락실</v>
          </cell>
        </row>
        <row r="3175">
          <cell r="A3175">
            <v>70132415</v>
          </cell>
          <cell r="C3175" t="str">
            <v>낡은 사육실</v>
          </cell>
        </row>
        <row r="3176">
          <cell r="A3176">
            <v>70132416</v>
          </cell>
          <cell r="C3176" t="str">
            <v>낡은 연구실</v>
          </cell>
        </row>
        <row r="3177">
          <cell r="A3177">
            <v>70132417</v>
          </cell>
          <cell r="C3177" t="str">
            <v>낡은 도서실</v>
          </cell>
        </row>
        <row r="3178">
          <cell r="A3178">
            <v>70132500</v>
          </cell>
          <cell r="C3178" t="str">
            <v>돛대</v>
          </cell>
        </row>
        <row r="3179">
          <cell r="A3179">
            <v>70132501</v>
          </cell>
          <cell r="C3179" t="str">
            <v>파수대</v>
          </cell>
        </row>
        <row r="3180">
          <cell r="A3180">
            <v>70132502</v>
          </cell>
          <cell r="C3180" t="str">
            <v>부관실</v>
          </cell>
        </row>
        <row r="3181">
          <cell r="A3181">
            <v>70132503</v>
          </cell>
          <cell r="C3181" t="str">
            <v>재목실</v>
          </cell>
        </row>
        <row r="3182">
          <cell r="A3182">
            <v>70132504</v>
          </cell>
          <cell r="C3182" t="str">
            <v>회계실</v>
          </cell>
        </row>
        <row r="3183">
          <cell r="A3183">
            <v>70132505</v>
          </cell>
          <cell r="C3183" t="str">
            <v>측량실</v>
          </cell>
        </row>
        <row r="3184">
          <cell r="A3184">
            <v>70132506</v>
          </cell>
          <cell r="C3184" t="str">
            <v>무장포대</v>
          </cell>
        </row>
        <row r="3185">
          <cell r="A3185">
            <v>70132507</v>
          </cell>
          <cell r="C3185" t="str">
            <v>해병대기실</v>
          </cell>
        </row>
        <row r="3186">
          <cell r="A3186">
            <v>70132508</v>
          </cell>
          <cell r="C3186" t="str">
            <v>개인실</v>
          </cell>
        </row>
        <row r="3187">
          <cell r="A3187">
            <v>70132509</v>
          </cell>
          <cell r="C3187" t="str">
            <v>예배실</v>
          </cell>
        </row>
        <row r="3188">
          <cell r="A3188">
            <v>70132510</v>
          </cell>
          <cell r="C3188" t="str">
            <v>조리실</v>
          </cell>
        </row>
        <row r="3189">
          <cell r="A3189">
            <v>70132511</v>
          </cell>
          <cell r="C3189" t="str">
            <v>진료실</v>
          </cell>
        </row>
        <row r="3190">
          <cell r="A3190">
            <v>70132512</v>
          </cell>
          <cell r="C3190" t="str">
            <v>체력단련실</v>
          </cell>
        </row>
        <row r="3191">
          <cell r="A3191">
            <v>70132513</v>
          </cell>
          <cell r="C3191" t="str">
            <v>참모실</v>
          </cell>
        </row>
        <row r="3192">
          <cell r="A3192">
            <v>70132514</v>
          </cell>
          <cell r="C3192" t="str">
            <v>오락실</v>
          </cell>
        </row>
        <row r="3193">
          <cell r="A3193">
            <v>70132515</v>
          </cell>
          <cell r="C3193" t="str">
            <v>사육실</v>
          </cell>
        </row>
        <row r="3194">
          <cell r="A3194">
            <v>70132516</v>
          </cell>
          <cell r="C3194" t="str">
            <v>연구실</v>
          </cell>
        </row>
        <row r="3195">
          <cell r="A3195">
            <v>70132517</v>
          </cell>
          <cell r="C3195" t="str">
            <v>도서실</v>
          </cell>
        </row>
        <row r="3196">
          <cell r="A3196">
            <v>70132600</v>
          </cell>
          <cell r="C3196" t="str">
            <v>고급 돛대</v>
          </cell>
        </row>
        <row r="3197">
          <cell r="A3197">
            <v>70132601</v>
          </cell>
          <cell r="C3197" t="str">
            <v>고급 파수대</v>
          </cell>
        </row>
        <row r="3198">
          <cell r="A3198">
            <v>70132602</v>
          </cell>
          <cell r="C3198" t="str">
            <v>고급 부관실</v>
          </cell>
        </row>
        <row r="3199">
          <cell r="A3199">
            <v>70132603</v>
          </cell>
          <cell r="C3199" t="str">
            <v>고급 재목실</v>
          </cell>
        </row>
        <row r="3200">
          <cell r="A3200">
            <v>70132604</v>
          </cell>
          <cell r="C3200" t="str">
            <v>고급 회계실</v>
          </cell>
        </row>
        <row r="3201">
          <cell r="A3201">
            <v>70132605</v>
          </cell>
          <cell r="C3201" t="str">
            <v>고급 측량실</v>
          </cell>
        </row>
        <row r="3202">
          <cell r="A3202">
            <v>70132606</v>
          </cell>
          <cell r="C3202" t="str">
            <v>고급 무장포대</v>
          </cell>
        </row>
        <row r="3203">
          <cell r="A3203">
            <v>70132607</v>
          </cell>
          <cell r="C3203" t="str">
            <v>고급 해병대기실</v>
          </cell>
        </row>
        <row r="3204">
          <cell r="A3204">
            <v>70132608</v>
          </cell>
          <cell r="C3204" t="str">
            <v>고급 개인실</v>
          </cell>
        </row>
        <row r="3205">
          <cell r="A3205">
            <v>70132609</v>
          </cell>
          <cell r="C3205" t="str">
            <v>고급 예배실</v>
          </cell>
        </row>
        <row r="3206">
          <cell r="A3206">
            <v>70132610</v>
          </cell>
          <cell r="C3206" t="str">
            <v>고급 조리실</v>
          </cell>
        </row>
        <row r="3207">
          <cell r="A3207">
            <v>70132611</v>
          </cell>
          <cell r="C3207" t="str">
            <v>고급 진료실</v>
          </cell>
        </row>
        <row r="3208">
          <cell r="A3208">
            <v>70132612</v>
          </cell>
          <cell r="C3208" t="str">
            <v>고급 체력단련실</v>
          </cell>
        </row>
        <row r="3209">
          <cell r="A3209">
            <v>70132613</v>
          </cell>
          <cell r="C3209" t="str">
            <v>고급 참모실</v>
          </cell>
        </row>
        <row r="3210">
          <cell r="A3210">
            <v>70132614</v>
          </cell>
          <cell r="C3210" t="str">
            <v>고급 오락실</v>
          </cell>
        </row>
        <row r="3211">
          <cell r="A3211">
            <v>70132615</v>
          </cell>
          <cell r="C3211" t="str">
            <v>고급 사육실</v>
          </cell>
        </row>
        <row r="3212">
          <cell r="A3212">
            <v>70132616</v>
          </cell>
          <cell r="C3212" t="str">
            <v>고급 연구실</v>
          </cell>
        </row>
        <row r="3213">
          <cell r="A3213">
            <v>70132617</v>
          </cell>
          <cell r="C3213" t="str">
            <v>고급 도서실</v>
          </cell>
        </row>
        <row r="3214">
          <cell r="A3214">
            <v>70132700</v>
          </cell>
          <cell r="C3214" t="str">
            <v>최고급 돛대</v>
          </cell>
        </row>
        <row r="3215">
          <cell r="A3215">
            <v>70132701</v>
          </cell>
          <cell r="C3215" t="str">
            <v>최고급 파수대</v>
          </cell>
        </row>
        <row r="3216">
          <cell r="A3216">
            <v>70132702</v>
          </cell>
          <cell r="C3216" t="str">
            <v>최고급 부관실</v>
          </cell>
        </row>
        <row r="3217">
          <cell r="A3217">
            <v>70132703</v>
          </cell>
          <cell r="C3217" t="str">
            <v>최고급 재목실</v>
          </cell>
        </row>
        <row r="3218">
          <cell r="A3218">
            <v>70132704</v>
          </cell>
          <cell r="C3218" t="str">
            <v>최고급 회계실</v>
          </cell>
        </row>
        <row r="3219">
          <cell r="A3219">
            <v>70132705</v>
          </cell>
          <cell r="C3219" t="str">
            <v>최고급 측량실</v>
          </cell>
        </row>
        <row r="3220">
          <cell r="A3220">
            <v>70132706</v>
          </cell>
          <cell r="C3220" t="str">
            <v>최고급 무장포대</v>
          </cell>
        </row>
        <row r="3221">
          <cell r="A3221">
            <v>70132707</v>
          </cell>
          <cell r="C3221" t="str">
            <v>최고급 해병대기실</v>
          </cell>
        </row>
        <row r="3222">
          <cell r="A3222">
            <v>70132708</v>
          </cell>
          <cell r="C3222" t="str">
            <v>최고급 개인실</v>
          </cell>
        </row>
        <row r="3223">
          <cell r="A3223">
            <v>70132709</v>
          </cell>
          <cell r="C3223" t="str">
            <v>최고급 예배실</v>
          </cell>
        </row>
        <row r="3224">
          <cell r="A3224">
            <v>70132710</v>
          </cell>
          <cell r="C3224" t="str">
            <v>최고급 조리실</v>
          </cell>
        </row>
        <row r="3225">
          <cell r="A3225">
            <v>70132711</v>
          </cell>
          <cell r="C3225" t="str">
            <v>최고급 진료실</v>
          </cell>
        </row>
        <row r="3226">
          <cell r="A3226">
            <v>70132712</v>
          </cell>
          <cell r="C3226" t="str">
            <v>최고급 체력단련실</v>
          </cell>
        </row>
        <row r="3227">
          <cell r="A3227">
            <v>70132713</v>
          </cell>
          <cell r="C3227" t="str">
            <v>최고급 참모실</v>
          </cell>
        </row>
        <row r="3228">
          <cell r="A3228">
            <v>70132714</v>
          </cell>
          <cell r="C3228" t="str">
            <v>최고급 오락실</v>
          </cell>
        </row>
        <row r="3229">
          <cell r="A3229">
            <v>70132715</v>
          </cell>
          <cell r="C3229" t="str">
            <v>최고급 사육실</v>
          </cell>
        </row>
        <row r="3230">
          <cell r="A3230">
            <v>70132716</v>
          </cell>
          <cell r="C3230" t="str">
            <v>최고급 연구실</v>
          </cell>
        </row>
        <row r="3231">
          <cell r="A3231">
            <v>70132717</v>
          </cell>
          <cell r="C3231" t="str">
            <v>최고급 도서실</v>
          </cell>
        </row>
        <row r="3232">
          <cell r="A3232">
            <v>70132800</v>
          </cell>
          <cell r="C3232" t="str">
            <v>낡은 돛대</v>
          </cell>
        </row>
        <row r="3233">
          <cell r="A3233">
            <v>70132801</v>
          </cell>
          <cell r="C3233" t="str">
            <v>낡은 파수대</v>
          </cell>
        </row>
        <row r="3234">
          <cell r="A3234">
            <v>70132802</v>
          </cell>
          <cell r="C3234" t="str">
            <v>낡은 부관실</v>
          </cell>
        </row>
        <row r="3235">
          <cell r="A3235">
            <v>70132803</v>
          </cell>
          <cell r="C3235" t="str">
            <v>낡은 재목실</v>
          </cell>
        </row>
        <row r="3236">
          <cell r="A3236">
            <v>70132804</v>
          </cell>
          <cell r="C3236" t="str">
            <v>낡은 회계실</v>
          </cell>
        </row>
        <row r="3237">
          <cell r="A3237">
            <v>70132805</v>
          </cell>
          <cell r="C3237" t="str">
            <v>낡은 측량실</v>
          </cell>
        </row>
        <row r="3238">
          <cell r="A3238">
            <v>70132806</v>
          </cell>
          <cell r="C3238" t="str">
            <v>낡은 무장포대</v>
          </cell>
        </row>
        <row r="3239">
          <cell r="A3239">
            <v>70132807</v>
          </cell>
          <cell r="C3239" t="str">
            <v>낡은 해병대기실</v>
          </cell>
        </row>
        <row r="3240">
          <cell r="A3240">
            <v>70132808</v>
          </cell>
          <cell r="C3240" t="str">
            <v>낡은 개인실</v>
          </cell>
        </row>
        <row r="3241">
          <cell r="A3241">
            <v>70132809</v>
          </cell>
          <cell r="C3241" t="str">
            <v>낡은 예배실</v>
          </cell>
        </row>
        <row r="3242">
          <cell r="A3242">
            <v>70132810</v>
          </cell>
          <cell r="C3242" t="str">
            <v>낡은 조리실</v>
          </cell>
        </row>
        <row r="3243">
          <cell r="A3243">
            <v>70132811</v>
          </cell>
          <cell r="C3243" t="str">
            <v>낡은 진료실</v>
          </cell>
        </row>
        <row r="3244">
          <cell r="A3244">
            <v>70132812</v>
          </cell>
          <cell r="C3244" t="str">
            <v>낡은 체력단련실</v>
          </cell>
        </row>
        <row r="3245">
          <cell r="A3245">
            <v>70132813</v>
          </cell>
          <cell r="C3245" t="str">
            <v>낡은 참모실</v>
          </cell>
        </row>
        <row r="3246">
          <cell r="A3246">
            <v>70132814</v>
          </cell>
          <cell r="C3246" t="str">
            <v>낡은 오락실</v>
          </cell>
        </row>
        <row r="3247">
          <cell r="A3247">
            <v>70132815</v>
          </cell>
          <cell r="C3247" t="str">
            <v>낡은 사육실</v>
          </cell>
        </row>
        <row r="3248">
          <cell r="A3248">
            <v>70132816</v>
          </cell>
          <cell r="C3248" t="str">
            <v>낡은 연구실</v>
          </cell>
        </row>
        <row r="3249">
          <cell r="A3249">
            <v>70132817</v>
          </cell>
          <cell r="C3249" t="str">
            <v>낡은 도서실</v>
          </cell>
        </row>
        <row r="3250">
          <cell r="A3250">
            <v>70132900</v>
          </cell>
          <cell r="C3250" t="str">
            <v>돛대</v>
          </cell>
        </row>
        <row r="3251">
          <cell r="A3251">
            <v>70132901</v>
          </cell>
          <cell r="C3251" t="str">
            <v>파수대</v>
          </cell>
        </row>
        <row r="3252">
          <cell r="A3252">
            <v>70132902</v>
          </cell>
          <cell r="C3252" t="str">
            <v>부관실</v>
          </cell>
        </row>
        <row r="3253">
          <cell r="A3253">
            <v>70132903</v>
          </cell>
          <cell r="C3253" t="str">
            <v>재목실</v>
          </cell>
        </row>
        <row r="3254">
          <cell r="A3254">
            <v>70132904</v>
          </cell>
          <cell r="C3254" t="str">
            <v>회계실</v>
          </cell>
        </row>
        <row r="3255">
          <cell r="A3255">
            <v>70132905</v>
          </cell>
          <cell r="C3255" t="str">
            <v>측량실</v>
          </cell>
        </row>
        <row r="3256">
          <cell r="A3256">
            <v>70132906</v>
          </cell>
          <cell r="C3256" t="str">
            <v>무장포대</v>
          </cell>
        </row>
        <row r="3257">
          <cell r="A3257">
            <v>70132907</v>
          </cell>
          <cell r="C3257" t="str">
            <v>해병대기실</v>
          </cell>
        </row>
        <row r="3258">
          <cell r="A3258">
            <v>70132908</v>
          </cell>
          <cell r="C3258" t="str">
            <v>개인실</v>
          </cell>
        </row>
        <row r="3259">
          <cell r="A3259">
            <v>70132909</v>
          </cell>
          <cell r="C3259" t="str">
            <v>예배실</v>
          </cell>
        </row>
        <row r="3260">
          <cell r="A3260">
            <v>70132910</v>
          </cell>
          <cell r="C3260" t="str">
            <v>조리실</v>
          </cell>
        </row>
        <row r="3261">
          <cell r="A3261">
            <v>70132911</v>
          </cell>
          <cell r="C3261" t="str">
            <v>진료실</v>
          </cell>
        </row>
        <row r="3262">
          <cell r="A3262">
            <v>70132912</v>
          </cell>
          <cell r="C3262" t="str">
            <v>체력단련실</v>
          </cell>
        </row>
        <row r="3263">
          <cell r="A3263">
            <v>70132913</v>
          </cell>
          <cell r="C3263" t="str">
            <v>참모실</v>
          </cell>
        </row>
        <row r="3264">
          <cell r="A3264">
            <v>70132914</v>
          </cell>
          <cell r="C3264" t="str">
            <v>오락실</v>
          </cell>
        </row>
        <row r="3265">
          <cell r="A3265">
            <v>70132915</v>
          </cell>
          <cell r="C3265" t="str">
            <v>사육실</v>
          </cell>
        </row>
        <row r="3266">
          <cell r="A3266">
            <v>70132916</v>
          </cell>
          <cell r="C3266" t="str">
            <v>연구실</v>
          </cell>
        </row>
        <row r="3267">
          <cell r="A3267">
            <v>70132917</v>
          </cell>
          <cell r="C3267" t="str">
            <v>도서실</v>
          </cell>
        </row>
        <row r="3268">
          <cell r="A3268">
            <v>70133000</v>
          </cell>
          <cell r="C3268" t="str">
            <v>고급 돛대</v>
          </cell>
        </row>
        <row r="3269">
          <cell r="A3269">
            <v>70133001</v>
          </cell>
          <cell r="C3269" t="str">
            <v>고급 파수대</v>
          </cell>
        </row>
        <row r="3270">
          <cell r="A3270">
            <v>70133002</v>
          </cell>
          <cell r="C3270" t="str">
            <v>고급 부관실</v>
          </cell>
        </row>
        <row r="3271">
          <cell r="A3271">
            <v>70133003</v>
          </cell>
          <cell r="C3271" t="str">
            <v>고급 재목실</v>
          </cell>
        </row>
        <row r="3272">
          <cell r="A3272">
            <v>70133004</v>
          </cell>
          <cell r="C3272" t="str">
            <v>고급 회계실</v>
          </cell>
        </row>
        <row r="3273">
          <cell r="A3273">
            <v>70133005</v>
          </cell>
          <cell r="C3273" t="str">
            <v>고급 측량실</v>
          </cell>
        </row>
        <row r="3274">
          <cell r="A3274">
            <v>70133006</v>
          </cell>
          <cell r="C3274" t="str">
            <v>고급 무장포대</v>
          </cell>
        </row>
        <row r="3275">
          <cell r="A3275">
            <v>70133007</v>
          </cell>
          <cell r="C3275" t="str">
            <v>고급 해병대기실</v>
          </cell>
        </row>
        <row r="3276">
          <cell r="A3276">
            <v>70133008</v>
          </cell>
          <cell r="C3276" t="str">
            <v>고급 개인실</v>
          </cell>
        </row>
        <row r="3277">
          <cell r="A3277">
            <v>70133009</v>
          </cell>
          <cell r="C3277" t="str">
            <v>고급 예배실</v>
          </cell>
        </row>
        <row r="3278">
          <cell r="A3278">
            <v>70133010</v>
          </cell>
          <cell r="C3278" t="str">
            <v>고급 조리실</v>
          </cell>
        </row>
        <row r="3279">
          <cell r="A3279">
            <v>70133011</v>
          </cell>
          <cell r="C3279" t="str">
            <v>고급 진료실</v>
          </cell>
        </row>
        <row r="3280">
          <cell r="A3280">
            <v>70133012</v>
          </cell>
          <cell r="C3280" t="str">
            <v>고급 체력단련실</v>
          </cell>
        </row>
        <row r="3281">
          <cell r="A3281">
            <v>70133013</v>
          </cell>
          <cell r="C3281" t="str">
            <v>고급 참모실</v>
          </cell>
        </row>
        <row r="3282">
          <cell r="A3282">
            <v>70133014</v>
          </cell>
          <cell r="C3282" t="str">
            <v>고급 오락실</v>
          </cell>
        </row>
        <row r="3283">
          <cell r="A3283">
            <v>70133015</v>
          </cell>
          <cell r="C3283" t="str">
            <v>고급 사육실</v>
          </cell>
        </row>
        <row r="3284">
          <cell r="A3284">
            <v>70133016</v>
          </cell>
          <cell r="C3284" t="str">
            <v>고급 연구실</v>
          </cell>
        </row>
        <row r="3285">
          <cell r="A3285">
            <v>70133017</v>
          </cell>
          <cell r="C3285" t="str">
            <v>고급 도서실</v>
          </cell>
        </row>
        <row r="3286">
          <cell r="A3286">
            <v>70133100</v>
          </cell>
          <cell r="C3286" t="str">
            <v>최고급 돛대</v>
          </cell>
        </row>
        <row r="3287">
          <cell r="A3287">
            <v>70133101</v>
          </cell>
          <cell r="C3287" t="str">
            <v>최고급 파수대</v>
          </cell>
        </row>
        <row r="3288">
          <cell r="A3288">
            <v>70133102</v>
          </cell>
          <cell r="C3288" t="str">
            <v>최고급 부관실</v>
          </cell>
        </row>
        <row r="3289">
          <cell r="A3289">
            <v>70133103</v>
          </cell>
          <cell r="C3289" t="str">
            <v>최고급 재목실</v>
          </cell>
        </row>
        <row r="3290">
          <cell r="A3290">
            <v>70133104</v>
          </cell>
          <cell r="C3290" t="str">
            <v>최고급 회계실</v>
          </cell>
        </row>
        <row r="3291">
          <cell r="A3291">
            <v>70133105</v>
          </cell>
          <cell r="C3291" t="str">
            <v>최고급 측량실</v>
          </cell>
        </row>
        <row r="3292">
          <cell r="A3292">
            <v>70133106</v>
          </cell>
          <cell r="C3292" t="str">
            <v>최고급 무장포대</v>
          </cell>
        </row>
        <row r="3293">
          <cell r="A3293">
            <v>70133107</v>
          </cell>
          <cell r="C3293" t="str">
            <v>최고급 해병대기실</v>
          </cell>
        </row>
        <row r="3294">
          <cell r="A3294">
            <v>70133108</v>
          </cell>
          <cell r="C3294" t="str">
            <v>최고급 개인실</v>
          </cell>
        </row>
        <row r="3295">
          <cell r="A3295">
            <v>70133109</v>
          </cell>
          <cell r="C3295" t="str">
            <v>최고급 예배실</v>
          </cell>
        </row>
        <row r="3296">
          <cell r="A3296">
            <v>70133110</v>
          </cell>
          <cell r="C3296" t="str">
            <v>최고급 조리실</v>
          </cell>
        </row>
        <row r="3297">
          <cell r="A3297">
            <v>70133111</v>
          </cell>
          <cell r="C3297" t="str">
            <v>최고급 진료실</v>
          </cell>
        </row>
        <row r="3298">
          <cell r="A3298">
            <v>70133112</v>
          </cell>
          <cell r="C3298" t="str">
            <v>최고급 체력단련실</v>
          </cell>
        </row>
        <row r="3299">
          <cell r="A3299">
            <v>70133113</v>
          </cell>
          <cell r="C3299" t="str">
            <v>최고급 참모실</v>
          </cell>
        </row>
        <row r="3300">
          <cell r="A3300">
            <v>70133114</v>
          </cell>
          <cell r="C3300" t="str">
            <v>최고급 오락실</v>
          </cell>
        </row>
        <row r="3301">
          <cell r="A3301">
            <v>70133115</v>
          </cell>
          <cell r="C3301" t="str">
            <v>최고급 사육실</v>
          </cell>
        </row>
        <row r="3302">
          <cell r="A3302">
            <v>70133116</v>
          </cell>
          <cell r="C3302" t="str">
            <v>최고급 연구실</v>
          </cell>
        </row>
        <row r="3303">
          <cell r="A3303">
            <v>70133117</v>
          </cell>
          <cell r="C3303" t="str">
            <v>최고급 도서실</v>
          </cell>
        </row>
        <row r="3304">
          <cell r="A3304">
            <v>70133200</v>
          </cell>
          <cell r="C3304" t="str">
            <v>낡은 돛대</v>
          </cell>
        </row>
        <row r="3305">
          <cell r="A3305">
            <v>70133201</v>
          </cell>
          <cell r="C3305" t="str">
            <v>낡은 파수대</v>
          </cell>
        </row>
        <row r="3306">
          <cell r="A3306">
            <v>70133202</v>
          </cell>
          <cell r="C3306" t="str">
            <v>낡은 부관실</v>
          </cell>
        </row>
        <row r="3307">
          <cell r="A3307">
            <v>70133203</v>
          </cell>
          <cell r="C3307" t="str">
            <v>낡은 재목실</v>
          </cell>
        </row>
        <row r="3308">
          <cell r="A3308">
            <v>70133204</v>
          </cell>
          <cell r="C3308" t="str">
            <v>낡은 회계실</v>
          </cell>
        </row>
        <row r="3309">
          <cell r="A3309">
            <v>70133205</v>
          </cell>
          <cell r="C3309" t="str">
            <v>낡은 측량실</v>
          </cell>
        </row>
        <row r="3310">
          <cell r="A3310">
            <v>70133206</v>
          </cell>
          <cell r="C3310" t="str">
            <v>낡은 무장포대</v>
          </cell>
        </row>
        <row r="3311">
          <cell r="A3311">
            <v>70133207</v>
          </cell>
          <cell r="C3311" t="str">
            <v>낡은 해병대기실</v>
          </cell>
        </row>
        <row r="3312">
          <cell r="A3312">
            <v>70133208</v>
          </cell>
          <cell r="C3312" t="str">
            <v>낡은 개인실</v>
          </cell>
        </row>
        <row r="3313">
          <cell r="A3313">
            <v>70133209</v>
          </cell>
          <cell r="C3313" t="str">
            <v>낡은 예배실</v>
          </cell>
        </row>
        <row r="3314">
          <cell r="A3314">
            <v>70133210</v>
          </cell>
          <cell r="C3314" t="str">
            <v>낡은 조리실</v>
          </cell>
        </row>
        <row r="3315">
          <cell r="A3315">
            <v>70133211</v>
          </cell>
          <cell r="C3315" t="str">
            <v>낡은 진료실</v>
          </cell>
        </row>
        <row r="3316">
          <cell r="A3316">
            <v>70133212</v>
          </cell>
          <cell r="C3316" t="str">
            <v>낡은 체력단련실</v>
          </cell>
        </row>
        <row r="3317">
          <cell r="A3317">
            <v>70133213</v>
          </cell>
          <cell r="C3317" t="str">
            <v>낡은 참모실</v>
          </cell>
        </row>
        <row r="3318">
          <cell r="A3318">
            <v>70133214</v>
          </cell>
          <cell r="C3318" t="str">
            <v>낡은 오락실</v>
          </cell>
        </row>
        <row r="3319">
          <cell r="A3319">
            <v>70133215</v>
          </cell>
          <cell r="C3319" t="str">
            <v>낡은 사육실</v>
          </cell>
        </row>
        <row r="3320">
          <cell r="A3320">
            <v>70133216</v>
          </cell>
          <cell r="C3320" t="str">
            <v>낡은 연구실</v>
          </cell>
        </row>
        <row r="3321">
          <cell r="A3321">
            <v>70133217</v>
          </cell>
          <cell r="C3321" t="str">
            <v>낡은 도서실</v>
          </cell>
        </row>
        <row r="3322">
          <cell r="A3322">
            <v>70133300</v>
          </cell>
          <cell r="C3322" t="str">
            <v>돛대</v>
          </cell>
        </row>
        <row r="3323">
          <cell r="A3323">
            <v>70133301</v>
          </cell>
          <cell r="C3323" t="str">
            <v>파수대</v>
          </cell>
        </row>
        <row r="3324">
          <cell r="A3324">
            <v>70133302</v>
          </cell>
          <cell r="C3324" t="str">
            <v>부관실</v>
          </cell>
        </row>
        <row r="3325">
          <cell r="A3325">
            <v>70133303</v>
          </cell>
          <cell r="C3325" t="str">
            <v>재목실</v>
          </cell>
        </row>
        <row r="3326">
          <cell r="A3326">
            <v>70133304</v>
          </cell>
          <cell r="C3326" t="str">
            <v>회계실</v>
          </cell>
        </row>
        <row r="3327">
          <cell r="A3327">
            <v>70133305</v>
          </cell>
          <cell r="C3327" t="str">
            <v>측량실</v>
          </cell>
        </row>
        <row r="3328">
          <cell r="A3328">
            <v>70133306</v>
          </cell>
          <cell r="C3328" t="str">
            <v>무장포대</v>
          </cell>
        </row>
        <row r="3329">
          <cell r="A3329">
            <v>70133307</v>
          </cell>
          <cell r="C3329" t="str">
            <v>해병대기실</v>
          </cell>
        </row>
        <row r="3330">
          <cell r="A3330">
            <v>70133308</v>
          </cell>
          <cell r="C3330" t="str">
            <v>개인실</v>
          </cell>
        </row>
        <row r="3331">
          <cell r="A3331">
            <v>70133309</v>
          </cell>
          <cell r="C3331" t="str">
            <v>예배실</v>
          </cell>
        </row>
        <row r="3332">
          <cell r="A3332">
            <v>70133310</v>
          </cell>
          <cell r="C3332" t="str">
            <v>조리실</v>
          </cell>
        </row>
        <row r="3333">
          <cell r="A3333">
            <v>70133311</v>
          </cell>
          <cell r="C3333" t="str">
            <v>진료실</v>
          </cell>
        </row>
        <row r="3334">
          <cell r="A3334">
            <v>70133312</v>
          </cell>
          <cell r="C3334" t="str">
            <v>체력단련실</v>
          </cell>
        </row>
        <row r="3335">
          <cell r="A3335">
            <v>70133313</v>
          </cell>
          <cell r="C3335" t="str">
            <v>참모실</v>
          </cell>
        </row>
        <row r="3336">
          <cell r="A3336">
            <v>70133314</v>
          </cell>
          <cell r="C3336" t="str">
            <v>오락실</v>
          </cell>
        </row>
        <row r="3337">
          <cell r="A3337">
            <v>70133315</v>
          </cell>
          <cell r="C3337" t="str">
            <v>사육실</v>
          </cell>
        </row>
        <row r="3338">
          <cell r="A3338">
            <v>70133316</v>
          </cell>
          <cell r="C3338" t="str">
            <v>연구실</v>
          </cell>
        </row>
        <row r="3339">
          <cell r="A3339">
            <v>70133317</v>
          </cell>
          <cell r="C3339" t="str">
            <v>도서실</v>
          </cell>
        </row>
        <row r="3340">
          <cell r="A3340">
            <v>70133400</v>
          </cell>
          <cell r="C3340" t="str">
            <v>고급 돛대</v>
          </cell>
        </row>
        <row r="3341">
          <cell r="A3341">
            <v>70133401</v>
          </cell>
          <cell r="C3341" t="str">
            <v>고급 파수대</v>
          </cell>
        </row>
        <row r="3342">
          <cell r="A3342">
            <v>70133402</v>
          </cell>
          <cell r="C3342" t="str">
            <v>고급 부관실</v>
          </cell>
        </row>
        <row r="3343">
          <cell r="A3343">
            <v>70133403</v>
          </cell>
          <cell r="C3343" t="str">
            <v>고급 재목실</v>
          </cell>
        </row>
        <row r="3344">
          <cell r="A3344">
            <v>70133404</v>
          </cell>
          <cell r="C3344" t="str">
            <v>고급 회계실</v>
          </cell>
        </row>
        <row r="3345">
          <cell r="A3345">
            <v>70133405</v>
          </cell>
          <cell r="C3345" t="str">
            <v>고급 측량실</v>
          </cell>
        </row>
        <row r="3346">
          <cell r="A3346">
            <v>70133406</v>
          </cell>
          <cell r="C3346" t="str">
            <v>고급 무장포대</v>
          </cell>
        </row>
        <row r="3347">
          <cell r="A3347">
            <v>70133407</v>
          </cell>
          <cell r="C3347" t="str">
            <v>고급 해병대기실</v>
          </cell>
        </row>
        <row r="3348">
          <cell r="A3348">
            <v>70133408</v>
          </cell>
          <cell r="C3348" t="str">
            <v>고급 개인실</v>
          </cell>
        </row>
        <row r="3349">
          <cell r="A3349">
            <v>70133409</v>
          </cell>
          <cell r="C3349" t="str">
            <v>고급 예배실</v>
          </cell>
        </row>
        <row r="3350">
          <cell r="A3350">
            <v>70133410</v>
          </cell>
          <cell r="C3350" t="str">
            <v>고급 조리실</v>
          </cell>
        </row>
        <row r="3351">
          <cell r="A3351">
            <v>70133411</v>
          </cell>
          <cell r="C3351" t="str">
            <v>고급 진료실</v>
          </cell>
        </row>
        <row r="3352">
          <cell r="A3352">
            <v>70133412</v>
          </cell>
          <cell r="C3352" t="str">
            <v>고급 체력단련실</v>
          </cell>
        </row>
        <row r="3353">
          <cell r="A3353">
            <v>70133413</v>
          </cell>
          <cell r="C3353" t="str">
            <v>고급 참모실</v>
          </cell>
        </row>
        <row r="3354">
          <cell r="A3354">
            <v>70133414</v>
          </cell>
          <cell r="C3354" t="str">
            <v>고급 오락실</v>
          </cell>
        </row>
        <row r="3355">
          <cell r="A3355">
            <v>70133415</v>
          </cell>
          <cell r="C3355" t="str">
            <v>고급 사육실</v>
          </cell>
        </row>
        <row r="3356">
          <cell r="A3356">
            <v>70133416</v>
          </cell>
          <cell r="C3356" t="str">
            <v>고급 연구실</v>
          </cell>
        </row>
        <row r="3357">
          <cell r="A3357">
            <v>70133417</v>
          </cell>
          <cell r="C3357" t="str">
            <v>고급 도서실</v>
          </cell>
        </row>
        <row r="3358">
          <cell r="A3358">
            <v>70133500</v>
          </cell>
          <cell r="C3358" t="str">
            <v>최고급 돛대</v>
          </cell>
        </row>
        <row r="3359">
          <cell r="A3359">
            <v>70133501</v>
          </cell>
          <cell r="C3359" t="str">
            <v>최고급 파수대</v>
          </cell>
        </row>
        <row r="3360">
          <cell r="A3360">
            <v>70133502</v>
          </cell>
          <cell r="C3360" t="str">
            <v>최고급 부관실</v>
          </cell>
        </row>
        <row r="3361">
          <cell r="A3361">
            <v>70133503</v>
          </cell>
          <cell r="C3361" t="str">
            <v>최고급 재목실</v>
          </cell>
        </row>
        <row r="3362">
          <cell r="A3362">
            <v>70133504</v>
          </cell>
          <cell r="C3362" t="str">
            <v>최고급 회계실</v>
          </cell>
        </row>
        <row r="3363">
          <cell r="A3363">
            <v>70133505</v>
          </cell>
          <cell r="C3363" t="str">
            <v>최고급 측량실</v>
          </cell>
        </row>
        <row r="3364">
          <cell r="A3364">
            <v>70133506</v>
          </cell>
          <cell r="C3364" t="str">
            <v>최고급 무장포대</v>
          </cell>
        </row>
        <row r="3365">
          <cell r="A3365">
            <v>70133507</v>
          </cell>
          <cell r="C3365" t="str">
            <v>최고급 해병대기실</v>
          </cell>
        </row>
        <row r="3366">
          <cell r="A3366">
            <v>70133508</v>
          </cell>
          <cell r="C3366" t="str">
            <v>최고급 개인실</v>
          </cell>
        </row>
        <row r="3367">
          <cell r="A3367">
            <v>70133509</v>
          </cell>
          <cell r="C3367" t="str">
            <v>최고급 예배실</v>
          </cell>
        </row>
        <row r="3368">
          <cell r="A3368">
            <v>70133510</v>
          </cell>
          <cell r="C3368" t="str">
            <v>최고급 조리실</v>
          </cell>
        </row>
        <row r="3369">
          <cell r="A3369">
            <v>70133511</v>
          </cell>
          <cell r="C3369" t="str">
            <v>최고급 진료실</v>
          </cell>
        </row>
        <row r="3370">
          <cell r="A3370">
            <v>70133512</v>
          </cell>
          <cell r="C3370" t="str">
            <v>최고급 체력단련실</v>
          </cell>
        </row>
        <row r="3371">
          <cell r="A3371">
            <v>70133513</v>
          </cell>
          <cell r="C3371" t="str">
            <v>최고급 참모실</v>
          </cell>
        </row>
        <row r="3372">
          <cell r="A3372">
            <v>70133514</v>
          </cell>
          <cell r="C3372" t="str">
            <v>최고급 오락실</v>
          </cell>
        </row>
        <row r="3373">
          <cell r="A3373">
            <v>70133515</v>
          </cell>
          <cell r="C3373" t="str">
            <v>최고급 사육실</v>
          </cell>
        </row>
        <row r="3374">
          <cell r="A3374">
            <v>70133516</v>
          </cell>
          <cell r="C3374" t="str">
            <v>최고급 연구실</v>
          </cell>
        </row>
        <row r="3375">
          <cell r="A3375">
            <v>70133517</v>
          </cell>
          <cell r="C3375" t="str">
            <v>최고급 도서실</v>
          </cell>
        </row>
        <row r="3376">
          <cell r="A3376">
            <v>70133600</v>
          </cell>
          <cell r="C3376" t="str">
            <v>낡은 돛대</v>
          </cell>
        </row>
        <row r="3377">
          <cell r="A3377">
            <v>70133601</v>
          </cell>
          <cell r="C3377" t="str">
            <v>낡은 파수대</v>
          </cell>
        </row>
        <row r="3378">
          <cell r="A3378">
            <v>70133602</v>
          </cell>
          <cell r="C3378" t="str">
            <v>낡은 부관실</v>
          </cell>
        </row>
        <row r="3379">
          <cell r="A3379">
            <v>70133603</v>
          </cell>
          <cell r="C3379" t="str">
            <v>낡은 재목실</v>
          </cell>
        </row>
        <row r="3380">
          <cell r="A3380">
            <v>70133604</v>
          </cell>
          <cell r="C3380" t="str">
            <v>낡은 회계실</v>
          </cell>
        </row>
        <row r="3381">
          <cell r="A3381">
            <v>70133605</v>
          </cell>
          <cell r="C3381" t="str">
            <v>낡은 측량실</v>
          </cell>
        </row>
        <row r="3382">
          <cell r="A3382">
            <v>70133606</v>
          </cell>
          <cell r="C3382" t="str">
            <v>낡은 무장포대</v>
          </cell>
        </row>
        <row r="3383">
          <cell r="A3383">
            <v>70133607</v>
          </cell>
          <cell r="C3383" t="str">
            <v>낡은 해병대기실</v>
          </cell>
        </row>
        <row r="3384">
          <cell r="A3384">
            <v>70133608</v>
          </cell>
          <cell r="C3384" t="str">
            <v>낡은 개인실</v>
          </cell>
        </row>
        <row r="3385">
          <cell r="A3385">
            <v>70133609</v>
          </cell>
          <cell r="C3385" t="str">
            <v>낡은 예배실</v>
          </cell>
        </row>
        <row r="3386">
          <cell r="A3386">
            <v>70133610</v>
          </cell>
          <cell r="C3386" t="str">
            <v>낡은 조리실</v>
          </cell>
        </row>
        <row r="3387">
          <cell r="A3387">
            <v>70133611</v>
          </cell>
          <cell r="C3387" t="str">
            <v>낡은 진료실</v>
          </cell>
        </row>
        <row r="3388">
          <cell r="A3388">
            <v>70133612</v>
          </cell>
          <cell r="C3388" t="str">
            <v>낡은 체력단련실</v>
          </cell>
        </row>
        <row r="3389">
          <cell r="A3389">
            <v>70133613</v>
          </cell>
          <cell r="C3389" t="str">
            <v>낡은 참모실</v>
          </cell>
        </row>
        <row r="3390">
          <cell r="A3390">
            <v>70133614</v>
          </cell>
          <cell r="C3390" t="str">
            <v>낡은 오락실</v>
          </cell>
        </row>
        <row r="3391">
          <cell r="A3391">
            <v>70133615</v>
          </cell>
          <cell r="C3391" t="str">
            <v>낡은 사육실</v>
          </cell>
        </row>
        <row r="3392">
          <cell r="A3392">
            <v>70133616</v>
          </cell>
          <cell r="C3392" t="str">
            <v>낡은 연구실</v>
          </cell>
        </row>
        <row r="3393">
          <cell r="A3393">
            <v>70133617</v>
          </cell>
          <cell r="C3393" t="str">
            <v>낡은 도서실</v>
          </cell>
        </row>
        <row r="3394">
          <cell r="A3394">
            <v>70133700</v>
          </cell>
          <cell r="C3394" t="str">
            <v>돛대</v>
          </cell>
        </row>
        <row r="3395">
          <cell r="A3395">
            <v>70133701</v>
          </cell>
          <cell r="C3395" t="str">
            <v>파수대</v>
          </cell>
        </row>
        <row r="3396">
          <cell r="A3396">
            <v>70133702</v>
          </cell>
          <cell r="C3396" t="str">
            <v>부관실</v>
          </cell>
        </row>
        <row r="3397">
          <cell r="A3397">
            <v>70133703</v>
          </cell>
          <cell r="C3397" t="str">
            <v>재목실</v>
          </cell>
        </row>
        <row r="3398">
          <cell r="A3398">
            <v>70133704</v>
          </cell>
          <cell r="C3398" t="str">
            <v>회계실</v>
          </cell>
        </row>
        <row r="3399">
          <cell r="A3399">
            <v>70133705</v>
          </cell>
          <cell r="C3399" t="str">
            <v>측량실</v>
          </cell>
        </row>
        <row r="3400">
          <cell r="A3400">
            <v>70133706</v>
          </cell>
          <cell r="C3400" t="str">
            <v>무장포대</v>
          </cell>
        </row>
        <row r="3401">
          <cell r="A3401">
            <v>70133707</v>
          </cell>
          <cell r="C3401" t="str">
            <v>해병대기실</v>
          </cell>
        </row>
        <row r="3402">
          <cell r="A3402">
            <v>70133708</v>
          </cell>
          <cell r="C3402" t="str">
            <v>개인실</v>
          </cell>
        </row>
        <row r="3403">
          <cell r="A3403">
            <v>70133709</v>
          </cell>
          <cell r="C3403" t="str">
            <v>예배실</v>
          </cell>
        </row>
        <row r="3404">
          <cell r="A3404">
            <v>70133710</v>
          </cell>
          <cell r="C3404" t="str">
            <v>조리실</v>
          </cell>
        </row>
        <row r="3405">
          <cell r="A3405">
            <v>70133711</v>
          </cell>
          <cell r="C3405" t="str">
            <v>진료실</v>
          </cell>
        </row>
        <row r="3406">
          <cell r="A3406">
            <v>70133712</v>
          </cell>
          <cell r="C3406" t="str">
            <v>체력단련실</v>
          </cell>
        </row>
        <row r="3407">
          <cell r="A3407">
            <v>70133713</v>
          </cell>
          <cell r="C3407" t="str">
            <v>참모실</v>
          </cell>
        </row>
        <row r="3408">
          <cell r="A3408">
            <v>70133714</v>
          </cell>
          <cell r="C3408" t="str">
            <v>오락실</v>
          </cell>
        </row>
        <row r="3409">
          <cell r="A3409">
            <v>70133715</v>
          </cell>
          <cell r="C3409" t="str">
            <v>사육실</v>
          </cell>
        </row>
        <row r="3410">
          <cell r="A3410">
            <v>70133716</v>
          </cell>
          <cell r="C3410" t="str">
            <v>연구실</v>
          </cell>
        </row>
        <row r="3411">
          <cell r="A3411">
            <v>70133717</v>
          </cell>
          <cell r="C3411" t="str">
            <v>도서실</v>
          </cell>
        </row>
        <row r="3412">
          <cell r="A3412">
            <v>70133800</v>
          </cell>
          <cell r="C3412" t="str">
            <v>고급 돛대</v>
          </cell>
        </row>
        <row r="3413">
          <cell r="A3413">
            <v>70133801</v>
          </cell>
          <cell r="C3413" t="str">
            <v>고급 파수대</v>
          </cell>
        </row>
        <row r="3414">
          <cell r="A3414">
            <v>70133802</v>
          </cell>
          <cell r="C3414" t="str">
            <v>고급 부관실</v>
          </cell>
        </row>
        <row r="3415">
          <cell r="A3415">
            <v>70133803</v>
          </cell>
          <cell r="C3415" t="str">
            <v>고급 재목실</v>
          </cell>
        </row>
        <row r="3416">
          <cell r="A3416">
            <v>70133804</v>
          </cell>
          <cell r="C3416" t="str">
            <v>고급 회계실</v>
          </cell>
        </row>
        <row r="3417">
          <cell r="A3417">
            <v>70133805</v>
          </cell>
          <cell r="C3417" t="str">
            <v>고급 측량실</v>
          </cell>
        </row>
        <row r="3418">
          <cell r="A3418">
            <v>70133806</v>
          </cell>
          <cell r="C3418" t="str">
            <v>고급 무장포대</v>
          </cell>
        </row>
        <row r="3419">
          <cell r="A3419">
            <v>70133807</v>
          </cell>
          <cell r="C3419" t="str">
            <v>고급 해병대기실</v>
          </cell>
        </row>
        <row r="3420">
          <cell r="A3420">
            <v>70133808</v>
          </cell>
          <cell r="C3420" t="str">
            <v>고급 개인실</v>
          </cell>
        </row>
        <row r="3421">
          <cell r="A3421">
            <v>70133809</v>
          </cell>
          <cell r="C3421" t="str">
            <v>고급 예배실</v>
          </cell>
        </row>
        <row r="3422">
          <cell r="A3422">
            <v>70133810</v>
          </cell>
          <cell r="C3422" t="str">
            <v>고급 조리실</v>
          </cell>
        </row>
        <row r="3423">
          <cell r="A3423">
            <v>70133811</v>
          </cell>
          <cell r="C3423" t="str">
            <v>고급 진료실</v>
          </cell>
        </row>
        <row r="3424">
          <cell r="A3424">
            <v>70133812</v>
          </cell>
          <cell r="C3424" t="str">
            <v>고급 체력단련실</v>
          </cell>
        </row>
        <row r="3425">
          <cell r="A3425">
            <v>70133813</v>
          </cell>
          <cell r="C3425" t="str">
            <v>고급 참모실</v>
          </cell>
        </row>
        <row r="3426">
          <cell r="A3426">
            <v>70133814</v>
          </cell>
          <cell r="C3426" t="str">
            <v>고급 오락실</v>
          </cell>
        </row>
        <row r="3427">
          <cell r="A3427">
            <v>70133815</v>
          </cell>
          <cell r="C3427" t="str">
            <v>고급 사육실</v>
          </cell>
        </row>
        <row r="3428">
          <cell r="A3428">
            <v>70133816</v>
          </cell>
          <cell r="C3428" t="str">
            <v>고급 연구실</v>
          </cell>
        </row>
        <row r="3429">
          <cell r="A3429">
            <v>70133817</v>
          </cell>
          <cell r="C3429" t="str">
            <v>고급 도서실</v>
          </cell>
        </row>
        <row r="3430">
          <cell r="A3430">
            <v>70133900</v>
          </cell>
          <cell r="C3430" t="str">
            <v>최고급 돛대</v>
          </cell>
        </row>
        <row r="3431">
          <cell r="A3431">
            <v>70133901</v>
          </cell>
          <cell r="C3431" t="str">
            <v>최고급 파수대</v>
          </cell>
        </row>
        <row r="3432">
          <cell r="A3432">
            <v>70133902</v>
          </cell>
          <cell r="C3432" t="str">
            <v>최고급 부관실</v>
          </cell>
        </row>
        <row r="3433">
          <cell r="A3433">
            <v>70133903</v>
          </cell>
          <cell r="C3433" t="str">
            <v>최고급 재목실</v>
          </cell>
        </row>
        <row r="3434">
          <cell r="A3434">
            <v>70133904</v>
          </cell>
          <cell r="C3434" t="str">
            <v>최고급 회계실</v>
          </cell>
        </row>
        <row r="3435">
          <cell r="A3435">
            <v>70133905</v>
          </cell>
          <cell r="C3435" t="str">
            <v>최고급 측량실</v>
          </cell>
        </row>
        <row r="3436">
          <cell r="A3436">
            <v>70133906</v>
          </cell>
          <cell r="C3436" t="str">
            <v>최고급 무장포대</v>
          </cell>
        </row>
        <row r="3437">
          <cell r="A3437">
            <v>70133907</v>
          </cell>
          <cell r="C3437" t="str">
            <v>최고급 해병대기실</v>
          </cell>
        </row>
        <row r="3438">
          <cell r="A3438">
            <v>70133908</v>
          </cell>
          <cell r="C3438" t="str">
            <v>최고급 개인실</v>
          </cell>
        </row>
        <row r="3439">
          <cell r="A3439">
            <v>70133909</v>
          </cell>
          <cell r="C3439" t="str">
            <v>최고급 예배실</v>
          </cell>
        </row>
        <row r="3440">
          <cell r="A3440">
            <v>70133910</v>
          </cell>
          <cell r="C3440" t="str">
            <v>최고급 조리실</v>
          </cell>
        </row>
        <row r="3441">
          <cell r="A3441">
            <v>70133911</v>
          </cell>
          <cell r="C3441" t="str">
            <v>최고급 진료실</v>
          </cell>
        </row>
        <row r="3442">
          <cell r="A3442">
            <v>70133912</v>
          </cell>
          <cell r="C3442" t="str">
            <v>최고급 체력단련실</v>
          </cell>
        </row>
        <row r="3443">
          <cell r="A3443">
            <v>70133913</v>
          </cell>
          <cell r="C3443" t="str">
            <v>최고급 참모실</v>
          </cell>
        </row>
        <row r="3444">
          <cell r="A3444">
            <v>70133914</v>
          </cell>
          <cell r="C3444" t="str">
            <v>최고급 오락실</v>
          </cell>
        </row>
        <row r="3445">
          <cell r="A3445">
            <v>70133915</v>
          </cell>
          <cell r="C3445" t="str">
            <v>최고급 사육실</v>
          </cell>
        </row>
        <row r="3446">
          <cell r="A3446">
            <v>70133916</v>
          </cell>
          <cell r="C3446" t="str">
            <v>최고급 연구실</v>
          </cell>
        </row>
        <row r="3447">
          <cell r="A3447">
            <v>70133917</v>
          </cell>
          <cell r="C3447" t="str">
            <v>최고급 도서실</v>
          </cell>
        </row>
        <row r="3448">
          <cell r="A3448">
            <v>70133918</v>
          </cell>
          <cell r="C3448" t="str">
            <v>낡은 돛대</v>
          </cell>
        </row>
        <row r="3449">
          <cell r="A3449">
            <v>70133919</v>
          </cell>
          <cell r="C3449" t="str">
            <v>낡은 파수대</v>
          </cell>
        </row>
        <row r="3450">
          <cell r="A3450">
            <v>70133920</v>
          </cell>
          <cell r="C3450" t="str">
            <v>돛대</v>
          </cell>
        </row>
        <row r="3451">
          <cell r="A3451">
            <v>70133921</v>
          </cell>
          <cell r="C3451" t="str">
            <v>파수대</v>
          </cell>
        </row>
        <row r="3452">
          <cell r="A3452">
            <v>70133922</v>
          </cell>
          <cell r="C3452" t="str">
            <v>낡은 부관실</v>
          </cell>
        </row>
        <row r="3453">
          <cell r="A3453">
            <v>70133923</v>
          </cell>
          <cell r="C3453" t="str">
            <v>낡은 재목실</v>
          </cell>
        </row>
        <row r="3454">
          <cell r="A3454">
            <v>70133924</v>
          </cell>
          <cell r="C3454" t="str">
            <v>낡은 회계실</v>
          </cell>
        </row>
        <row r="3455">
          <cell r="A3455">
            <v>70133925</v>
          </cell>
          <cell r="C3455" t="str">
            <v>낡은 측량실</v>
          </cell>
        </row>
        <row r="3456">
          <cell r="A3456">
            <v>70133926</v>
          </cell>
          <cell r="C3456" t="str">
            <v>낡은 무장포대</v>
          </cell>
        </row>
        <row r="3457">
          <cell r="A3457">
            <v>70133927</v>
          </cell>
          <cell r="C3457" t="str">
            <v>낡은 해병대기실</v>
          </cell>
        </row>
        <row r="3458">
          <cell r="A3458">
            <v>70133928</v>
          </cell>
          <cell r="C3458" t="str">
            <v>낡은 개인실</v>
          </cell>
        </row>
        <row r="3459">
          <cell r="A3459">
            <v>70133929</v>
          </cell>
          <cell r="C3459" t="str">
            <v>낡은 예배실</v>
          </cell>
        </row>
        <row r="3460">
          <cell r="A3460">
            <v>70133930</v>
          </cell>
          <cell r="C3460" t="str">
            <v>낡은 조리실</v>
          </cell>
        </row>
        <row r="3461">
          <cell r="A3461">
            <v>70133931</v>
          </cell>
          <cell r="C3461" t="str">
            <v>낡은 진료실</v>
          </cell>
        </row>
        <row r="3462">
          <cell r="A3462">
            <v>70133932</v>
          </cell>
          <cell r="C3462" t="str">
            <v>낡은 체력단련실</v>
          </cell>
        </row>
        <row r="3463">
          <cell r="A3463">
            <v>70133933</v>
          </cell>
          <cell r="C3463" t="str">
            <v>낡은 참모실</v>
          </cell>
        </row>
        <row r="3464">
          <cell r="A3464">
            <v>70133934</v>
          </cell>
          <cell r="C3464" t="str">
            <v>낡은 오락실</v>
          </cell>
        </row>
        <row r="3465">
          <cell r="A3465">
            <v>70133935</v>
          </cell>
          <cell r="C3465" t="str">
            <v>낡은 사육실</v>
          </cell>
        </row>
        <row r="3466">
          <cell r="A3466">
            <v>70133936</v>
          </cell>
          <cell r="C3466" t="str">
            <v>낡은 연구실</v>
          </cell>
        </row>
        <row r="3467">
          <cell r="A3467">
            <v>70133937</v>
          </cell>
          <cell r="C3467" t="str">
            <v>낡은 도서실</v>
          </cell>
        </row>
        <row r="3468">
          <cell r="A3468">
            <v>70133938</v>
          </cell>
          <cell r="C3468" t="str">
            <v>부관실</v>
          </cell>
        </row>
        <row r="3469">
          <cell r="A3469">
            <v>70133939</v>
          </cell>
          <cell r="C3469" t="str">
            <v>재목실</v>
          </cell>
        </row>
        <row r="3470">
          <cell r="A3470">
            <v>70133940</v>
          </cell>
          <cell r="C3470" t="str">
            <v>회계실</v>
          </cell>
        </row>
        <row r="3471">
          <cell r="A3471">
            <v>70133941</v>
          </cell>
          <cell r="C3471" t="str">
            <v>측량실</v>
          </cell>
        </row>
        <row r="3472">
          <cell r="A3472">
            <v>70133942</v>
          </cell>
          <cell r="C3472" t="str">
            <v>무장포대</v>
          </cell>
        </row>
        <row r="3473">
          <cell r="A3473">
            <v>70133943</v>
          </cell>
          <cell r="C3473" t="str">
            <v>해병대기실</v>
          </cell>
        </row>
        <row r="3474">
          <cell r="A3474">
            <v>70133944</v>
          </cell>
          <cell r="C3474" t="str">
            <v>개인실</v>
          </cell>
        </row>
        <row r="3475">
          <cell r="A3475">
            <v>70133945</v>
          </cell>
          <cell r="C3475" t="str">
            <v>예배실</v>
          </cell>
        </row>
        <row r="3476">
          <cell r="A3476">
            <v>70133946</v>
          </cell>
          <cell r="C3476" t="str">
            <v>조리실</v>
          </cell>
        </row>
        <row r="3477">
          <cell r="A3477">
            <v>70133947</v>
          </cell>
          <cell r="C3477" t="str">
            <v>진료실</v>
          </cell>
        </row>
        <row r="3478">
          <cell r="A3478">
            <v>70133948</v>
          </cell>
          <cell r="C3478" t="str">
            <v>체력단련실</v>
          </cell>
        </row>
        <row r="3479">
          <cell r="A3479">
            <v>70133949</v>
          </cell>
          <cell r="C3479" t="str">
            <v>참모실</v>
          </cell>
        </row>
        <row r="3480">
          <cell r="A3480">
            <v>70133950</v>
          </cell>
          <cell r="C3480" t="str">
            <v>오락실</v>
          </cell>
        </row>
        <row r="3481">
          <cell r="A3481">
            <v>70133951</v>
          </cell>
          <cell r="C3481" t="str">
            <v>사육실</v>
          </cell>
        </row>
        <row r="3482">
          <cell r="A3482">
            <v>70133952</v>
          </cell>
          <cell r="C3482" t="str">
            <v>연구실</v>
          </cell>
        </row>
        <row r="3483">
          <cell r="A3483">
            <v>70133953</v>
          </cell>
          <cell r="C3483" t="str">
            <v>도서실</v>
          </cell>
        </row>
        <row r="3484">
          <cell r="A3484">
            <v>70133954</v>
          </cell>
          <cell r="C3484" t="str">
            <v>낡은 중형 물자창고</v>
          </cell>
        </row>
        <row r="3485">
          <cell r="A3485">
            <v>70133955</v>
          </cell>
          <cell r="C3485" t="str">
            <v>낡은 중형 식료품 창고</v>
          </cell>
        </row>
        <row r="3486">
          <cell r="A3486">
            <v>70133956</v>
          </cell>
          <cell r="C3486" t="str">
            <v>낡은 중형 조미료 창고</v>
          </cell>
        </row>
        <row r="3487">
          <cell r="A3487">
            <v>70133957</v>
          </cell>
          <cell r="C3487" t="str">
            <v>낡은 중형 가축 창고</v>
          </cell>
        </row>
        <row r="3488">
          <cell r="A3488">
            <v>70133958</v>
          </cell>
          <cell r="C3488" t="str">
            <v>낡은 중형 의약품 창고</v>
          </cell>
        </row>
        <row r="3489">
          <cell r="A3489">
            <v>70133959</v>
          </cell>
          <cell r="C3489" t="str">
            <v>낡은 중형 잡화 창고</v>
          </cell>
        </row>
        <row r="3490">
          <cell r="A3490">
            <v>70133960</v>
          </cell>
          <cell r="C3490" t="str">
            <v>낡은 중형 주류 창고</v>
          </cell>
        </row>
        <row r="3491">
          <cell r="A3491">
            <v>70133961</v>
          </cell>
          <cell r="C3491" t="str">
            <v>낡은 중형 염료 창고</v>
          </cell>
        </row>
        <row r="3492">
          <cell r="A3492">
            <v>70133962</v>
          </cell>
          <cell r="C3492" t="str">
            <v>낡은 중형 광석 창고</v>
          </cell>
        </row>
        <row r="3493">
          <cell r="A3493">
            <v>70133963</v>
          </cell>
          <cell r="C3493" t="str">
            <v>낡은 중형 공업품 창고</v>
          </cell>
        </row>
        <row r="3494">
          <cell r="A3494">
            <v>70133964</v>
          </cell>
          <cell r="C3494" t="str">
            <v>낡은 중형 기호품 창고</v>
          </cell>
        </row>
        <row r="3495">
          <cell r="A3495">
            <v>70133965</v>
          </cell>
          <cell r="C3495" t="str">
            <v>낡은 중형 섬유 창고</v>
          </cell>
        </row>
        <row r="3496">
          <cell r="A3496">
            <v>70133966</v>
          </cell>
          <cell r="C3496" t="str">
            <v>낡은 중형 직물 창고</v>
          </cell>
        </row>
        <row r="3497">
          <cell r="A3497">
            <v>70133967</v>
          </cell>
          <cell r="C3497" t="str">
            <v>낡은 중형 공예품 창고</v>
          </cell>
        </row>
        <row r="3498">
          <cell r="A3498">
            <v>70133968</v>
          </cell>
          <cell r="C3498" t="str">
            <v>낡은 중형 미술품 창고</v>
          </cell>
        </row>
        <row r="3499">
          <cell r="A3499">
            <v>70133969</v>
          </cell>
          <cell r="C3499" t="str">
            <v>낡은 중형 향신료 창고</v>
          </cell>
        </row>
        <row r="3500">
          <cell r="A3500">
            <v>70133970</v>
          </cell>
          <cell r="C3500" t="str">
            <v>낡은 중형 귀금속 창고</v>
          </cell>
        </row>
        <row r="3501">
          <cell r="A3501">
            <v>70133971</v>
          </cell>
          <cell r="C3501" t="str">
            <v>낡은 중형 향료 창고</v>
          </cell>
        </row>
        <row r="3502">
          <cell r="A3502">
            <v>70133972</v>
          </cell>
          <cell r="C3502" t="str">
            <v>낡은 중형 보석 창고</v>
          </cell>
        </row>
        <row r="3503">
          <cell r="A3503">
            <v>70133973</v>
          </cell>
          <cell r="C3503" t="str">
            <v>낡은 중형 무기류 창고</v>
          </cell>
        </row>
        <row r="3504">
          <cell r="A3504">
            <v>70133974</v>
          </cell>
          <cell r="C3504" t="str">
            <v>낡은 중형 총포류 창고</v>
          </cell>
        </row>
        <row r="3505">
          <cell r="A3505">
            <v>70133975</v>
          </cell>
          <cell r="C3505" t="str">
            <v>낡은 중형 짐창고</v>
          </cell>
        </row>
        <row r="3506">
          <cell r="A3506">
            <v>70133976</v>
          </cell>
          <cell r="C3506" t="str">
            <v>낡은 중형 조수실</v>
          </cell>
        </row>
        <row r="3507">
          <cell r="A3507">
            <v>70133977</v>
          </cell>
          <cell r="C3507" t="str">
            <v>낡은 중형 선원실</v>
          </cell>
        </row>
        <row r="3508">
          <cell r="A3508">
            <v>70133978</v>
          </cell>
          <cell r="C3508" t="str">
            <v>낡은 중형 탄약창고</v>
          </cell>
        </row>
        <row r="3509">
          <cell r="A3509">
            <v>70133979</v>
          </cell>
          <cell r="C3509" t="str">
            <v>낡은 중형 무기창고</v>
          </cell>
        </row>
        <row r="3510">
          <cell r="A3510">
            <v>70133980</v>
          </cell>
          <cell r="C3510" t="str">
            <v>낡은 중형 휴게실</v>
          </cell>
        </row>
        <row r="3511">
          <cell r="A3511">
            <v>70133981</v>
          </cell>
          <cell r="C3511" t="str">
            <v>낡은 중형 연회장</v>
          </cell>
        </row>
        <row r="3512">
          <cell r="A3512">
            <v>70133982</v>
          </cell>
          <cell r="C3512" t="str">
            <v>낡은 중형 위장창고</v>
          </cell>
        </row>
        <row r="3513">
          <cell r="A3513">
            <v>70133983</v>
          </cell>
          <cell r="C3513" t="str">
            <v>낡은 중형 강화창고</v>
          </cell>
        </row>
        <row r="3514">
          <cell r="A3514">
            <v>70133984</v>
          </cell>
          <cell r="C3514" t="str">
            <v>중형 물자창고</v>
          </cell>
        </row>
        <row r="3515">
          <cell r="A3515">
            <v>70133985</v>
          </cell>
          <cell r="C3515" t="str">
            <v>중형 식료품 창고</v>
          </cell>
        </row>
        <row r="3516">
          <cell r="A3516">
            <v>70133986</v>
          </cell>
          <cell r="C3516" t="str">
            <v>중형 조미료 창고</v>
          </cell>
        </row>
        <row r="3517">
          <cell r="A3517">
            <v>70133987</v>
          </cell>
          <cell r="C3517" t="str">
            <v>중형 가축 창고</v>
          </cell>
        </row>
        <row r="3518">
          <cell r="A3518">
            <v>70133988</v>
          </cell>
          <cell r="C3518" t="str">
            <v>중형 의약품 창고</v>
          </cell>
        </row>
        <row r="3519">
          <cell r="A3519">
            <v>70133989</v>
          </cell>
          <cell r="C3519" t="str">
            <v>중형 잡화 창고</v>
          </cell>
        </row>
        <row r="3520">
          <cell r="A3520">
            <v>70133990</v>
          </cell>
          <cell r="C3520" t="str">
            <v>중형 주류 창고</v>
          </cell>
        </row>
        <row r="3521">
          <cell r="A3521">
            <v>70133991</v>
          </cell>
          <cell r="C3521" t="str">
            <v>중형 염료 창고</v>
          </cell>
        </row>
        <row r="3522">
          <cell r="A3522">
            <v>70133992</v>
          </cell>
          <cell r="C3522" t="str">
            <v>중형 광석 창고</v>
          </cell>
        </row>
        <row r="3523">
          <cell r="A3523">
            <v>70133993</v>
          </cell>
          <cell r="C3523" t="str">
            <v>중형 공업품 창고</v>
          </cell>
        </row>
        <row r="3524">
          <cell r="A3524">
            <v>70133994</v>
          </cell>
          <cell r="C3524" t="str">
            <v>중형 기호품 창고</v>
          </cell>
        </row>
        <row r="3525">
          <cell r="A3525">
            <v>70133995</v>
          </cell>
          <cell r="C3525" t="str">
            <v>중형 섬유 창고</v>
          </cell>
        </row>
        <row r="3526">
          <cell r="A3526">
            <v>70133996</v>
          </cell>
          <cell r="C3526" t="str">
            <v>중형 직물 창고</v>
          </cell>
        </row>
        <row r="3527">
          <cell r="A3527">
            <v>70133997</v>
          </cell>
          <cell r="C3527" t="str">
            <v>중형 공예품 창고</v>
          </cell>
        </row>
        <row r="3528">
          <cell r="A3528">
            <v>70133998</v>
          </cell>
          <cell r="C3528" t="str">
            <v>중형 미술품 창고</v>
          </cell>
        </row>
        <row r="3529">
          <cell r="A3529">
            <v>70133999</v>
          </cell>
          <cell r="C3529" t="str">
            <v>중형 향신료 창고</v>
          </cell>
        </row>
        <row r="3530">
          <cell r="A3530">
            <v>70134000</v>
          </cell>
          <cell r="C3530" t="str">
            <v>중형 귀금속 창고</v>
          </cell>
        </row>
        <row r="3531">
          <cell r="A3531">
            <v>70134001</v>
          </cell>
          <cell r="C3531" t="str">
            <v>중형 향료 창고</v>
          </cell>
        </row>
        <row r="3532">
          <cell r="A3532">
            <v>70134002</v>
          </cell>
          <cell r="C3532" t="str">
            <v>중형 보석 창고</v>
          </cell>
        </row>
        <row r="3533">
          <cell r="A3533">
            <v>70134003</v>
          </cell>
          <cell r="C3533" t="str">
            <v>중형 무기류 창고</v>
          </cell>
        </row>
        <row r="3534">
          <cell r="A3534">
            <v>70134004</v>
          </cell>
          <cell r="C3534" t="str">
            <v>중형 총포류 창고</v>
          </cell>
        </row>
        <row r="3535">
          <cell r="A3535">
            <v>70134005</v>
          </cell>
          <cell r="C3535" t="str">
            <v>중형 짐창고</v>
          </cell>
        </row>
        <row r="3536">
          <cell r="A3536">
            <v>70134006</v>
          </cell>
          <cell r="C3536" t="str">
            <v>중형 조수실</v>
          </cell>
        </row>
        <row r="3537">
          <cell r="A3537">
            <v>70134007</v>
          </cell>
          <cell r="C3537" t="str">
            <v>중형 선원실</v>
          </cell>
        </row>
        <row r="3538">
          <cell r="A3538">
            <v>70134008</v>
          </cell>
          <cell r="C3538" t="str">
            <v>중형 탄약창고</v>
          </cell>
        </row>
        <row r="3539">
          <cell r="A3539">
            <v>70134009</v>
          </cell>
          <cell r="C3539" t="str">
            <v>중형 무기창고</v>
          </cell>
        </row>
        <row r="3540">
          <cell r="A3540">
            <v>70134010</v>
          </cell>
          <cell r="C3540" t="str">
            <v>중형 휴게실</v>
          </cell>
        </row>
        <row r="3541">
          <cell r="A3541">
            <v>70134011</v>
          </cell>
          <cell r="C3541" t="str">
            <v>중형 연회장</v>
          </cell>
        </row>
        <row r="3542">
          <cell r="A3542">
            <v>70134012</v>
          </cell>
          <cell r="C3542" t="str">
            <v>중형 위장창고</v>
          </cell>
        </row>
        <row r="3543">
          <cell r="A3543">
            <v>70134013</v>
          </cell>
          <cell r="C3543" t="str">
            <v>중형 강화창고</v>
          </cell>
        </row>
        <row r="3544">
          <cell r="A3544">
            <v>70134014</v>
          </cell>
          <cell r="C3544" t="str">
            <v>낡은 돛대</v>
          </cell>
        </row>
        <row r="3545">
          <cell r="A3545">
            <v>70134015</v>
          </cell>
          <cell r="C3545" t="str">
            <v>낡은 파수대</v>
          </cell>
        </row>
        <row r="3546">
          <cell r="A3546">
            <v>70134016</v>
          </cell>
          <cell r="C3546" t="str">
            <v>돛대</v>
          </cell>
        </row>
        <row r="3547">
          <cell r="A3547">
            <v>70134017</v>
          </cell>
          <cell r="C3547" t="str">
            <v>파수대</v>
          </cell>
        </row>
        <row r="3548">
          <cell r="A3548">
            <v>70134018</v>
          </cell>
          <cell r="C3548" t="str">
            <v>낡은 부관실</v>
          </cell>
        </row>
        <row r="3549">
          <cell r="A3549">
            <v>70134019</v>
          </cell>
          <cell r="C3549" t="str">
            <v>낡은 재목실</v>
          </cell>
        </row>
        <row r="3550">
          <cell r="A3550">
            <v>70134020</v>
          </cell>
          <cell r="C3550" t="str">
            <v>낡은 회계실</v>
          </cell>
        </row>
        <row r="3551">
          <cell r="A3551">
            <v>70134021</v>
          </cell>
          <cell r="C3551" t="str">
            <v>낡은 측량실</v>
          </cell>
        </row>
        <row r="3552">
          <cell r="A3552">
            <v>70134022</v>
          </cell>
          <cell r="C3552" t="str">
            <v>낡은 무장포대</v>
          </cell>
        </row>
        <row r="3553">
          <cell r="A3553">
            <v>70134023</v>
          </cell>
          <cell r="C3553" t="str">
            <v>낡은 해병대기실</v>
          </cell>
        </row>
        <row r="3554">
          <cell r="A3554">
            <v>70134024</v>
          </cell>
          <cell r="C3554" t="str">
            <v>낡은 개인실</v>
          </cell>
        </row>
        <row r="3555">
          <cell r="A3555">
            <v>70134025</v>
          </cell>
          <cell r="C3555" t="str">
            <v>낡은 예배실</v>
          </cell>
        </row>
        <row r="3556">
          <cell r="A3556">
            <v>70134026</v>
          </cell>
          <cell r="C3556" t="str">
            <v>낡은 조리실</v>
          </cell>
        </row>
        <row r="3557">
          <cell r="A3557">
            <v>70134027</v>
          </cell>
          <cell r="C3557" t="str">
            <v>낡은 진료실</v>
          </cell>
        </row>
        <row r="3558">
          <cell r="A3558">
            <v>70134028</v>
          </cell>
          <cell r="C3558" t="str">
            <v>낡은 체력단련실</v>
          </cell>
        </row>
        <row r="3559">
          <cell r="A3559">
            <v>70134029</v>
          </cell>
          <cell r="C3559" t="str">
            <v>낡은 참모실</v>
          </cell>
        </row>
        <row r="3560">
          <cell r="A3560">
            <v>70134030</v>
          </cell>
          <cell r="C3560" t="str">
            <v>낡은 오락실</v>
          </cell>
        </row>
        <row r="3561">
          <cell r="A3561">
            <v>70134031</v>
          </cell>
          <cell r="C3561" t="str">
            <v>낡은 사육실</v>
          </cell>
        </row>
        <row r="3562">
          <cell r="A3562">
            <v>70134032</v>
          </cell>
          <cell r="C3562" t="str">
            <v>낡은 연구실</v>
          </cell>
        </row>
        <row r="3563">
          <cell r="A3563">
            <v>70134033</v>
          </cell>
          <cell r="C3563" t="str">
            <v>낡은 도서실</v>
          </cell>
        </row>
        <row r="3564">
          <cell r="A3564">
            <v>70134034</v>
          </cell>
          <cell r="C3564" t="str">
            <v>부관실</v>
          </cell>
        </row>
        <row r="3565">
          <cell r="A3565">
            <v>70134035</v>
          </cell>
          <cell r="C3565" t="str">
            <v>재목실</v>
          </cell>
        </row>
        <row r="3566">
          <cell r="A3566">
            <v>70134036</v>
          </cell>
          <cell r="C3566" t="str">
            <v>회계실</v>
          </cell>
        </row>
        <row r="3567">
          <cell r="A3567">
            <v>70134037</v>
          </cell>
          <cell r="C3567" t="str">
            <v>측량실</v>
          </cell>
        </row>
        <row r="3568">
          <cell r="A3568">
            <v>70134038</v>
          </cell>
          <cell r="C3568" t="str">
            <v>무장포대</v>
          </cell>
        </row>
        <row r="3569">
          <cell r="A3569">
            <v>70134039</v>
          </cell>
          <cell r="C3569" t="str">
            <v>해병대기실</v>
          </cell>
        </row>
        <row r="3570">
          <cell r="A3570">
            <v>70134040</v>
          </cell>
          <cell r="C3570" t="str">
            <v>개인실</v>
          </cell>
        </row>
        <row r="3571">
          <cell r="A3571">
            <v>70134041</v>
          </cell>
          <cell r="C3571" t="str">
            <v>예배실</v>
          </cell>
        </row>
        <row r="3572">
          <cell r="A3572">
            <v>70134042</v>
          </cell>
          <cell r="C3572" t="str">
            <v>조리실</v>
          </cell>
        </row>
        <row r="3573">
          <cell r="A3573">
            <v>70134043</v>
          </cell>
          <cell r="C3573" t="str">
            <v>진료실</v>
          </cell>
        </row>
        <row r="3574">
          <cell r="A3574">
            <v>70134044</v>
          </cell>
          <cell r="C3574" t="str">
            <v>체력단련실</v>
          </cell>
        </row>
        <row r="3575">
          <cell r="A3575">
            <v>70134045</v>
          </cell>
          <cell r="C3575" t="str">
            <v>참모실</v>
          </cell>
        </row>
        <row r="3576">
          <cell r="A3576">
            <v>70134046</v>
          </cell>
          <cell r="C3576" t="str">
            <v>오락실</v>
          </cell>
        </row>
        <row r="3577">
          <cell r="A3577">
            <v>70134047</v>
          </cell>
          <cell r="C3577" t="str">
            <v>사육실</v>
          </cell>
        </row>
        <row r="3578">
          <cell r="A3578">
            <v>70134048</v>
          </cell>
          <cell r="C3578" t="str">
            <v>연구실</v>
          </cell>
        </row>
        <row r="3579">
          <cell r="A3579">
            <v>70134049</v>
          </cell>
          <cell r="C3579" t="str">
            <v>도서실</v>
          </cell>
        </row>
        <row r="3580">
          <cell r="A3580">
            <v>70134050</v>
          </cell>
          <cell r="C3580" t="str">
            <v>낡은 중형 물자창고</v>
          </cell>
        </row>
        <row r="3581">
          <cell r="A3581">
            <v>70134051</v>
          </cell>
          <cell r="C3581" t="str">
            <v>낡은 중형 식료품 창고</v>
          </cell>
        </row>
        <row r="3582">
          <cell r="A3582">
            <v>70134052</v>
          </cell>
          <cell r="C3582" t="str">
            <v>낡은 중형 조미료 창고</v>
          </cell>
        </row>
        <row r="3583">
          <cell r="A3583">
            <v>70134053</v>
          </cell>
          <cell r="C3583" t="str">
            <v>낡은 중형 가축 창고</v>
          </cell>
        </row>
        <row r="3584">
          <cell r="A3584">
            <v>70134054</v>
          </cell>
          <cell r="C3584" t="str">
            <v>낡은 중형 의약품 창고</v>
          </cell>
        </row>
        <row r="3585">
          <cell r="A3585">
            <v>70134055</v>
          </cell>
          <cell r="C3585" t="str">
            <v>낡은 중형 잡화 창고</v>
          </cell>
        </row>
        <row r="3586">
          <cell r="A3586">
            <v>70134056</v>
          </cell>
          <cell r="C3586" t="str">
            <v>낡은 중형 주류 창고</v>
          </cell>
        </row>
        <row r="3587">
          <cell r="A3587">
            <v>70134057</v>
          </cell>
          <cell r="C3587" t="str">
            <v>낡은 중형 염료 창고</v>
          </cell>
        </row>
        <row r="3588">
          <cell r="A3588">
            <v>70134058</v>
          </cell>
          <cell r="C3588" t="str">
            <v>낡은 중형 광석 창고</v>
          </cell>
        </row>
        <row r="3589">
          <cell r="A3589">
            <v>70134059</v>
          </cell>
          <cell r="C3589" t="str">
            <v>낡은 중형 공업품 창고</v>
          </cell>
        </row>
        <row r="3590">
          <cell r="A3590">
            <v>70134060</v>
          </cell>
          <cell r="C3590" t="str">
            <v>낡은 중형 기호품 창고</v>
          </cell>
        </row>
        <row r="3591">
          <cell r="A3591">
            <v>70134061</v>
          </cell>
          <cell r="C3591" t="str">
            <v>낡은 중형 섬유 창고</v>
          </cell>
        </row>
        <row r="3592">
          <cell r="A3592">
            <v>70134062</v>
          </cell>
          <cell r="C3592" t="str">
            <v>낡은 중형 직물 창고</v>
          </cell>
        </row>
        <row r="3593">
          <cell r="A3593">
            <v>70134063</v>
          </cell>
          <cell r="C3593" t="str">
            <v>낡은 중형 공예품 창고</v>
          </cell>
        </row>
        <row r="3594">
          <cell r="A3594">
            <v>70134064</v>
          </cell>
          <cell r="C3594" t="str">
            <v>낡은 중형 미술품 창고</v>
          </cell>
        </row>
        <row r="3595">
          <cell r="A3595">
            <v>70134065</v>
          </cell>
          <cell r="C3595" t="str">
            <v>낡은 중형 향신료 창고</v>
          </cell>
        </row>
        <row r="3596">
          <cell r="A3596">
            <v>70134066</v>
          </cell>
          <cell r="C3596" t="str">
            <v>낡은 중형 귀금속 창고</v>
          </cell>
        </row>
        <row r="3597">
          <cell r="A3597">
            <v>70134067</v>
          </cell>
          <cell r="C3597" t="str">
            <v>낡은 중형 향료 창고</v>
          </cell>
        </row>
        <row r="3598">
          <cell r="A3598">
            <v>70134068</v>
          </cell>
          <cell r="C3598" t="str">
            <v>낡은 중형 보석 창고</v>
          </cell>
        </row>
        <row r="3599">
          <cell r="A3599">
            <v>70134069</v>
          </cell>
          <cell r="C3599" t="str">
            <v>낡은 중형 무기류 창고</v>
          </cell>
        </row>
        <row r="3600">
          <cell r="A3600">
            <v>70134070</v>
          </cell>
          <cell r="C3600" t="str">
            <v>낡은 중형 총포류 창고</v>
          </cell>
        </row>
        <row r="3601">
          <cell r="A3601">
            <v>70134071</v>
          </cell>
          <cell r="C3601" t="str">
            <v>낡은 중형 짐창고</v>
          </cell>
        </row>
        <row r="3602">
          <cell r="A3602">
            <v>70134072</v>
          </cell>
          <cell r="C3602" t="str">
            <v>낡은 중형 조수실</v>
          </cell>
        </row>
        <row r="3603">
          <cell r="A3603">
            <v>70134073</v>
          </cell>
          <cell r="C3603" t="str">
            <v>낡은 중형 선원실</v>
          </cell>
        </row>
        <row r="3604">
          <cell r="A3604">
            <v>70134074</v>
          </cell>
          <cell r="C3604" t="str">
            <v>낡은 중형 탄약창고</v>
          </cell>
        </row>
        <row r="3605">
          <cell r="A3605">
            <v>70134075</v>
          </cell>
          <cell r="C3605" t="str">
            <v>낡은 중형 무기창고</v>
          </cell>
        </row>
        <row r="3606">
          <cell r="A3606">
            <v>70134076</v>
          </cell>
          <cell r="C3606" t="str">
            <v>낡은 중형 휴게실</v>
          </cell>
        </row>
        <row r="3607">
          <cell r="A3607">
            <v>70134077</v>
          </cell>
          <cell r="C3607" t="str">
            <v>낡은 중형 연회장</v>
          </cell>
        </row>
        <row r="3608">
          <cell r="A3608">
            <v>70134078</v>
          </cell>
          <cell r="C3608" t="str">
            <v>낡은 중형 위장창고</v>
          </cell>
        </row>
        <row r="3609">
          <cell r="A3609">
            <v>70134079</v>
          </cell>
          <cell r="C3609" t="str">
            <v>낡은 중형 강화창고</v>
          </cell>
        </row>
        <row r="3610">
          <cell r="A3610">
            <v>70134080</v>
          </cell>
          <cell r="C3610" t="str">
            <v>중형 물자창고</v>
          </cell>
        </row>
        <row r="3611">
          <cell r="A3611">
            <v>70134081</v>
          </cell>
          <cell r="C3611" t="str">
            <v>중형 식료품 창고</v>
          </cell>
        </row>
        <row r="3612">
          <cell r="A3612">
            <v>70134082</v>
          </cell>
          <cell r="C3612" t="str">
            <v>중형 조미료 창고</v>
          </cell>
        </row>
        <row r="3613">
          <cell r="A3613">
            <v>70134083</v>
          </cell>
          <cell r="C3613" t="str">
            <v>중형 가축 창고</v>
          </cell>
        </row>
        <row r="3614">
          <cell r="A3614">
            <v>70134084</v>
          </cell>
          <cell r="C3614" t="str">
            <v>중형 의약품 창고</v>
          </cell>
        </row>
        <row r="3615">
          <cell r="A3615">
            <v>70134085</v>
          </cell>
          <cell r="C3615" t="str">
            <v>중형 잡화 창고</v>
          </cell>
        </row>
        <row r="3616">
          <cell r="A3616">
            <v>70134086</v>
          </cell>
          <cell r="C3616" t="str">
            <v>중형 주류 창고</v>
          </cell>
        </row>
        <row r="3617">
          <cell r="A3617">
            <v>70134087</v>
          </cell>
          <cell r="C3617" t="str">
            <v>중형 염료 창고</v>
          </cell>
        </row>
        <row r="3618">
          <cell r="A3618">
            <v>70134088</v>
          </cell>
          <cell r="C3618" t="str">
            <v>중형 광석 창고</v>
          </cell>
        </row>
        <row r="3619">
          <cell r="A3619">
            <v>70134089</v>
          </cell>
          <cell r="C3619" t="str">
            <v>중형 공업품 창고</v>
          </cell>
        </row>
        <row r="3620">
          <cell r="A3620">
            <v>70134090</v>
          </cell>
          <cell r="C3620" t="str">
            <v>중형 기호품 창고</v>
          </cell>
        </row>
        <row r="3621">
          <cell r="A3621">
            <v>70134091</v>
          </cell>
          <cell r="C3621" t="str">
            <v>중형 섬유 창고</v>
          </cell>
        </row>
        <row r="3622">
          <cell r="A3622">
            <v>70134092</v>
          </cell>
          <cell r="C3622" t="str">
            <v>중형 직물 창고</v>
          </cell>
        </row>
        <row r="3623">
          <cell r="A3623">
            <v>70134093</v>
          </cell>
          <cell r="C3623" t="str">
            <v>중형 공예품 창고</v>
          </cell>
        </row>
        <row r="3624">
          <cell r="A3624">
            <v>70134094</v>
          </cell>
          <cell r="C3624" t="str">
            <v>중형 미술품 창고</v>
          </cell>
        </row>
        <row r="3625">
          <cell r="A3625">
            <v>70134095</v>
          </cell>
          <cell r="C3625" t="str">
            <v>중형 향신료 창고</v>
          </cell>
        </row>
        <row r="3626">
          <cell r="A3626">
            <v>70134096</v>
          </cell>
          <cell r="C3626" t="str">
            <v>중형 귀금속 창고</v>
          </cell>
        </row>
        <row r="3627">
          <cell r="A3627">
            <v>70134097</v>
          </cell>
          <cell r="C3627" t="str">
            <v>중형 향료 창고</v>
          </cell>
        </row>
        <row r="3628">
          <cell r="A3628">
            <v>70134098</v>
          </cell>
          <cell r="C3628" t="str">
            <v>중형 보석 창고</v>
          </cell>
        </row>
        <row r="3629">
          <cell r="A3629">
            <v>70134099</v>
          </cell>
          <cell r="C3629" t="str">
            <v>중형 무기류 창고</v>
          </cell>
        </row>
        <row r="3630">
          <cell r="A3630">
            <v>70134100</v>
          </cell>
          <cell r="C3630" t="str">
            <v>중형 총포류 창고</v>
          </cell>
        </row>
        <row r="3631">
          <cell r="A3631">
            <v>70134101</v>
          </cell>
          <cell r="C3631" t="str">
            <v>중형 짐창고</v>
          </cell>
        </row>
        <row r="3632">
          <cell r="A3632">
            <v>70134102</v>
          </cell>
          <cell r="C3632" t="str">
            <v>중형 조수실</v>
          </cell>
        </row>
        <row r="3633">
          <cell r="A3633">
            <v>70134103</v>
          </cell>
          <cell r="C3633" t="str">
            <v>중형 선원실</v>
          </cell>
        </row>
        <row r="3634">
          <cell r="A3634">
            <v>70134104</v>
          </cell>
          <cell r="C3634" t="str">
            <v>중형 탄약창고</v>
          </cell>
        </row>
        <row r="3635">
          <cell r="A3635">
            <v>70134105</v>
          </cell>
          <cell r="C3635" t="str">
            <v>중형 무기창고</v>
          </cell>
        </row>
        <row r="3636">
          <cell r="A3636">
            <v>70134106</v>
          </cell>
          <cell r="C3636" t="str">
            <v>중형 휴게실</v>
          </cell>
        </row>
        <row r="3637">
          <cell r="A3637">
            <v>70134107</v>
          </cell>
          <cell r="C3637" t="str">
            <v>중형 연회장</v>
          </cell>
        </row>
        <row r="3638">
          <cell r="A3638">
            <v>70134108</v>
          </cell>
          <cell r="C3638" t="str">
            <v>중형 위장창고</v>
          </cell>
        </row>
        <row r="3639">
          <cell r="A3639">
            <v>70134109</v>
          </cell>
          <cell r="C3639" t="str">
            <v>중형 강화창고</v>
          </cell>
        </row>
        <row r="3640">
          <cell r="A3640">
            <v>70134110</v>
          </cell>
          <cell r="C3640" t="str">
            <v>돛대</v>
          </cell>
        </row>
        <row r="3641">
          <cell r="A3641">
            <v>70134111</v>
          </cell>
          <cell r="C3641" t="str">
            <v>파수대</v>
          </cell>
        </row>
        <row r="3642">
          <cell r="A3642">
            <v>70134112</v>
          </cell>
          <cell r="C3642" t="str">
            <v>부관실</v>
          </cell>
        </row>
        <row r="3643">
          <cell r="A3643">
            <v>70134113</v>
          </cell>
          <cell r="C3643" t="str">
            <v>재목실</v>
          </cell>
        </row>
        <row r="3644">
          <cell r="A3644">
            <v>70134114</v>
          </cell>
          <cell r="C3644" t="str">
            <v>회계실</v>
          </cell>
        </row>
        <row r="3645">
          <cell r="A3645">
            <v>70134115</v>
          </cell>
          <cell r="C3645" t="str">
            <v>측량실</v>
          </cell>
        </row>
        <row r="3646">
          <cell r="A3646">
            <v>70134116</v>
          </cell>
          <cell r="C3646" t="str">
            <v>무장포대</v>
          </cell>
        </row>
        <row r="3647">
          <cell r="A3647">
            <v>70134117</v>
          </cell>
          <cell r="C3647" t="str">
            <v>해병대기실</v>
          </cell>
        </row>
        <row r="3648">
          <cell r="A3648">
            <v>70134118</v>
          </cell>
          <cell r="C3648" t="str">
            <v>개인실</v>
          </cell>
        </row>
        <row r="3649">
          <cell r="A3649">
            <v>70134119</v>
          </cell>
          <cell r="C3649" t="str">
            <v>예배실</v>
          </cell>
        </row>
        <row r="3650">
          <cell r="A3650">
            <v>70134120</v>
          </cell>
          <cell r="C3650" t="str">
            <v>조리실</v>
          </cell>
        </row>
        <row r="3651">
          <cell r="A3651">
            <v>70134121</v>
          </cell>
          <cell r="C3651" t="str">
            <v>진료실</v>
          </cell>
        </row>
        <row r="3652">
          <cell r="A3652">
            <v>70134122</v>
          </cell>
          <cell r="C3652" t="str">
            <v>체력단련실</v>
          </cell>
        </row>
        <row r="3653">
          <cell r="A3653">
            <v>70134123</v>
          </cell>
          <cell r="C3653" t="str">
            <v>참모실</v>
          </cell>
        </row>
        <row r="3654">
          <cell r="A3654">
            <v>70134124</v>
          </cell>
          <cell r="C3654" t="str">
            <v>오락실</v>
          </cell>
        </row>
        <row r="3655">
          <cell r="A3655">
            <v>70134125</v>
          </cell>
          <cell r="C3655" t="str">
            <v>사육실</v>
          </cell>
        </row>
        <row r="3656">
          <cell r="A3656">
            <v>70134126</v>
          </cell>
          <cell r="C3656" t="str">
            <v>연구실</v>
          </cell>
        </row>
        <row r="3657">
          <cell r="A3657">
            <v>70134127</v>
          </cell>
          <cell r="C3657" t="str">
            <v>도서실</v>
          </cell>
        </row>
        <row r="3658">
          <cell r="A3658">
            <v>70134128</v>
          </cell>
          <cell r="C3658" t="str">
            <v>대형 물자창고</v>
          </cell>
        </row>
        <row r="3659">
          <cell r="A3659">
            <v>70134129</v>
          </cell>
          <cell r="C3659" t="str">
            <v>대형 식료품 창고</v>
          </cell>
        </row>
        <row r="3660">
          <cell r="A3660">
            <v>70134130</v>
          </cell>
          <cell r="C3660" t="str">
            <v>대형 조미료 창고</v>
          </cell>
        </row>
        <row r="3661">
          <cell r="A3661">
            <v>70134131</v>
          </cell>
          <cell r="C3661" t="str">
            <v>대형 가축 창고</v>
          </cell>
        </row>
        <row r="3662">
          <cell r="A3662">
            <v>70134132</v>
          </cell>
          <cell r="C3662" t="str">
            <v>대형 의약품 창고</v>
          </cell>
        </row>
        <row r="3663">
          <cell r="A3663">
            <v>70134133</v>
          </cell>
          <cell r="C3663" t="str">
            <v>대형 잡화 창고</v>
          </cell>
        </row>
        <row r="3664">
          <cell r="A3664">
            <v>70134134</v>
          </cell>
          <cell r="C3664" t="str">
            <v>대형 주류 창고</v>
          </cell>
        </row>
        <row r="3665">
          <cell r="A3665">
            <v>70134135</v>
          </cell>
          <cell r="C3665" t="str">
            <v>대형 염료 창고</v>
          </cell>
        </row>
        <row r="3666">
          <cell r="A3666">
            <v>70134136</v>
          </cell>
          <cell r="C3666" t="str">
            <v>대형 광석 창고</v>
          </cell>
        </row>
        <row r="3667">
          <cell r="A3667">
            <v>70134137</v>
          </cell>
          <cell r="C3667" t="str">
            <v>대형 공업품 창고</v>
          </cell>
        </row>
        <row r="3668">
          <cell r="A3668">
            <v>70134138</v>
          </cell>
          <cell r="C3668" t="str">
            <v>대형 기호품 창고</v>
          </cell>
        </row>
        <row r="3669">
          <cell r="A3669">
            <v>70134139</v>
          </cell>
          <cell r="C3669" t="str">
            <v>대형 섬유 창고</v>
          </cell>
        </row>
        <row r="3670">
          <cell r="A3670">
            <v>70134140</v>
          </cell>
          <cell r="C3670" t="str">
            <v>대형 직물 창고</v>
          </cell>
        </row>
        <row r="3671">
          <cell r="A3671">
            <v>70134141</v>
          </cell>
          <cell r="C3671" t="str">
            <v>대형 공예품 창고</v>
          </cell>
        </row>
        <row r="3672">
          <cell r="A3672">
            <v>70134142</v>
          </cell>
          <cell r="C3672" t="str">
            <v>대형 미술품 창고</v>
          </cell>
        </row>
        <row r="3673">
          <cell r="A3673">
            <v>70134143</v>
          </cell>
          <cell r="C3673" t="str">
            <v>대형 향신료 창고</v>
          </cell>
        </row>
        <row r="3674">
          <cell r="A3674">
            <v>70134144</v>
          </cell>
          <cell r="C3674" t="str">
            <v>대형 귀금속 창고</v>
          </cell>
        </row>
        <row r="3675">
          <cell r="A3675">
            <v>70134145</v>
          </cell>
          <cell r="C3675" t="str">
            <v>대형 향료 창고</v>
          </cell>
        </row>
        <row r="3676">
          <cell r="A3676">
            <v>70134146</v>
          </cell>
          <cell r="C3676" t="str">
            <v>대형 보석 창고</v>
          </cell>
        </row>
        <row r="3677">
          <cell r="A3677">
            <v>70134147</v>
          </cell>
          <cell r="C3677" t="str">
            <v>대형 무기류 창고</v>
          </cell>
        </row>
        <row r="3678">
          <cell r="A3678">
            <v>70134148</v>
          </cell>
          <cell r="C3678" t="str">
            <v>대형 총포류 창고</v>
          </cell>
        </row>
        <row r="3679">
          <cell r="A3679">
            <v>70134149</v>
          </cell>
          <cell r="C3679" t="str">
            <v>대형 짐창고</v>
          </cell>
        </row>
        <row r="3680">
          <cell r="A3680">
            <v>70134150</v>
          </cell>
          <cell r="C3680" t="str">
            <v>대형 조수실</v>
          </cell>
        </row>
        <row r="3681">
          <cell r="A3681">
            <v>70134151</v>
          </cell>
          <cell r="C3681" t="str">
            <v>대형 선원실</v>
          </cell>
        </row>
        <row r="3682">
          <cell r="A3682">
            <v>70134152</v>
          </cell>
          <cell r="C3682" t="str">
            <v>대형 탄약창고</v>
          </cell>
        </row>
        <row r="3683">
          <cell r="A3683">
            <v>70134153</v>
          </cell>
          <cell r="C3683" t="str">
            <v>대형 무기창고</v>
          </cell>
        </row>
        <row r="3684">
          <cell r="A3684">
            <v>70134154</v>
          </cell>
          <cell r="C3684" t="str">
            <v>대형 휴게실</v>
          </cell>
        </row>
        <row r="3685">
          <cell r="A3685">
            <v>70134155</v>
          </cell>
          <cell r="C3685" t="str">
            <v>대형 연회장</v>
          </cell>
        </row>
        <row r="3686">
          <cell r="A3686">
            <v>70134156</v>
          </cell>
          <cell r="C3686" t="str">
            <v>대형 위장창고</v>
          </cell>
        </row>
        <row r="3687">
          <cell r="A3687">
            <v>70134157</v>
          </cell>
          <cell r="C3687" t="str">
            <v>대형 강화창고</v>
          </cell>
        </row>
        <row r="3688">
          <cell r="A3688">
            <v>70184000</v>
          </cell>
          <cell r="C3688" t="str">
            <v>##테스트용 돛</v>
          </cell>
        </row>
        <row r="3689">
          <cell r="A3689">
            <v>70185001</v>
          </cell>
          <cell r="C3689" t="str">
            <v>##테스트용 충각</v>
          </cell>
        </row>
        <row r="3690">
          <cell r="A3690">
            <v>70186001</v>
          </cell>
          <cell r="C3690" t="str">
            <v>##테스트용 닻</v>
          </cell>
        </row>
        <row r="3691">
          <cell r="A3691">
            <v>70187001</v>
          </cell>
          <cell r="C3691" t="str">
            <v>##테스트용 함포</v>
          </cell>
        </row>
        <row r="3692">
          <cell r="A3692">
            <v>70188001</v>
          </cell>
          <cell r="C3692" t="str">
            <v>##테스트용 장갑</v>
          </cell>
        </row>
        <row r="3693">
          <cell r="A3693">
            <v>70190001</v>
          </cell>
          <cell r="C3693" t="str">
            <v>##튜토리얼용 이속돛</v>
          </cell>
        </row>
        <row r="3694">
          <cell r="A3694">
            <v>70190002</v>
          </cell>
          <cell r="C3694" t="str">
            <v>##튜토리얼 적</v>
          </cell>
        </row>
        <row r="3695">
          <cell r="A3695">
            <v>70190003</v>
          </cell>
          <cell r="C3695" t="str">
            <v>##튜토리얼 초대형함선용</v>
          </cell>
        </row>
        <row r="3696">
          <cell r="A3696">
            <v>70190004</v>
          </cell>
          <cell r="C3696" t="str">
            <v>##튜토 아군 함선용</v>
          </cell>
        </row>
        <row r="3697">
          <cell r="A3697">
            <v>70190005</v>
          </cell>
          <cell r="C3697" t="str">
            <v>##튜토 아군 함선용2</v>
          </cell>
        </row>
        <row r="3698">
          <cell r="A3698">
            <v>70190006</v>
          </cell>
          <cell r="C3698" t="str">
            <v>##튜토 아군 함선용3</v>
          </cell>
        </row>
        <row r="3699">
          <cell r="A3699">
            <v>70190007</v>
          </cell>
          <cell r="C3699" t="str">
            <v>##튜토리얼 적</v>
          </cell>
        </row>
        <row r="3700">
          <cell r="A3700">
            <v>70190008</v>
          </cell>
          <cell r="C3700" t="str">
            <v>##튜토리얼 적</v>
          </cell>
        </row>
        <row r="3701">
          <cell r="A3701">
            <v>70190009</v>
          </cell>
          <cell r="C3701" t="str">
            <v>##30티어포</v>
          </cell>
        </row>
        <row r="3702">
          <cell r="A3702">
            <v>70190010</v>
          </cell>
          <cell r="C3702" t="str">
            <v>##30티어돛</v>
          </cell>
        </row>
        <row r="3703">
          <cell r="A3703">
            <v>70190011</v>
          </cell>
          <cell r="C3703" t="str">
            <v>##30티어닻</v>
          </cell>
        </row>
        <row r="3704">
          <cell r="A3704">
            <v>70190012</v>
          </cell>
          <cell r="C3704" t="str">
            <v>##30티어충각</v>
          </cell>
        </row>
        <row r="3705">
          <cell r="A3705">
            <v>70190013</v>
          </cell>
          <cell r="C3705" t="str">
            <v>##30티어장갑</v>
          </cell>
        </row>
        <row r="3706">
          <cell r="A3706">
            <v>70190014</v>
          </cell>
          <cell r="C3706" t="str">
            <v>##30티어선수상</v>
          </cell>
        </row>
        <row r="3707">
          <cell r="A3707">
            <v>70190015</v>
          </cell>
          <cell r="C3707" t="str">
            <v>##25티어포</v>
          </cell>
        </row>
        <row r="3708">
          <cell r="A3708">
            <v>70190016</v>
          </cell>
          <cell r="C3708" t="str">
            <v>##25티어돛</v>
          </cell>
        </row>
        <row r="3709">
          <cell r="A3709">
            <v>70190017</v>
          </cell>
          <cell r="C3709" t="str">
            <v>##25티어닻</v>
          </cell>
        </row>
        <row r="3710">
          <cell r="A3710">
            <v>70190018</v>
          </cell>
          <cell r="C3710" t="str">
            <v>##25티어충각</v>
          </cell>
        </row>
        <row r="3711">
          <cell r="A3711">
            <v>70190019</v>
          </cell>
          <cell r="C3711" t="str">
            <v>##25티어장갑</v>
          </cell>
        </row>
        <row r="3712">
          <cell r="A3712">
            <v>70190020</v>
          </cell>
          <cell r="C3712" t="str">
            <v>##25티어선수상</v>
          </cell>
        </row>
        <row r="3713">
          <cell r="A3713">
            <v>70190021</v>
          </cell>
          <cell r="C3713" t="str">
            <v>##20티어포</v>
          </cell>
        </row>
        <row r="3714">
          <cell r="A3714">
            <v>70190022</v>
          </cell>
          <cell r="C3714" t="str">
            <v>##20티어돛</v>
          </cell>
        </row>
        <row r="3715">
          <cell r="A3715">
            <v>70190023</v>
          </cell>
          <cell r="C3715" t="str">
            <v>##20티어닻</v>
          </cell>
        </row>
        <row r="3716">
          <cell r="A3716">
            <v>70190024</v>
          </cell>
          <cell r="C3716" t="str">
            <v>##20티어충각</v>
          </cell>
        </row>
        <row r="3717">
          <cell r="A3717">
            <v>70190025</v>
          </cell>
          <cell r="C3717" t="str">
            <v>##20티어장갑</v>
          </cell>
        </row>
        <row r="3718">
          <cell r="A3718">
            <v>70190026</v>
          </cell>
          <cell r="C3718" t="str">
            <v>##20티어선수상</v>
          </cell>
        </row>
        <row r="3719">
          <cell r="A3719">
            <v>70190027</v>
          </cell>
          <cell r="C3719" t="str">
            <v>##15티어포</v>
          </cell>
        </row>
        <row r="3720">
          <cell r="A3720">
            <v>70190028</v>
          </cell>
          <cell r="C3720" t="str">
            <v>##15티어돛</v>
          </cell>
        </row>
        <row r="3721">
          <cell r="A3721">
            <v>70190029</v>
          </cell>
          <cell r="C3721" t="str">
            <v>##15티어닻</v>
          </cell>
        </row>
        <row r="3722">
          <cell r="A3722">
            <v>70190030</v>
          </cell>
          <cell r="C3722" t="str">
            <v>##15티어충각</v>
          </cell>
        </row>
        <row r="3723">
          <cell r="A3723">
            <v>70190031</v>
          </cell>
          <cell r="C3723" t="str">
            <v>##15티어장갑</v>
          </cell>
        </row>
        <row r="3724">
          <cell r="A3724">
            <v>70190032</v>
          </cell>
          <cell r="C3724" t="str">
            <v>##15티어선수상</v>
          </cell>
        </row>
        <row r="3725">
          <cell r="A3725">
            <v>70190033</v>
          </cell>
          <cell r="C3725" t="str">
            <v>##10티어포</v>
          </cell>
        </row>
        <row r="3726">
          <cell r="A3726">
            <v>70190034</v>
          </cell>
          <cell r="C3726" t="str">
            <v>##10티어돛</v>
          </cell>
        </row>
        <row r="3727">
          <cell r="A3727">
            <v>70190035</v>
          </cell>
          <cell r="C3727" t="str">
            <v>##10티어닻</v>
          </cell>
        </row>
        <row r="3728">
          <cell r="A3728">
            <v>70190036</v>
          </cell>
          <cell r="C3728" t="str">
            <v>##10티어충각</v>
          </cell>
        </row>
        <row r="3729">
          <cell r="A3729">
            <v>70190037</v>
          </cell>
          <cell r="C3729" t="str">
            <v>##10티어장갑</v>
          </cell>
        </row>
        <row r="3730">
          <cell r="A3730">
            <v>70190038</v>
          </cell>
          <cell r="C3730" t="str">
            <v>##10티어선수상</v>
          </cell>
        </row>
        <row r="3731">
          <cell r="A3731">
            <v>70190039</v>
          </cell>
          <cell r="C3731" t="str">
            <v>##5티어포</v>
          </cell>
        </row>
        <row r="3732">
          <cell r="A3732">
            <v>70190040</v>
          </cell>
          <cell r="C3732" t="str">
            <v>##5티어돛</v>
          </cell>
        </row>
        <row r="3733">
          <cell r="A3733">
            <v>70190041</v>
          </cell>
          <cell r="C3733" t="str">
            <v>##5티어닻</v>
          </cell>
        </row>
        <row r="3734">
          <cell r="A3734">
            <v>70190042</v>
          </cell>
          <cell r="C3734" t="str">
            <v>##5티어충각</v>
          </cell>
        </row>
        <row r="3735">
          <cell r="A3735">
            <v>70190043</v>
          </cell>
          <cell r="C3735" t="str">
            <v>##5티어장갑</v>
          </cell>
        </row>
        <row r="3736">
          <cell r="A3736">
            <v>70190044</v>
          </cell>
          <cell r="C3736" t="str">
            <v>##5티어선수상</v>
          </cell>
        </row>
        <row r="3737">
          <cell r="A3737">
            <v>70190101</v>
          </cell>
          <cell r="C3737" t="str">
            <v>##공격 범위 수정_화염탄 포격</v>
          </cell>
        </row>
        <row r="3738">
          <cell r="A3738">
            <v>70190102</v>
          </cell>
          <cell r="C3738" t="str">
            <v>##공격 범위 수정_철퇴탄 포격</v>
          </cell>
        </row>
        <row r="3739">
          <cell r="A3739">
            <v>70190103</v>
          </cell>
          <cell r="C3739" t="str">
            <v>##공격 범위 수정_먹물탄 포격</v>
          </cell>
        </row>
        <row r="3740">
          <cell r="A3740">
            <v>70190104</v>
          </cell>
          <cell r="C3740" t="str">
            <v>##공격 범위 수정_사슬탄 포격</v>
          </cell>
        </row>
        <row r="3741">
          <cell r="A3741">
            <v>70190105</v>
          </cell>
          <cell r="C3741" t="str">
            <v>##공격 범위 수정_석환 포격</v>
          </cell>
        </row>
        <row r="3742">
          <cell r="A3742">
            <v>70190106</v>
          </cell>
          <cell r="C3742" t="str">
            <v>##공격 범위 수정_끈끈이 포격</v>
          </cell>
        </row>
        <row r="3743">
          <cell r="A3743">
            <v>70190107</v>
          </cell>
          <cell r="C3743" t="str">
            <v>##공격 범위 수정_맹톡탄 포격</v>
          </cell>
        </row>
        <row r="3744">
          <cell r="A3744">
            <v>70190108</v>
          </cell>
          <cell r="C3744" t="str">
            <v>##공격 범위 수정_금괴탄 포격</v>
          </cell>
        </row>
        <row r="3745">
          <cell r="A3745">
            <v>70190109</v>
          </cell>
          <cell r="C3745" t="str">
            <v>##공격 범위 수정_연막탄 포격</v>
          </cell>
        </row>
        <row r="3746">
          <cell r="A3746">
            <v>70190110</v>
          </cell>
          <cell r="C3746" t="str">
            <v>##공격 범위 수정_섬광탄 포격</v>
          </cell>
        </row>
        <row r="3747">
          <cell r="A3747">
            <v>70190111</v>
          </cell>
          <cell r="C3747" t="str">
            <v>##공격 범위 수정_depth15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1">
          <cell r="A1" t="str">
            <v>id</v>
          </cell>
        </row>
        <row r="2">
          <cell r="A2" t="str">
            <v>key:92000000~92999999</v>
          </cell>
        </row>
        <row r="3">
          <cell r="A3" t="str">
            <v>:required</v>
          </cell>
        </row>
        <row r="4">
          <cell r="A4" t="str">
            <v>:min</v>
          </cell>
        </row>
        <row r="5">
          <cell r="A5" t="str">
            <v>:max</v>
          </cell>
        </row>
        <row r="6">
          <cell r="A6" t="str">
            <v>:enum</v>
          </cell>
        </row>
        <row r="7">
          <cell r="A7" t="str">
            <v>:links</v>
          </cell>
        </row>
        <row r="8">
          <cell r="A8" t="str">
            <v>:asset</v>
          </cell>
        </row>
        <row r="9">
          <cell r="A9">
            <v>92000001</v>
          </cell>
          <cell r="B9" t="str">
            <v>#신입 제독님 환영 인사</v>
          </cell>
        </row>
        <row r="10">
          <cell r="A10">
            <v>92000002</v>
          </cell>
          <cell r="B10" t="str">
            <v>#환영 선물</v>
          </cell>
        </row>
        <row r="11">
          <cell r="A11">
            <v>92000011</v>
          </cell>
          <cell r="B11" t="str">
            <v>주간 세계 발견 순위 1위 보상</v>
          </cell>
        </row>
        <row r="12">
          <cell r="A12">
            <v>92000012</v>
          </cell>
          <cell r="B12" t="str">
            <v>주간 세계 발견 순위 2위 보상</v>
          </cell>
        </row>
        <row r="13">
          <cell r="A13">
            <v>92000013</v>
          </cell>
          <cell r="B13" t="str">
            <v>주간 세계 발견 순위 3위 보상</v>
          </cell>
        </row>
        <row r="14">
          <cell r="A14">
            <v>92000014</v>
          </cell>
          <cell r="B14" t="str">
            <v>주간 세계 발견 순위 10위내 보상</v>
          </cell>
        </row>
        <row r="15">
          <cell r="A15">
            <v>92000015</v>
          </cell>
          <cell r="B15" t="str">
            <v>주간 세계 발견 순위 20위내 보상</v>
          </cell>
        </row>
        <row r="16">
          <cell r="A16">
            <v>92000016</v>
          </cell>
          <cell r="B16" t="str">
            <v>주간 세계 발견 순위 30위내 보상</v>
          </cell>
        </row>
        <row r="17">
          <cell r="A17">
            <v>92000017</v>
          </cell>
          <cell r="B17" t="str">
            <v>주간 세계 발견 순위 40위내 보상</v>
          </cell>
        </row>
        <row r="18">
          <cell r="A18">
            <v>92000018</v>
          </cell>
          <cell r="B18" t="str">
            <v>주간 세계 발견 순위 50위내 보상</v>
          </cell>
        </row>
        <row r="19">
          <cell r="A19">
            <v>92000019</v>
          </cell>
          <cell r="B19" t="str">
            <v>주간 세계 발견 순위 100위내 보상</v>
          </cell>
        </row>
        <row r="20">
          <cell r="A20">
            <v>92000101</v>
          </cell>
          <cell r="B20" t="str">
            <v>주간 저택 발견 순위 1위 보상</v>
          </cell>
        </row>
        <row r="21">
          <cell r="A21">
            <v>92000102</v>
          </cell>
          <cell r="B21" t="str">
            <v>주간 저택 발견 순위 2위 보상</v>
          </cell>
        </row>
        <row r="22">
          <cell r="A22">
            <v>92000103</v>
          </cell>
          <cell r="B22" t="str">
            <v>주간 저택 발견 순위 3위 보상</v>
          </cell>
        </row>
        <row r="23">
          <cell r="A23">
            <v>92000104</v>
          </cell>
          <cell r="B23" t="str">
            <v>주간 저택 발견 순위 4위 보상</v>
          </cell>
        </row>
        <row r="24">
          <cell r="A24">
            <v>92000105</v>
          </cell>
          <cell r="B24" t="str">
            <v>주간 저택 발견 순위 5위 보상</v>
          </cell>
        </row>
        <row r="25">
          <cell r="A25">
            <v>92000106</v>
          </cell>
          <cell r="B25" t="str">
            <v>주간 저택 발견 순위 6위 보상</v>
          </cell>
        </row>
        <row r="26">
          <cell r="A26">
            <v>92000107</v>
          </cell>
          <cell r="B26" t="str">
            <v>주간 저택 발견 순위 7위 보상</v>
          </cell>
        </row>
        <row r="27">
          <cell r="A27">
            <v>92000108</v>
          </cell>
          <cell r="B27" t="str">
            <v>주간 저택 발견 순위 8위 보상</v>
          </cell>
        </row>
        <row r="28">
          <cell r="A28">
            <v>92000109</v>
          </cell>
          <cell r="B28" t="str">
            <v>주간 저택 발견 순위 9위 보상</v>
          </cell>
        </row>
        <row r="29">
          <cell r="A29">
            <v>92000110</v>
          </cell>
          <cell r="B29" t="str">
            <v>주간 저택 발견 순위 10위 보상</v>
          </cell>
        </row>
        <row r="30">
          <cell r="A30">
            <v>92000111</v>
          </cell>
          <cell r="B30" t="str">
            <v>주간 저택 발견 순위 영웅 보상</v>
          </cell>
        </row>
        <row r="31">
          <cell r="A31">
            <v>92000112</v>
          </cell>
          <cell r="B31" t="str">
            <v>주간 저택 발견 순위 특급 2단계 보상</v>
          </cell>
        </row>
        <row r="32">
          <cell r="A32">
            <v>92000113</v>
          </cell>
          <cell r="B32" t="str">
            <v>주간 저택 발견 순위 특급 보상</v>
          </cell>
        </row>
        <row r="33">
          <cell r="A33">
            <v>92000114</v>
          </cell>
          <cell r="B33" t="str">
            <v>주간 저택 발견 순위 고급 2단계 보상</v>
          </cell>
        </row>
        <row r="34">
          <cell r="A34">
            <v>92000115</v>
          </cell>
          <cell r="B34" t="str">
            <v>주간 저택 발견 순위 고급 보상</v>
          </cell>
        </row>
        <row r="35">
          <cell r="A35">
            <v>92000116</v>
          </cell>
          <cell r="B35" t="str">
            <v>주간 저택 발견 순위 중급 2단계 보상</v>
          </cell>
        </row>
        <row r="36">
          <cell r="A36">
            <v>92000117</v>
          </cell>
          <cell r="B36" t="str">
            <v>주간 저택 발견 순위 중급 보상</v>
          </cell>
        </row>
        <row r="37">
          <cell r="A37">
            <v>92000118</v>
          </cell>
          <cell r="B37" t="str">
            <v>주간 저택 발견 순위 초급 2단계 보상</v>
          </cell>
        </row>
        <row r="38">
          <cell r="A38">
            <v>92000119</v>
          </cell>
          <cell r="B38" t="str">
            <v>주간 저택 발견 순위 초급 보상</v>
          </cell>
        </row>
        <row r="39">
          <cell r="A39">
            <v>92000201</v>
          </cell>
          <cell r="B39" t="str">
            <v>주간 상회 기여도 보상 순위 1위 보상</v>
          </cell>
        </row>
        <row r="40">
          <cell r="A40">
            <v>92000202</v>
          </cell>
          <cell r="B40" t="str">
            <v>주간 상회 기여도 보상 순위 2위 보상</v>
          </cell>
        </row>
        <row r="41">
          <cell r="A41">
            <v>92000203</v>
          </cell>
          <cell r="B41" t="str">
            <v>주간 상회 기여도 보상 순위 3위 보상</v>
          </cell>
        </row>
        <row r="42">
          <cell r="A42">
            <v>92000204</v>
          </cell>
          <cell r="B42" t="str">
            <v>주간 상회 기여도 보상 순위 4위 보상</v>
          </cell>
        </row>
        <row r="43">
          <cell r="A43">
            <v>92000205</v>
          </cell>
          <cell r="B43" t="str">
            <v>주간 상회 기여도 보상 순위 5위 보상</v>
          </cell>
        </row>
        <row r="44">
          <cell r="A44">
            <v>92000206</v>
          </cell>
          <cell r="B44" t="str">
            <v>주간 상회 기여도 보상 순위 6위 보상</v>
          </cell>
        </row>
        <row r="45">
          <cell r="A45">
            <v>92000207</v>
          </cell>
          <cell r="B45" t="str">
            <v>주간 상회 기여도 보상 순위 7위 보상</v>
          </cell>
        </row>
        <row r="46">
          <cell r="A46">
            <v>92000208</v>
          </cell>
          <cell r="B46" t="str">
            <v>주간 상회 기여도 보상 순위 8위 보상</v>
          </cell>
        </row>
        <row r="47">
          <cell r="A47">
            <v>92000209</v>
          </cell>
          <cell r="B47" t="str">
            <v>주간 상회 기여도 보상 순위 9위 보상</v>
          </cell>
        </row>
        <row r="48">
          <cell r="A48">
            <v>92000210</v>
          </cell>
          <cell r="B48" t="str">
            <v>주간 상회 기여도 보상 순위 10위 보상</v>
          </cell>
        </row>
        <row r="49">
          <cell r="A49">
            <v>92000211</v>
          </cell>
          <cell r="B49" t="str">
            <v>주간 상회 기여도 보상 순위 11위 보상</v>
          </cell>
        </row>
        <row r="50">
          <cell r="A50">
            <v>92000212</v>
          </cell>
          <cell r="B50" t="str">
            <v>주간 상회 기여도 보상 순위 12위 보상</v>
          </cell>
        </row>
        <row r="51">
          <cell r="A51">
            <v>92000213</v>
          </cell>
          <cell r="B51" t="str">
            <v>주간 상회 기여도 보상 순위 13위 보상</v>
          </cell>
        </row>
        <row r="52">
          <cell r="A52">
            <v>92000214</v>
          </cell>
          <cell r="B52" t="str">
            <v>주간 상회 기여도 보상 순위 14위 보상</v>
          </cell>
        </row>
        <row r="53">
          <cell r="A53">
            <v>92000215</v>
          </cell>
          <cell r="B53" t="str">
            <v>주간 상회 기여도 보상 순위 15위 보상</v>
          </cell>
        </row>
        <row r="54">
          <cell r="A54">
            <v>92000216</v>
          </cell>
          <cell r="B54" t="str">
            <v>주간 상회 기여도 보상 순위 16위 보상</v>
          </cell>
        </row>
        <row r="55">
          <cell r="A55">
            <v>92000217</v>
          </cell>
          <cell r="B55" t="str">
            <v>주간 상회 기여도 보상 순위 17위 보상</v>
          </cell>
        </row>
        <row r="56">
          <cell r="A56">
            <v>92000218</v>
          </cell>
          <cell r="B56" t="str">
            <v>주간 상회 기여도 보상 순위 18위 보상</v>
          </cell>
        </row>
        <row r="57">
          <cell r="A57">
            <v>92000219</v>
          </cell>
          <cell r="B57" t="str">
            <v>주간 상회 기여도 보상 순위 19위 보상</v>
          </cell>
        </row>
        <row r="58">
          <cell r="A58">
            <v>92000220</v>
          </cell>
          <cell r="B58" t="str">
            <v>주간 상회 기여도 보상 순위 20위 보상</v>
          </cell>
        </row>
        <row r="59">
          <cell r="A59">
            <v>92001001</v>
          </cell>
          <cell r="B59" t="str">
            <v>주간 선단 투자 1위 보상</v>
          </cell>
        </row>
        <row r="60">
          <cell r="A60">
            <v>92001002</v>
          </cell>
          <cell r="B60" t="str">
            <v>주간 선단 투자 2위 보상</v>
          </cell>
        </row>
        <row r="61">
          <cell r="A61">
            <v>92001003</v>
          </cell>
          <cell r="B61" t="str">
            <v>주간 선단 투자 3위 보상</v>
          </cell>
        </row>
        <row r="62">
          <cell r="A62">
            <v>92001004</v>
          </cell>
          <cell r="B62" t="str">
            <v>주간 선단 투자 4위 보상</v>
          </cell>
        </row>
        <row r="63">
          <cell r="A63">
            <v>92001005</v>
          </cell>
          <cell r="B63" t="str">
            <v>주간 선단 투자 5위 보상</v>
          </cell>
        </row>
        <row r="64">
          <cell r="A64">
            <v>92001006</v>
          </cell>
          <cell r="B64" t="str">
            <v>주간 선단 투자 6위 보상</v>
          </cell>
        </row>
        <row r="65">
          <cell r="A65">
            <v>92001007</v>
          </cell>
          <cell r="B65" t="str">
            <v>주간 선단 투자 7위 보상</v>
          </cell>
        </row>
        <row r="66">
          <cell r="A66">
            <v>92001008</v>
          </cell>
          <cell r="B66" t="str">
            <v>주간 선단 투자 8위 보상</v>
          </cell>
        </row>
        <row r="67">
          <cell r="A67">
            <v>92001009</v>
          </cell>
          <cell r="B67" t="str">
            <v>주간 선단 투자 9위 보상</v>
          </cell>
        </row>
        <row r="68">
          <cell r="A68">
            <v>92001010</v>
          </cell>
          <cell r="B68" t="str">
            <v>주간 선단 투자 10위 보상</v>
          </cell>
        </row>
        <row r="69">
          <cell r="A69">
            <v>92001011</v>
          </cell>
          <cell r="B69" t="str">
            <v>주간 선단 투자 기본 보상</v>
          </cell>
        </row>
        <row r="70">
          <cell r="A70">
            <v>92001012</v>
          </cell>
          <cell r="B70" t="str">
            <v>주간 선단 투자 11위 보상</v>
          </cell>
        </row>
        <row r="71">
          <cell r="A71">
            <v>92001013</v>
          </cell>
          <cell r="B71" t="str">
            <v>주간 선단 투자 12위 보상</v>
          </cell>
        </row>
        <row r="72">
          <cell r="A72">
            <v>92001014</v>
          </cell>
          <cell r="B72" t="str">
            <v>주간 선단 투자 13위 보상</v>
          </cell>
        </row>
        <row r="73">
          <cell r="A73">
            <v>92001015</v>
          </cell>
          <cell r="B73" t="str">
            <v>주간 선단 투자 14위 보상</v>
          </cell>
        </row>
        <row r="74">
          <cell r="A74">
            <v>92001016</v>
          </cell>
          <cell r="B74" t="str">
            <v>주간 선단 투자 15위 보상</v>
          </cell>
        </row>
        <row r="75">
          <cell r="A75">
            <v>92001017</v>
          </cell>
          <cell r="B75" t="str">
            <v>주간 선단 투자 16위 보상</v>
          </cell>
        </row>
        <row r="76">
          <cell r="A76">
            <v>92001018</v>
          </cell>
          <cell r="B76" t="str">
            <v>주간 선단 투자 17위 보상</v>
          </cell>
        </row>
        <row r="77">
          <cell r="A77">
            <v>92001019</v>
          </cell>
          <cell r="B77" t="str">
            <v>주간 선단 투자 18위 보상</v>
          </cell>
        </row>
        <row r="78">
          <cell r="A78">
            <v>92001020</v>
          </cell>
          <cell r="B78" t="str">
            <v>주간 선단 투자 19위 보상</v>
          </cell>
        </row>
        <row r="79">
          <cell r="A79">
            <v>92001021</v>
          </cell>
          <cell r="B79" t="str">
            <v>주간 선단 투자 20위 보상</v>
          </cell>
        </row>
        <row r="80">
          <cell r="A80">
            <v>92001022</v>
          </cell>
          <cell r="B80" t="str">
            <v>주간 선단 투자 기본 보상2</v>
          </cell>
        </row>
        <row r="81">
          <cell r="A81">
            <v>92001101</v>
          </cell>
          <cell r="B81" t="str">
            <v>모의전 주간 청동 3급 등급 보상</v>
          </cell>
        </row>
        <row r="82">
          <cell r="A82">
            <v>92001102</v>
          </cell>
          <cell r="B82" t="str">
            <v>모의전 주간 청동 2급 등급 보상</v>
          </cell>
        </row>
        <row r="83">
          <cell r="A83">
            <v>92001103</v>
          </cell>
          <cell r="B83" t="str">
            <v>모의전 주간 청동 1급 등급 보상</v>
          </cell>
        </row>
        <row r="84">
          <cell r="A84">
            <v>92001104</v>
          </cell>
          <cell r="B84" t="str">
            <v>모의전 주간 백은 3급 등급 보상</v>
          </cell>
        </row>
        <row r="85">
          <cell r="A85">
            <v>92001105</v>
          </cell>
          <cell r="B85" t="str">
            <v>모의전 주간 백은 2급 등급 보상</v>
          </cell>
        </row>
        <row r="86">
          <cell r="A86">
            <v>92001106</v>
          </cell>
          <cell r="B86" t="str">
            <v>모의전 주간 백은 1급 등급 보상</v>
          </cell>
        </row>
        <row r="87">
          <cell r="A87">
            <v>92001107</v>
          </cell>
          <cell r="B87" t="str">
            <v>모의전 주간 황금 3급 등급 보상</v>
          </cell>
        </row>
        <row r="88">
          <cell r="A88">
            <v>92001108</v>
          </cell>
          <cell r="B88" t="str">
            <v>모의전 주간 황금 2급 등급 보상</v>
          </cell>
        </row>
        <row r="89">
          <cell r="A89">
            <v>92001109</v>
          </cell>
          <cell r="B89" t="str">
            <v>모의전 주간 황금 1급 등급 보상</v>
          </cell>
        </row>
        <row r="90">
          <cell r="A90">
            <v>92001110</v>
          </cell>
          <cell r="B90" t="str">
            <v>모의전 주간 백금 3급 등급 보상</v>
          </cell>
        </row>
        <row r="91">
          <cell r="A91">
            <v>92001111</v>
          </cell>
          <cell r="B91" t="str">
            <v>모의전 주간 백금 2급 등급 보상</v>
          </cell>
        </row>
        <row r="92">
          <cell r="A92">
            <v>92001112</v>
          </cell>
          <cell r="B92" t="str">
            <v>모의전 주간 백금1금 등급 보상</v>
          </cell>
        </row>
        <row r="93">
          <cell r="A93">
            <v>92001113</v>
          </cell>
          <cell r="B93" t="str">
            <v>모의전 주간 사부 3급 등급 보상</v>
          </cell>
        </row>
        <row r="94">
          <cell r="A94">
            <v>92001114</v>
          </cell>
          <cell r="B94" t="str">
            <v>모의전 주간 사부 2급 등급 보상</v>
          </cell>
        </row>
        <row r="95">
          <cell r="A95">
            <v>92001115</v>
          </cell>
          <cell r="B95" t="str">
            <v>모의전 주간 사부 1급 등급 보상</v>
          </cell>
        </row>
        <row r="96">
          <cell r="A96">
            <v>92001116</v>
          </cell>
          <cell r="B96" t="str">
            <v>모의전 주간 대사부 3급 등급 보상</v>
          </cell>
        </row>
        <row r="97">
          <cell r="A97">
            <v>92001117</v>
          </cell>
          <cell r="B97" t="str">
            <v>모의전 주간 대사부 2급 등급 보상</v>
          </cell>
        </row>
        <row r="98">
          <cell r="A98">
            <v>92001118</v>
          </cell>
          <cell r="B98" t="str">
            <v>모의전 주간 대사부 1급 등급 보상</v>
          </cell>
        </row>
        <row r="99">
          <cell r="A99">
            <v>92001119</v>
          </cell>
          <cell r="B99" t="str">
            <v>모의전 주간 도전자 3급 등급 보상</v>
          </cell>
        </row>
        <row r="100">
          <cell r="A100">
            <v>92001120</v>
          </cell>
          <cell r="B100" t="str">
            <v>모의전 주간 도전자 2급 등급 보상</v>
          </cell>
        </row>
        <row r="101">
          <cell r="A101">
            <v>92001121</v>
          </cell>
          <cell r="B101" t="str">
            <v>모의전 주간 도전자 1급 등급 보상</v>
          </cell>
        </row>
        <row r="102">
          <cell r="A102">
            <v>92001122</v>
          </cell>
          <cell r="B102" t="str">
            <v>모의전 주간 전설 등급 보상</v>
          </cell>
        </row>
        <row r="103">
          <cell r="A103">
            <v>92001123</v>
          </cell>
          <cell r="B103" t="str">
            <v>모의전 청동 3급 달성 보상</v>
          </cell>
        </row>
        <row r="104">
          <cell r="A104">
            <v>92001124</v>
          </cell>
          <cell r="B104" t="str">
            <v>모의전 청동 2급 달성 보상</v>
          </cell>
        </row>
        <row r="105">
          <cell r="A105">
            <v>92001125</v>
          </cell>
          <cell r="B105" t="str">
            <v>모의전 청동 1급 달성 보상</v>
          </cell>
        </row>
        <row r="106">
          <cell r="A106">
            <v>92001126</v>
          </cell>
          <cell r="B106" t="str">
            <v>모의전 백은 3급 달성 보상</v>
          </cell>
        </row>
        <row r="107">
          <cell r="A107">
            <v>92001127</v>
          </cell>
          <cell r="B107" t="str">
            <v>모의전 백은 2급 달성 보상</v>
          </cell>
        </row>
        <row r="108">
          <cell r="A108">
            <v>92001128</v>
          </cell>
          <cell r="B108" t="str">
            <v>모의전 백은 1급 달성 보상</v>
          </cell>
        </row>
        <row r="109">
          <cell r="A109">
            <v>92001129</v>
          </cell>
          <cell r="B109" t="str">
            <v>모의전 황금 3급 달성 보상</v>
          </cell>
        </row>
        <row r="110">
          <cell r="A110">
            <v>92001130</v>
          </cell>
          <cell r="B110" t="str">
            <v>모의전 황금 2급 달성 보상</v>
          </cell>
        </row>
        <row r="111">
          <cell r="A111">
            <v>92001131</v>
          </cell>
          <cell r="B111" t="str">
            <v>모의전 황금 1급 달성 보상</v>
          </cell>
        </row>
        <row r="112">
          <cell r="A112">
            <v>92001132</v>
          </cell>
          <cell r="B112" t="str">
            <v>모의전 백금 3급 달성 보상</v>
          </cell>
        </row>
        <row r="113">
          <cell r="A113">
            <v>92001133</v>
          </cell>
          <cell r="B113" t="str">
            <v>모의전 백금 2급 달성 보상</v>
          </cell>
        </row>
        <row r="114">
          <cell r="A114">
            <v>92001134</v>
          </cell>
          <cell r="B114" t="str">
            <v>모의전 백금1금 달성 보상</v>
          </cell>
        </row>
        <row r="115">
          <cell r="A115">
            <v>92001135</v>
          </cell>
          <cell r="B115" t="str">
            <v>모의전 사부 3급 달성 보상</v>
          </cell>
        </row>
        <row r="116">
          <cell r="A116">
            <v>92001136</v>
          </cell>
          <cell r="B116" t="str">
            <v>모의전 사부 2급 달성 보상</v>
          </cell>
        </row>
        <row r="117">
          <cell r="A117">
            <v>92001137</v>
          </cell>
          <cell r="B117" t="str">
            <v>모의전 사부 1급 달성 보상</v>
          </cell>
        </row>
        <row r="118">
          <cell r="A118">
            <v>92001138</v>
          </cell>
          <cell r="B118" t="str">
            <v>모의전 대사부 3급 달성 보상</v>
          </cell>
        </row>
        <row r="119">
          <cell r="A119">
            <v>92001139</v>
          </cell>
          <cell r="B119" t="str">
            <v>모의전 대사부 2급 달성 보상</v>
          </cell>
        </row>
        <row r="120">
          <cell r="A120">
            <v>92001140</v>
          </cell>
          <cell r="B120" t="str">
            <v>모의전 대사부 1급 달성 보상</v>
          </cell>
        </row>
        <row r="121">
          <cell r="A121">
            <v>92001141</v>
          </cell>
          <cell r="B121" t="str">
            <v>모의전 도전자 3급 달성 보상</v>
          </cell>
        </row>
        <row r="122">
          <cell r="A122">
            <v>92001142</v>
          </cell>
          <cell r="B122" t="str">
            <v>모의전 도전자 2급 달성 보상</v>
          </cell>
        </row>
        <row r="123">
          <cell r="A123">
            <v>92001143</v>
          </cell>
          <cell r="B123" t="str">
            <v>모의전 도전자 1급 달성 보상</v>
          </cell>
        </row>
        <row r="124">
          <cell r="A124">
            <v>92001144</v>
          </cell>
          <cell r="B124" t="str">
            <v>모의전 전설 달성 보상</v>
          </cell>
        </row>
        <row r="125">
          <cell r="A125">
            <v>92002001</v>
          </cell>
          <cell r="B125" t="str">
            <v>시장 급여</v>
          </cell>
        </row>
        <row r="126">
          <cell r="A126">
            <v>92002002</v>
          </cell>
          <cell r="B126" t="str">
            <v>투자 배당금</v>
          </cell>
        </row>
        <row r="127">
          <cell r="A127">
            <v>92003001</v>
          </cell>
          <cell r="B127" t="str">
            <v>상회 가입 안내</v>
          </cell>
        </row>
        <row r="128">
          <cell r="A128">
            <v>92003002</v>
          </cell>
          <cell r="B128" t="str">
            <v>상회 추방 안내</v>
          </cell>
        </row>
        <row r="129">
          <cell r="A129">
            <v>92003003</v>
          </cell>
          <cell r="B129" t="str">
            <v>상회장 위임 안내</v>
          </cell>
        </row>
        <row r="130">
          <cell r="A130">
            <v>92004000</v>
          </cell>
          <cell r="B130" t="str">
            <v>토벌 성공 보상</v>
          </cell>
        </row>
        <row r="131">
          <cell r="A131">
            <v>92004001</v>
          </cell>
          <cell r="B131" t="str">
            <v>토벌 실패 보상</v>
          </cell>
        </row>
        <row r="132">
          <cell r="A132">
            <v>92005001</v>
          </cell>
          <cell r="B132" t="str">
            <v>상점 구매 선박 최대 시</v>
          </cell>
        </row>
        <row r="133">
          <cell r="A133">
            <v>92005002</v>
          </cell>
          <cell r="B133" t="str">
            <v>상점 구매 장비 최대 시</v>
          </cell>
        </row>
        <row r="134">
          <cell r="A134">
            <v>92005003</v>
          </cell>
          <cell r="B134" t="str">
            <v>거래소 최대 시</v>
          </cell>
        </row>
        <row r="135">
          <cell r="A135">
            <v>92005004</v>
          </cell>
          <cell r="B135" t="str">
            <v>일반 보상 최대 시</v>
          </cell>
        </row>
        <row r="136">
          <cell r="A136">
            <v>92005005</v>
          </cell>
          <cell r="B136" t="str">
            <v>7일 내 소멸 마일리지 안내</v>
          </cell>
        </row>
        <row r="137">
          <cell r="A137">
            <v>92005006</v>
          </cell>
          <cell r="B137" t="str">
            <v>1일 내 소멸 마일리지 안내</v>
          </cell>
        </row>
        <row r="138">
          <cell r="A138">
            <v>92006000</v>
          </cell>
          <cell r="B138" t="str">
            <v>장비 발견 장비함 최대 시</v>
          </cell>
        </row>
        <row r="139">
          <cell r="A139">
            <v>92900001</v>
          </cell>
          <cell r="B139" t="str">
            <v>#권역 점유 보상</v>
          </cell>
        </row>
        <row r="140">
          <cell r="A140">
            <v>92100001</v>
          </cell>
          <cell r="B140" t="str">
            <v>#7일 출석 보상</v>
          </cell>
        </row>
        <row r="141">
          <cell r="A141">
            <v>92100002</v>
          </cell>
          <cell r="B141" t="str">
            <v>#14일 출석 보상</v>
          </cell>
        </row>
        <row r="142">
          <cell r="A142">
            <v>92100003</v>
          </cell>
          <cell r="B142" t="str">
            <v>#31일 출석 보상</v>
          </cell>
        </row>
        <row r="143">
          <cell r="A143">
            <v>92100004</v>
          </cell>
          <cell r="B143" t="str">
            <v>#오픈 기념 출석 보상</v>
          </cell>
        </row>
        <row r="144">
          <cell r="A144">
            <v>92100005</v>
          </cell>
          <cell r="B144" t="str">
            <v>#신규 출석 보상</v>
          </cell>
        </row>
        <row r="145">
          <cell r="A145">
            <v>92100006</v>
          </cell>
          <cell r="B145" t="str">
            <v>#복귀 출석 보상</v>
          </cell>
        </row>
        <row r="146">
          <cell r="A146">
            <v>92100007</v>
          </cell>
          <cell r="B146" t="str">
            <v>임무 보상</v>
          </cell>
        </row>
        <row r="147">
          <cell r="A147">
            <v>92100100</v>
          </cell>
          <cell r="B147" t="str">
            <v>핫타임 우편</v>
          </cell>
        </row>
        <row r="148">
          <cell r="A148">
            <v>92100200</v>
          </cell>
          <cell r="B148" t="str">
            <v>CBT 참가 감사 쿠폰</v>
          </cell>
        </row>
        <row r="149">
          <cell r="A149">
            <v>92100201</v>
          </cell>
          <cell r="B149" t="str">
            <v>FLOOR 사전 등록 쿠폰</v>
          </cell>
        </row>
        <row r="150">
          <cell r="A150">
            <v>92100202</v>
          </cell>
          <cell r="B150" t="str">
            <v>VIP 쿠폰</v>
          </cell>
        </row>
        <row r="151">
          <cell r="A151">
            <v>92100203</v>
          </cell>
          <cell r="B151" t="str">
            <v>홈페이지 사전 등록 보상</v>
          </cell>
        </row>
        <row r="152">
          <cell r="A152">
            <v>92100204</v>
          </cell>
          <cell r="B152" t="str">
            <v>구글 플레이 사전 등록 보상</v>
          </cell>
        </row>
        <row r="153">
          <cell r="A153">
            <v>92100205</v>
          </cell>
          <cell r="B153" t="str">
            <v>홈페이지 WWF 누적 포인트 보상</v>
          </cell>
        </row>
        <row r="154">
          <cell r="A154">
            <v>92100206</v>
          </cell>
          <cell r="B154" t="str">
            <v>온라인 간담회 감사 쿠폰</v>
          </cell>
        </row>
        <row r="155">
          <cell r="A155">
            <v>92100207</v>
          </cell>
          <cell r="B155" t="str">
            <v>동영상 쿠폰1</v>
          </cell>
        </row>
        <row r="156">
          <cell r="A156">
            <v>92100208</v>
          </cell>
          <cell r="B156" t="str">
            <v>동영상 쿠폰_221026</v>
          </cell>
        </row>
        <row r="157">
          <cell r="A157">
            <v>92100209</v>
          </cell>
          <cell r="B157" t="str">
            <v>할로윈 쿠폰</v>
          </cell>
        </row>
        <row r="158">
          <cell r="A158">
            <v>92120000</v>
          </cell>
          <cell r="B158" t="str">
            <v>test_면세증 우편</v>
          </cell>
        </row>
        <row r="159">
          <cell r="A159">
            <v>92990000</v>
          </cell>
          <cell r="B159" t="str">
            <v>QA_재화 기본</v>
          </cell>
        </row>
        <row r="160">
          <cell r="A160">
            <v>92990001</v>
          </cell>
          <cell r="B160" t="str">
            <v>QA_승급 재료</v>
          </cell>
        </row>
        <row r="161">
          <cell r="A161">
            <v>92990002</v>
          </cell>
          <cell r="B161" t="str">
            <v>QA_초소형, 소형 선박 강화재료1</v>
          </cell>
        </row>
        <row r="162">
          <cell r="A162">
            <v>92990003</v>
          </cell>
          <cell r="B162" t="str">
            <v>QA_초소형, 소형 선박 강화재료2</v>
          </cell>
        </row>
        <row r="163">
          <cell r="A163">
            <v>92990004</v>
          </cell>
          <cell r="B163" t="str">
            <v>QA_중형 선박 강화 재료1</v>
          </cell>
        </row>
        <row r="164">
          <cell r="A164">
            <v>92990005</v>
          </cell>
          <cell r="B164" t="str">
            <v>QA_중형 선박 강화 재료2</v>
          </cell>
        </row>
        <row r="165">
          <cell r="A165">
            <v>92990006</v>
          </cell>
          <cell r="B165" t="str">
            <v>QA_대형 선박 강화 재료1</v>
          </cell>
        </row>
        <row r="166">
          <cell r="A166">
            <v>92990007</v>
          </cell>
          <cell r="B166" t="str">
            <v>QA_대형 선박 강화 재료2</v>
          </cell>
        </row>
        <row r="167">
          <cell r="A167">
            <v>92990008</v>
          </cell>
          <cell r="B167" t="str">
            <v>QA_대형 선박 강화 재료3</v>
          </cell>
        </row>
        <row r="168">
          <cell r="A168">
            <v>92990009</v>
          </cell>
          <cell r="B168" t="str">
            <v>QA_초대형 선박 강화 재료1</v>
          </cell>
        </row>
        <row r="169">
          <cell r="A169">
            <v>92990010</v>
          </cell>
          <cell r="B169" t="str">
            <v>QA_초대형 선박 강화 재료2</v>
          </cell>
        </row>
        <row r="170">
          <cell r="A170">
            <v>92990011</v>
          </cell>
          <cell r="B170" t="str">
            <v>QA_CBT_선박 강화재료1</v>
          </cell>
        </row>
        <row r="171">
          <cell r="A171">
            <v>92990012</v>
          </cell>
          <cell r="B171" t="str">
            <v>QA_CBT_선박 강화재료2</v>
          </cell>
        </row>
        <row r="172">
          <cell r="A172">
            <v>92990013</v>
          </cell>
          <cell r="B172" t="str">
            <v>QA_CBT_선박 강화재료3</v>
          </cell>
        </row>
        <row r="173">
          <cell r="A173">
            <v>92990014</v>
          </cell>
          <cell r="B173" t="str">
            <v>test_레드젬 우편</v>
          </cell>
        </row>
        <row r="174">
          <cell r="A174">
            <v>92999000</v>
          </cell>
          <cell r="B174" t="str">
            <v>운영 우편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>
        <row r="1">
          <cell r="A1" t="str">
            <v>enumKey</v>
          </cell>
          <cell r="B1" t="str">
            <v>enumName</v>
          </cell>
          <cell r="C1" t="str">
            <v>enumList</v>
          </cell>
          <cell r="D1" t="str">
            <v>enumValue</v>
          </cell>
        </row>
        <row r="2">
          <cell r="A2" t="str">
            <v>pointTypepoint</v>
          </cell>
          <cell r="B2" t="str">
            <v>pointType</v>
          </cell>
          <cell r="C2" t="str">
            <v>point</v>
          </cell>
          <cell r="D2">
            <v>0</v>
          </cell>
        </row>
        <row r="3">
          <cell r="A3" t="str">
            <v>pointTypecash</v>
          </cell>
          <cell r="B3" t="str">
            <v>pointType</v>
          </cell>
          <cell r="C3" t="str">
            <v>cash</v>
          </cell>
          <cell r="D3">
            <v>1</v>
          </cell>
        </row>
        <row r="4">
          <cell r="A4" t="str">
            <v>pointTypeenergy</v>
          </cell>
          <cell r="B4" t="str">
            <v>pointType</v>
          </cell>
          <cell r="C4" t="str">
            <v>energy</v>
          </cell>
          <cell r="D4">
            <v>2</v>
          </cell>
        </row>
        <row r="5">
          <cell r="A5" t="str">
            <v>pointTypeunusable</v>
          </cell>
          <cell r="B5" t="str">
            <v>pointType</v>
          </cell>
          <cell r="C5" t="str">
            <v>unusable</v>
          </cell>
          <cell r="D5">
            <v>3</v>
          </cell>
        </row>
        <row r="6">
          <cell r="A6" t="str">
            <v>charType항해사</v>
          </cell>
          <cell r="B6" t="str">
            <v>charType</v>
          </cell>
          <cell r="C6" t="str">
            <v>항해사</v>
          </cell>
          <cell r="D6">
            <v>0</v>
          </cell>
        </row>
        <row r="7">
          <cell r="A7" t="str">
            <v>charType제독</v>
          </cell>
          <cell r="B7" t="str">
            <v>charType</v>
          </cell>
          <cell r="C7" t="str">
            <v>제독</v>
          </cell>
          <cell r="D7">
            <v>1</v>
          </cell>
        </row>
        <row r="8">
          <cell r="A8" t="str">
            <v>charTypeNPC</v>
          </cell>
          <cell r="B8" t="str">
            <v>charType</v>
          </cell>
          <cell r="C8" t="str">
            <v>NPC</v>
          </cell>
          <cell r="D8">
            <v>2</v>
          </cell>
        </row>
        <row r="9">
          <cell r="A9" t="str">
            <v>charType특수 항해사</v>
          </cell>
          <cell r="B9" t="str">
            <v>charType</v>
          </cell>
          <cell r="C9" t="str">
            <v>특수 항해사</v>
          </cell>
          <cell r="D9">
            <v>3</v>
          </cell>
        </row>
        <row r="10">
          <cell r="A10" t="str">
            <v>genderType남성</v>
          </cell>
          <cell r="B10" t="str">
            <v>genderType</v>
          </cell>
          <cell r="C10" t="str">
            <v>남성</v>
          </cell>
          <cell r="D10">
            <v>0</v>
          </cell>
        </row>
        <row r="11">
          <cell r="A11" t="str">
            <v>genderType여성</v>
          </cell>
          <cell r="B11" t="str">
            <v>genderType</v>
          </cell>
          <cell r="C11" t="str">
            <v>여성</v>
          </cell>
          <cell r="D11">
            <v>1</v>
          </cell>
        </row>
        <row r="12">
          <cell r="A12" t="str">
            <v>CEquipType무기</v>
          </cell>
          <cell r="B12" t="str">
            <v>CEquipType</v>
          </cell>
          <cell r="C12" t="str">
            <v>무기</v>
          </cell>
          <cell r="D12">
            <v>0</v>
          </cell>
        </row>
        <row r="13">
          <cell r="A13" t="str">
            <v>CEquipType몸</v>
          </cell>
          <cell r="B13" t="str">
            <v>CEquipType</v>
          </cell>
          <cell r="C13" t="str">
            <v>몸</v>
          </cell>
          <cell r="D13">
            <v>1</v>
          </cell>
        </row>
        <row r="14">
          <cell r="A14" t="str">
            <v>CEquipType머리</v>
          </cell>
          <cell r="B14" t="str">
            <v>CEquipType</v>
          </cell>
          <cell r="C14" t="str">
            <v>머리</v>
          </cell>
          <cell r="D14">
            <v>2</v>
          </cell>
        </row>
        <row r="15">
          <cell r="A15" t="str">
            <v>CEquipType망토</v>
          </cell>
          <cell r="B15" t="str">
            <v>CEquipType</v>
          </cell>
          <cell r="C15" t="str">
            <v>망토</v>
          </cell>
          <cell r="D15">
            <v>3</v>
          </cell>
        </row>
        <row r="16">
          <cell r="A16" t="str">
            <v>CEquipType장신구</v>
          </cell>
          <cell r="B16" t="str">
            <v>CEquipType</v>
          </cell>
          <cell r="C16" t="str">
            <v>장신구</v>
          </cell>
          <cell r="D16">
            <v>4</v>
          </cell>
        </row>
        <row r="17">
          <cell r="A17" t="str">
            <v>CEquipType얼굴장식</v>
          </cell>
          <cell r="B17" t="str">
            <v>CEquipType</v>
          </cell>
          <cell r="C17" t="str">
            <v>얼굴장식</v>
          </cell>
          <cell r="D17">
            <v>5</v>
          </cell>
        </row>
        <row r="18">
          <cell r="A18" t="str">
            <v>CEquipGender남성용</v>
          </cell>
          <cell r="B18" t="str">
            <v>CEquipGender</v>
          </cell>
          <cell r="C18" t="str">
            <v>남성용</v>
          </cell>
          <cell r="D18">
            <v>0</v>
          </cell>
        </row>
        <row r="19">
          <cell r="A19" t="str">
            <v>CEquipGender여성용</v>
          </cell>
          <cell r="B19" t="str">
            <v>CEquipGender</v>
          </cell>
          <cell r="C19" t="str">
            <v>여성용</v>
          </cell>
          <cell r="D19">
            <v>1</v>
          </cell>
        </row>
        <row r="20">
          <cell r="A20" t="str">
            <v>CEquipGender공용</v>
          </cell>
          <cell r="B20" t="str">
            <v>CEquipGender</v>
          </cell>
          <cell r="C20" t="str">
            <v>공용</v>
          </cell>
          <cell r="D20">
            <v>2</v>
          </cell>
        </row>
        <row r="21">
          <cell r="A21" t="str">
            <v>CEquipGrade없음</v>
          </cell>
          <cell r="B21" t="str">
            <v>CEquipGrade</v>
          </cell>
          <cell r="C21" t="str">
            <v>없음</v>
          </cell>
          <cell r="D21">
            <v>0</v>
          </cell>
        </row>
        <row r="22">
          <cell r="A22" t="str">
            <v>CEquipGradeD</v>
          </cell>
          <cell r="B22" t="str">
            <v>CEquipGrade</v>
          </cell>
          <cell r="C22" t="str">
            <v>D</v>
          </cell>
          <cell r="D22">
            <v>1</v>
          </cell>
        </row>
        <row r="23">
          <cell r="A23" t="str">
            <v>CEquipGradeC</v>
          </cell>
          <cell r="B23" t="str">
            <v>CEquipGrade</v>
          </cell>
          <cell r="C23" t="str">
            <v>C</v>
          </cell>
          <cell r="D23">
            <v>2</v>
          </cell>
        </row>
        <row r="24">
          <cell r="A24" t="str">
            <v>CEquipGradeB</v>
          </cell>
          <cell r="B24" t="str">
            <v>CEquipGrade</v>
          </cell>
          <cell r="C24" t="str">
            <v>B</v>
          </cell>
          <cell r="D24">
            <v>3</v>
          </cell>
        </row>
        <row r="25">
          <cell r="A25" t="str">
            <v>CEquipGradeA</v>
          </cell>
          <cell r="B25" t="str">
            <v>CEquipGrade</v>
          </cell>
          <cell r="C25" t="str">
            <v>A</v>
          </cell>
          <cell r="D25">
            <v>4</v>
          </cell>
        </row>
        <row r="26">
          <cell r="A26" t="str">
            <v>CEquipGradeS</v>
          </cell>
          <cell r="B26" t="str">
            <v>CEquipGrade</v>
          </cell>
          <cell r="C26" t="str">
            <v>S</v>
          </cell>
          <cell r="D26">
            <v>5</v>
          </cell>
        </row>
        <row r="27">
          <cell r="A27" t="str">
            <v>CEquipGradeSS</v>
          </cell>
          <cell r="B27" t="str">
            <v>CEquipGrade</v>
          </cell>
          <cell r="C27" t="str">
            <v>SS</v>
          </cell>
          <cell r="D27">
            <v>6</v>
          </cell>
        </row>
        <row r="28">
          <cell r="A28" t="str">
            <v>CEquipGradeSSS</v>
          </cell>
          <cell r="B28" t="str">
            <v>CEquipGrade</v>
          </cell>
          <cell r="C28" t="str">
            <v>SSS</v>
          </cell>
          <cell r="D28">
            <v>7</v>
          </cell>
        </row>
        <row r="29">
          <cell r="A29" t="str">
            <v>CEquipGradeEvent</v>
          </cell>
          <cell r="B29" t="str">
            <v>CEquipGrade</v>
          </cell>
          <cell r="C29" t="str">
            <v>Event</v>
          </cell>
          <cell r="D29">
            <v>8</v>
          </cell>
        </row>
        <row r="30">
          <cell r="A30" t="str">
            <v>effectType언어 LV 표시</v>
          </cell>
          <cell r="B30" t="str">
            <v>effectType</v>
          </cell>
          <cell r="C30" t="str">
            <v>언어 LV 표시</v>
          </cell>
          <cell r="D30">
            <v>0</v>
          </cell>
        </row>
        <row r="31">
          <cell r="A31" t="str">
            <v>effectType은행 예금/출금 가능 여부</v>
          </cell>
          <cell r="B31" t="str">
            <v>effectType</v>
          </cell>
          <cell r="C31" t="str">
            <v>은행 예금/출금 가능 여부</v>
          </cell>
          <cell r="D31">
            <v>1</v>
          </cell>
        </row>
        <row r="32">
          <cell r="A32" t="str">
            <v>effectType은행 적금 가능 여부</v>
          </cell>
          <cell r="B32" t="str">
            <v>effectType</v>
          </cell>
          <cell r="C32" t="str">
            <v>은행 적금 가능 여부</v>
          </cell>
          <cell r="D32">
            <v>2</v>
          </cell>
        </row>
        <row r="33">
          <cell r="A33" t="str">
            <v>effectType은행 보험 가능 여부</v>
          </cell>
          <cell r="B33" t="str">
            <v>effectType</v>
          </cell>
          <cell r="C33" t="str">
            <v>은행 보험 가능 여부</v>
          </cell>
          <cell r="D33">
            <v>3</v>
          </cell>
        </row>
        <row r="34">
          <cell r="A34" t="str">
            <v>effectType은행 수수료 보정값 변경</v>
          </cell>
          <cell r="B34" t="str">
            <v>effectType</v>
          </cell>
          <cell r="C34" t="str">
            <v>은행 수수료 보정값 변경</v>
          </cell>
          <cell r="D34">
            <v>4</v>
          </cell>
        </row>
        <row r="35">
          <cell r="A35" t="str">
            <v>buildingType없음</v>
          </cell>
          <cell r="B35" t="str">
            <v>buildingType</v>
          </cell>
          <cell r="C35" t="str">
            <v>없음</v>
          </cell>
          <cell r="D35">
            <v>0</v>
          </cell>
        </row>
        <row r="36">
          <cell r="A36" t="str">
            <v>buildingType왕궁</v>
          </cell>
          <cell r="B36" t="str">
            <v>buildingType</v>
          </cell>
          <cell r="C36" t="str">
            <v>왕궁</v>
          </cell>
          <cell r="D36">
            <v>1</v>
          </cell>
        </row>
        <row r="37">
          <cell r="A37" t="str">
            <v>buildingType공관</v>
          </cell>
          <cell r="B37" t="str">
            <v>buildingType</v>
          </cell>
          <cell r="C37" t="str">
            <v>공관</v>
          </cell>
          <cell r="D37">
            <v>2</v>
          </cell>
        </row>
        <row r="38">
          <cell r="A38" t="str">
            <v>buildingType조합</v>
          </cell>
          <cell r="B38" t="str">
            <v>buildingType</v>
          </cell>
          <cell r="C38" t="str">
            <v>조합</v>
          </cell>
          <cell r="D38">
            <v>3</v>
          </cell>
        </row>
        <row r="39">
          <cell r="A39" t="str">
            <v>buildingType여관</v>
          </cell>
          <cell r="B39" t="str">
            <v>buildingType</v>
          </cell>
          <cell r="C39" t="str">
            <v>여관</v>
          </cell>
          <cell r="D39">
            <v>4</v>
          </cell>
        </row>
        <row r="40">
          <cell r="A40" t="str">
            <v>buildingType도구점</v>
          </cell>
          <cell r="B40" t="str">
            <v>buildingType</v>
          </cell>
          <cell r="C40" t="str">
            <v>도구점</v>
          </cell>
          <cell r="D40">
            <v>5</v>
          </cell>
        </row>
        <row r="41">
          <cell r="A41" t="str">
            <v>buildingType저택</v>
          </cell>
          <cell r="B41" t="str">
            <v>buildingType</v>
          </cell>
          <cell r="C41" t="str">
            <v>저택</v>
          </cell>
          <cell r="D41">
            <v>6</v>
          </cell>
        </row>
        <row r="42">
          <cell r="A42" t="str">
            <v>buildingType종교</v>
          </cell>
          <cell r="B42" t="str">
            <v>buildingType</v>
          </cell>
          <cell r="C42" t="str">
            <v>종교</v>
          </cell>
          <cell r="D42">
            <v>7</v>
          </cell>
        </row>
        <row r="43">
          <cell r="A43" t="str">
            <v>buildingType콜렉터</v>
          </cell>
          <cell r="B43" t="str">
            <v>buildingType</v>
          </cell>
          <cell r="C43" t="str">
            <v>콜렉터</v>
          </cell>
          <cell r="D43">
            <v>8</v>
          </cell>
        </row>
        <row r="44">
          <cell r="A44" t="str">
            <v>buildingType은행</v>
          </cell>
          <cell r="B44" t="str">
            <v>buildingType</v>
          </cell>
          <cell r="C44" t="str">
            <v>은행</v>
          </cell>
          <cell r="D44">
            <v>9</v>
          </cell>
        </row>
        <row r="45">
          <cell r="A45" t="str">
            <v>buildingType교역소</v>
          </cell>
          <cell r="B45" t="str">
            <v>buildingType</v>
          </cell>
          <cell r="C45" t="str">
            <v>교역소</v>
          </cell>
          <cell r="D45">
            <v>10</v>
          </cell>
        </row>
        <row r="46">
          <cell r="A46" t="str">
            <v>buildingType조선소</v>
          </cell>
          <cell r="B46" t="str">
            <v>buildingType</v>
          </cell>
          <cell r="C46" t="str">
            <v>조선소</v>
          </cell>
          <cell r="D46">
            <v>11</v>
          </cell>
        </row>
        <row r="47">
          <cell r="A47" t="str">
            <v>buildingType출항소</v>
          </cell>
          <cell r="B47" t="str">
            <v>buildingType</v>
          </cell>
          <cell r="C47" t="str">
            <v>출항소</v>
          </cell>
          <cell r="D47">
            <v>12</v>
          </cell>
        </row>
        <row r="48">
          <cell r="A48" t="str">
            <v>buildingType점술관</v>
          </cell>
          <cell r="B48" t="str">
            <v>buildingType</v>
          </cell>
          <cell r="C48" t="str">
            <v>점술관</v>
          </cell>
          <cell r="D48">
            <v>13</v>
          </cell>
        </row>
        <row r="49">
          <cell r="A49" t="str">
            <v>buildingType출국관리소</v>
          </cell>
          <cell r="B49" t="str">
            <v>buildingType</v>
          </cell>
          <cell r="C49" t="str">
            <v>출국관리소</v>
          </cell>
          <cell r="D49">
            <v>14</v>
          </cell>
        </row>
        <row r="50">
          <cell r="A50" t="str">
            <v>buildingType프랍_공업</v>
          </cell>
          <cell r="B50" t="str">
            <v>buildingType</v>
          </cell>
          <cell r="C50" t="str">
            <v>프랍_공업</v>
          </cell>
          <cell r="D50">
            <v>51</v>
          </cell>
        </row>
        <row r="51">
          <cell r="A51" t="str">
            <v>buildingType프랍_상업</v>
          </cell>
          <cell r="B51" t="str">
            <v>buildingType</v>
          </cell>
          <cell r="C51" t="str">
            <v>프랍_상업</v>
          </cell>
          <cell r="D51">
            <v>52</v>
          </cell>
        </row>
        <row r="52">
          <cell r="A52" t="str">
            <v>buildingType프랍_군사</v>
          </cell>
          <cell r="B52" t="str">
            <v>buildingType</v>
          </cell>
          <cell r="C52" t="str">
            <v>프랍_군사</v>
          </cell>
          <cell r="D52">
            <v>53</v>
          </cell>
        </row>
        <row r="53">
          <cell r="A53" t="str">
            <v>buildingType프랍_일반</v>
          </cell>
          <cell r="B53" t="str">
            <v>buildingType</v>
          </cell>
          <cell r="C53" t="str">
            <v>프랍_일반</v>
          </cell>
          <cell r="D53">
            <v>54</v>
          </cell>
        </row>
        <row r="54">
          <cell r="A54" t="str">
            <v>iconFrame긍정</v>
          </cell>
          <cell r="B54" t="str">
            <v>iconFrame</v>
          </cell>
          <cell r="C54" t="str">
            <v>긍정</v>
          </cell>
          <cell r="D54">
            <v>0</v>
          </cell>
        </row>
        <row r="55">
          <cell r="A55" t="str">
            <v>iconFrame부정</v>
          </cell>
          <cell r="B55" t="str">
            <v>iconFrame</v>
          </cell>
          <cell r="C55" t="str">
            <v>부정</v>
          </cell>
          <cell r="D55">
            <v>1</v>
          </cell>
        </row>
        <row r="56">
          <cell r="A56" t="str">
            <v>languageGroup이탈릭어파</v>
          </cell>
          <cell r="B56" t="str">
            <v>languageGroup</v>
          </cell>
          <cell r="C56" t="str">
            <v>이탈릭어파</v>
          </cell>
          <cell r="D56">
            <v>0</v>
          </cell>
        </row>
        <row r="57">
          <cell r="A57" t="str">
            <v>languageGroup게르만어파</v>
          </cell>
          <cell r="B57" t="str">
            <v>languageGroup</v>
          </cell>
          <cell r="C57" t="str">
            <v>게르만어파</v>
          </cell>
          <cell r="D57">
            <v>1</v>
          </cell>
        </row>
        <row r="58">
          <cell r="A58" t="str">
            <v>languageGroup투르크어족</v>
          </cell>
          <cell r="B58" t="str">
            <v>languageGroup</v>
          </cell>
          <cell r="C58" t="str">
            <v>투르크어족</v>
          </cell>
          <cell r="D58">
            <v>2</v>
          </cell>
        </row>
        <row r="59">
          <cell r="A59" t="str">
            <v>languageGroup슬라브어파</v>
          </cell>
          <cell r="B59" t="str">
            <v>languageGroup</v>
          </cell>
          <cell r="C59" t="str">
            <v>슬라브어파</v>
          </cell>
          <cell r="D59">
            <v>3</v>
          </cell>
        </row>
        <row r="60">
          <cell r="A60" t="str">
            <v>languageGroup아프리카아시아어족</v>
          </cell>
          <cell r="B60" t="str">
            <v>languageGroup</v>
          </cell>
          <cell r="C60" t="str">
            <v>아프리카아시아어족</v>
          </cell>
          <cell r="D60">
            <v>4</v>
          </cell>
        </row>
        <row r="61">
          <cell r="A61" t="str">
            <v>languageGroup인도이란어파</v>
          </cell>
          <cell r="B61" t="str">
            <v>languageGroup</v>
          </cell>
          <cell r="C61" t="str">
            <v>인도이란어파</v>
          </cell>
          <cell r="D61">
            <v>5</v>
          </cell>
        </row>
        <row r="62">
          <cell r="A62" t="str">
            <v>languageGroup아메리카인디언제어</v>
          </cell>
          <cell r="B62" t="str">
            <v>languageGroup</v>
          </cell>
          <cell r="C62" t="str">
            <v>아메리카인디언제어</v>
          </cell>
          <cell r="D62">
            <v>6</v>
          </cell>
        </row>
        <row r="63">
          <cell r="A63" t="str">
            <v>languageGroup오스트로아시아어족</v>
          </cell>
          <cell r="B63" t="str">
            <v>languageGroup</v>
          </cell>
          <cell r="C63" t="str">
            <v>오스트로아시아어족</v>
          </cell>
          <cell r="D63">
            <v>7</v>
          </cell>
        </row>
        <row r="64">
          <cell r="A64" t="str">
            <v>languageGroup오스트로네시아어족</v>
          </cell>
          <cell r="B64" t="str">
            <v>languageGroup</v>
          </cell>
          <cell r="C64" t="str">
            <v>오스트로네시아어족</v>
          </cell>
          <cell r="D64">
            <v>8</v>
          </cell>
        </row>
        <row r="65">
          <cell r="A65" t="str">
            <v>languageGroup한장어족</v>
          </cell>
          <cell r="B65" t="str">
            <v>languageGroup</v>
          </cell>
          <cell r="C65" t="str">
            <v>한장어족</v>
          </cell>
          <cell r="D65">
            <v>9</v>
          </cell>
        </row>
        <row r="66">
          <cell r="A66" t="str">
            <v>languageGroup일본어족</v>
          </cell>
          <cell r="B66" t="str">
            <v>languageGroup</v>
          </cell>
          <cell r="C66" t="str">
            <v>일본어족</v>
          </cell>
          <cell r="D66">
            <v>10</v>
          </cell>
        </row>
        <row r="67">
          <cell r="A67" t="str">
            <v>languageGroup조선어족</v>
          </cell>
          <cell r="B67" t="str">
            <v>languageGroup</v>
          </cell>
          <cell r="C67" t="str">
            <v>조선어족</v>
          </cell>
          <cell r="D67">
            <v>11</v>
          </cell>
        </row>
        <row r="68">
          <cell r="A68" t="str">
            <v>SelectAbleLocalNpcMate미사용</v>
          </cell>
          <cell r="B68" t="str">
            <v>SelectAbleLocalNpcMate</v>
          </cell>
          <cell r="C68" t="str">
            <v>미사용</v>
          </cell>
          <cell r="D68">
            <v>0</v>
          </cell>
        </row>
        <row r="69">
          <cell r="A69" t="str">
            <v>SelectAbleLocalNpcMate사용</v>
          </cell>
          <cell r="B69" t="str">
            <v>SelectAbleLocalNpcMate</v>
          </cell>
          <cell r="C69" t="str">
            <v>사용</v>
          </cell>
          <cell r="D69">
            <v>1</v>
          </cell>
        </row>
        <row r="70">
          <cell r="A70" t="str">
            <v>shipSize공용</v>
          </cell>
          <cell r="B70" t="str">
            <v>shipSize</v>
          </cell>
          <cell r="C70" t="str">
            <v>공용</v>
          </cell>
          <cell r="D70">
            <v>0</v>
          </cell>
        </row>
        <row r="71">
          <cell r="A71" t="str">
            <v>shipSize초소형</v>
          </cell>
          <cell r="B71" t="str">
            <v>shipSize</v>
          </cell>
          <cell r="C71" t="str">
            <v>초소형</v>
          </cell>
          <cell r="D71">
            <v>1</v>
          </cell>
        </row>
        <row r="72">
          <cell r="A72" t="str">
            <v>shipSize소형</v>
          </cell>
          <cell r="B72" t="str">
            <v>shipSize</v>
          </cell>
          <cell r="C72" t="str">
            <v>소형</v>
          </cell>
          <cell r="D72">
            <v>2</v>
          </cell>
        </row>
        <row r="73">
          <cell r="A73" t="str">
            <v>shipSize중형</v>
          </cell>
          <cell r="B73" t="str">
            <v>shipSize</v>
          </cell>
          <cell r="C73" t="str">
            <v>중형</v>
          </cell>
          <cell r="D73">
            <v>3</v>
          </cell>
        </row>
        <row r="74">
          <cell r="A74" t="str">
            <v>shipSize대형</v>
          </cell>
          <cell r="B74" t="str">
            <v>shipSize</v>
          </cell>
          <cell r="C74" t="str">
            <v>대형</v>
          </cell>
          <cell r="D74">
            <v>4</v>
          </cell>
        </row>
        <row r="75">
          <cell r="A75" t="str">
            <v>shipSize초대형</v>
          </cell>
          <cell r="B75" t="str">
            <v>shipSize</v>
          </cell>
          <cell r="C75" t="str">
            <v>초대형</v>
          </cell>
          <cell r="D75">
            <v>5</v>
          </cell>
        </row>
        <row r="76">
          <cell r="A76" t="str">
            <v>shipslotGradeD</v>
          </cell>
          <cell r="B76" t="str">
            <v>shipslotGrade</v>
          </cell>
          <cell r="C76" t="str">
            <v>D</v>
          </cell>
          <cell r="D76">
            <v>1</v>
          </cell>
        </row>
        <row r="77">
          <cell r="A77" t="str">
            <v>shipslotGradeC</v>
          </cell>
          <cell r="B77" t="str">
            <v>shipslotGrade</v>
          </cell>
          <cell r="C77" t="str">
            <v>C</v>
          </cell>
          <cell r="D77">
            <v>2</v>
          </cell>
        </row>
        <row r="78">
          <cell r="A78" t="str">
            <v>shipslotGradeB</v>
          </cell>
          <cell r="B78" t="str">
            <v>shipslotGrade</v>
          </cell>
          <cell r="C78" t="str">
            <v>B</v>
          </cell>
          <cell r="D78">
            <v>3</v>
          </cell>
        </row>
        <row r="79">
          <cell r="A79" t="str">
            <v>shipslotGradeA</v>
          </cell>
          <cell r="B79" t="str">
            <v>shipslotGrade</v>
          </cell>
          <cell r="C79" t="str">
            <v>A</v>
          </cell>
          <cell r="D79">
            <v>4</v>
          </cell>
        </row>
        <row r="80">
          <cell r="A80" t="str">
            <v>shipslotGradeS</v>
          </cell>
          <cell r="B80" t="str">
            <v>shipslotGrade</v>
          </cell>
          <cell r="C80" t="str">
            <v>S</v>
          </cell>
          <cell r="D80">
            <v>5</v>
          </cell>
        </row>
        <row r="81">
          <cell r="A81" t="str">
            <v>shipslotGradeSS</v>
          </cell>
          <cell r="B81" t="str">
            <v>shipslotGrade</v>
          </cell>
          <cell r="C81" t="str">
            <v>SS</v>
          </cell>
          <cell r="D81">
            <v>6</v>
          </cell>
        </row>
        <row r="82">
          <cell r="A82" t="str">
            <v>shipslotGradeEvent</v>
          </cell>
          <cell r="B82" t="str">
            <v>shipslotGrade</v>
          </cell>
          <cell r="C82" t="str">
            <v>Event</v>
          </cell>
          <cell r="D82">
            <v>8</v>
          </cell>
        </row>
        <row r="83">
          <cell r="A83" t="str">
            <v>weaponGradeD</v>
          </cell>
          <cell r="B83" t="str">
            <v>weaponGrade</v>
          </cell>
          <cell r="C83" t="str">
            <v>D</v>
          </cell>
          <cell r="D83">
            <v>0</v>
          </cell>
        </row>
        <row r="84">
          <cell r="A84" t="str">
            <v>weaponGradeC</v>
          </cell>
          <cell r="B84" t="str">
            <v>weaponGrade</v>
          </cell>
          <cell r="C84" t="str">
            <v>C</v>
          </cell>
          <cell r="D84">
            <v>1</v>
          </cell>
        </row>
        <row r="85">
          <cell r="A85" t="str">
            <v>weaponGradeB</v>
          </cell>
          <cell r="B85" t="str">
            <v>weaponGrade</v>
          </cell>
          <cell r="C85" t="str">
            <v>B</v>
          </cell>
          <cell r="D85">
            <v>2</v>
          </cell>
        </row>
        <row r="86">
          <cell r="A86" t="str">
            <v>weaponGradeA</v>
          </cell>
          <cell r="B86" t="str">
            <v>weaponGrade</v>
          </cell>
          <cell r="C86" t="str">
            <v>A</v>
          </cell>
          <cell r="D86">
            <v>3</v>
          </cell>
        </row>
        <row r="87">
          <cell r="A87" t="str">
            <v>weaponGradeS</v>
          </cell>
          <cell r="B87" t="str">
            <v>weaponGrade</v>
          </cell>
          <cell r="C87" t="str">
            <v>S</v>
          </cell>
          <cell r="D87">
            <v>4</v>
          </cell>
        </row>
        <row r="88">
          <cell r="A88" t="str">
            <v>hatGradeD</v>
          </cell>
          <cell r="B88" t="str">
            <v>hatGrade</v>
          </cell>
          <cell r="C88" t="str">
            <v>D</v>
          </cell>
          <cell r="D88">
            <v>0</v>
          </cell>
        </row>
        <row r="89">
          <cell r="A89" t="str">
            <v>hatGradeC</v>
          </cell>
          <cell r="B89" t="str">
            <v>hatGrade</v>
          </cell>
          <cell r="C89" t="str">
            <v>C</v>
          </cell>
          <cell r="D89">
            <v>1</v>
          </cell>
        </row>
        <row r="90">
          <cell r="A90" t="str">
            <v>hatGradeB</v>
          </cell>
          <cell r="B90" t="str">
            <v>hatGrade</v>
          </cell>
          <cell r="C90" t="str">
            <v>B</v>
          </cell>
          <cell r="D90">
            <v>2</v>
          </cell>
        </row>
        <row r="91">
          <cell r="A91" t="str">
            <v>hatGradeA</v>
          </cell>
          <cell r="B91" t="str">
            <v>hatGrade</v>
          </cell>
          <cell r="C91" t="str">
            <v>A</v>
          </cell>
          <cell r="D91">
            <v>3</v>
          </cell>
        </row>
        <row r="92">
          <cell r="A92" t="str">
            <v>hatGradeS</v>
          </cell>
          <cell r="B92" t="str">
            <v>hatGrade</v>
          </cell>
          <cell r="C92" t="str">
            <v>S</v>
          </cell>
          <cell r="D92">
            <v>4</v>
          </cell>
        </row>
        <row r="93">
          <cell r="A93" t="str">
            <v>bodyGradeD</v>
          </cell>
          <cell r="B93" t="str">
            <v>bodyGrade</v>
          </cell>
          <cell r="C93" t="str">
            <v>D</v>
          </cell>
          <cell r="D93">
            <v>0</v>
          </cell>
        </row>
        <row r="94">
          <cell r="A94" t="str">
            <v>bodyGradeC</v>
          </cell>
          <cell r="B94" t="str">
            <v>bodyGrade</v>
          </cell>
          <cell r="C94" t="str">
            <v>C</v>
          </cell>
          <cell r="D94">
            <v>1</v>
          </cell>
        </row>
        <row r="95">
          <cell r="A95" t="str">
            <v>bodyGradeB</v>
          </cell>
          <cell r="B95" t="str">
            <v>bodyGrade</v>
          </cell>
          <cell r="C95" t="str">
            <v>B</v>
          </cell>
          <cell r="D95">
            <v>2</v>
          </cell>
        </row>
        <row r="96">
          <cell r="A96" t="str">
            <v>bodyGradeA</v>
          </cell>
          <cell r="B96" t="str">
            <v>bodyGrade</v>
          </cell>
          <cell r="C96" t="str">
            <v>A</v>
          </cell>
          <cell r="D96">
            <v>3</v>
          </cell>
        </row>
        <row r="97">
          <cell r="A97" t="str">
            <v>bodyGradeS</v>
          </cell>
          <cell r="B97" t="str">
            <v>bodyGrade</v>
          </cell>
          <cell r="C97" t="str">
            <v>S</v>
          </cell>
          <cell r="D97">
            <v>4</v>
          </cell>
        </row>
        <row r="98">
          <cell r="A98" t="str">
            <v>activationTimingType타일 입장</v>
          </cell>
          <cell r="B98" t="str">
            <v>activationTimingType</v>
          </cell>
          <cell r="C98" t="str">
            <v>타일 입장</v>
          </cell>
          <cell r="D98">
            <v>0</v>
          </cell>
        </row>
        <row r="99">
          <cell r="A99" t="str">
            <v>activationTimingType페이즈 종료</v>
          </cell>
          <cell r="B99" t="str">
            <v>activationTimingType</v>
          </cell>
          <cell r="C99" t="str">
            <v>페이즈 종료</v>
          </cell>
          <cell r="D99">
            <v>1</v>
          </cell>
        </row>
        <row r="100">
          <cell r="A100" t="str">
            <v>useTypeadd</v>
          </cell>
          <cell r="B100" t="str">
            <v>useType</v>
          </cell>
          <cell r="C100" t="str">
            <v>add</v>
          </cell>
          <cell r="D100">
            <v>1</v>
          </cell>
        </row>
        <row r="101">
          <cell r="A101" t="str">
            <v>useTyperemove</v>
          </cell>
          <cell r="B101" t="str">
            <v>useType</v>
          </cell>
          <cell r="C101" t="str">
            <v>remove</v>
          </cell>
          <cell r="D101">
            <v>2</v>
          </cell>
        </row>
        <row r="102">
          <cell r="A102" t="str">
            <v>weaponType도끼</v>
          </cell>
          <cell r="B102" t="str">
            <v>weaponType</v>
          </cell>
          <cell r="C102" t="str">
            <v>도끼</v>
          </cell>
          <cell r="D102">
            <v>0</v>
          </cell>
        </row>
        <row r="103">
          <cell r="A103" t="str">
            <v>weaponType한손검(베기)</v>
          </cell>
          <cell r="B103" t="str">
            <v>weaponType</v>
          </cell>
          <cell r="C103" t="str">
            <v>한손검(베기)</v>
          </cell>
          <cell r="D103">
            <v>1</v>
          </cell>
        </row>
        <row r="104">
          <cell r="A104" t="str">
            <v>weaponType활</v>
          </cell>
          <cell r="B104" t="str">
            <v>weaponType</v>
          </cell>
          <cell r="C104" t="str">
            <v>활</v>
          </cell>
          <cell r="D104">
            <v>2</v>
          </cell>
        </row>
        <row r="105">
          <cell r="A105" t="str">
            <v>weaponType석궁</v>
          </cell>
          <cell r="B105" t="str">
            <v>weaponType</v>
          </cell>
          <cell r="C105" t="str">
            <v>석궁</v>
          </cell>
          <cell r="D105">
            <v>3</v>
          </cell>
        </row>
        <row r="106">
          <cell r="A106" t="str">
            <v>weaponType권총</v>
          </cell>
          <cell r="B106" t="str">
            <v>weaponType</v>
          </cell>
          <cell r="C106" t="str">
            <v>권총</v>
          </cell>
          <cell r="D106">
            <v>4</v>
          </cell>
        </row>
        <row r="107">
          <cell r="A107" t="str">
            <v>weaponType장총</v>
          </cell>
          <cell r="B107" t="str">
            <v>weaponType</v>
          </cell>
          <cell r="C107" t="str">
            <v>장총</v>
          </cell>
          <cell r="D107">
            <v>5</v>
          </cell>
        </row>
        <row r="108">
          <cell r="A108" t="str">
            <v>weaponType창</v>
          </cell>
          <cell r="B108" t="str">
            <v>weaponType</v>
          </cell>
          <cell r="C108" t="str">
            <v>창</v>
          </cell>
          <cell r="D108">
            <v>6</v>
          </cell>
        </row>
        <row r="109">
          <cell r="A109" t="str">
            <v>weaponType한손검(찌르기)</v>
          </cell>
          <cell r="B109" t="str">
            <v>weaponType</v>
          </cell>
          <cell r="C109" t="str">
            <v>한손검(찌르기)</v>
          </cell>
          <cell r="D109">
            <v>7</v>
          </cell>
        </row>
        <row r="110">
          <cell r="A110" t="str">
            <v>weaponType양손검</v>
          </cell>
          <cell r="B110" t="str">
            <v>weaponType</v>
          </cell>
          <cell r="C110" t="str">
            <v>양손검</v>
          </cell>
          <cell r="D110">
            <v>8</v>
          </cell>
        </row>
        <row r="111">
          <cell r="A111" t="str">
            <v>weaponType쌍검</v>
          </cell>
          <cell r="B111" t="str">
            <v>weaponType</v>
          </cell>
          <cell r="C111" t="str">
            <v>쌍검</v>
          </cell>
          <cell r="D111">
            <v>9</v>
          </cell>
        </row>
        <row r="112">
          <cell r="A112" t="str">
            <v>weaponType도구</v>
          </cell>
          <cell r="B112" t="str">
            <v>weaponType</v>
          </cell>
          <cell r="C112" t="str">
            <v>도구</v>
          </cell>
          <cell r="D112">
            <v>10</v>
          </cell>
        </row>
        <row r="113">
          <cell r="A113" t="str">
            <v>armorType천갑옷</v>
          </cell>
          <cell r="B113" t="str">
            <v>armorType</v>
          </cell>
          <cell r="C113" t="str">
            <v>천갑옷</v>
          </cell>
          <cell r="D113">
            <v>0</v>
          </cell>
        </row>
        <row r="114">
          <cell r="A114" t="str">
            <v>armorType경갑</v>
          </cell>
          <cell r="B114" t="str">
            <v>armorType</v>
          </cell>
          <cell r="C114" t="str">
            <v>경갑</v>
          </cell>
          <cell r="D114">
            <v>1</v>
          </cell>
        </row>
        <row r="115">
          <cell r="A115" t="str">
            <v>armorType중갑</v>
          </cell>
          <cell r="B115" t="str">
            <v>armorType</v>
          </cell>
          <cell r="C115" t="str">
            <v>중갑</v>
          </cell>
          <cell r="D115">
            <v>2</v>
          </cell>
        </row>
        <row r="116">
          <cell r="A116" t="str">
            <v>slotType배치 가능 선실</v>
          </cell>
          <cell r="B116" t="str">
            <v>slotType</v>
          </cell>
          <cell r="C116" t="str">
            <v>배치 가능 선실</v>
          </cell>
          <cell r="D116">
            <v>1</v>
          </cell>
        </row>
        <row r="117">
          <cell r="A117" t="str">
            <v>slotType배치 불가 선실</v>
          </cell>
          <cell r="B117" t="str">
            <v>slotType</v>
          </cell>
          <cell r="C117" t="str">
            <v>배치 불가 선실</v>
          </cell>
          <cell r="D117">
            <v>2</v>
          </cell>
        </row>
        <row r="118">
          <cell r="A118" t="str">
            <v>slotType선수상</v>
          </cell>
          <cell r="B118" t="str">
            <v>slotType</v>
          </cell>
          <cell r="C118" t="str">
            <v>선수상</v>
          </cell>
          <cell r="D118">
            <v>3</v>
          </cell>
        </row>
        <row r="119">
          <cell r="A119" t="str">
            <v>slotType돛</v>
          </cell>
          <cell r="B119" t="str">
            <v>slotType</v>
          </cell>
          <cell r="C119" t="str">
            <v>돛</v>
          </cell>
          <cell r="D119">
            <v>4</v>
          </cell>
        </row>
        <row r="120">
          <cell r="A120" t="str">
            <v>slotType충각</v>
          </cell>
          <cell r="B120" t="str">
            <v>slotType</v>
          </cell>
          <cell r="C120" t="str">
            <v>충각</v>
          </cell>
          <cell r="D120">
            <v>5</v>
          </cell>
        </row>
        <row r="121">
          <cell r="A121" t="str">
            <v>slotType특수</v>
          </cell>
          <cell r="B121" t="str">
            <v>slotType</v>
          </cell>
          <cell r="C121" t="str">
            <v>특수</v>
          </cell>
          <cell r="D121">
            <v>6</v>
          </cell>
        </row>
        <row r="122">
          <cell r="A122" t="str">
            <v>slotType포</v>
          </cell>
          <cell r="B122" t="str">
            <v>slotType</v>
          </cell>
          <cell r="C122" t="str">
            <v>포</v>
          </cell>
          <cell r="D122">
            <v>7</v>
          </cell>
        </row>
        <row r="123">
          <cell r="A123" t="str">
            <v>slotType장갑</v>
          </cell>
          <cell r="B123" t="str">
            <v>slotType</v>
          </cell>
          <cell r="C123" t="str">
            <v>장갑</v>
          </cell>
          <cell r="D123">
            <v>8</v>
          </cell>
        </row>
        <row r="124">
          <cell r="A124" t="str">
            <v>slotType닻</v>
          </cell>
          <cell r="B124" t="str">
            <v>slotType</v>
          </cell>
          <cell r="C124" t="str">
            <v>닻</v>
          </cell>
          <cell r="D124">
            <v>9</v>
          </cell>
        </row>
        <row r="125">
          <cell r="A125" t="str">
            <v>slotType종업원 선실</v>
          </cell>
          <cell r="B125" t="str">
            <v>slotType</v>
          </cell>
          <cell r="C125" t="str">
            <v>종업원 선실</v>
          </cell>
          <cell r="D125">
            <v>10</v>
          </cell>
        </row>
        <row r="126">
          <cell r="A126" t="str">
            <v>slotType이벤트 선실</v>
          </cell>
          <cell r="B126" t="str">
            <v>slotType</v>
          </cell>
          <cell r="C126" t="str">
            <v>이벤트 선실</v>
          </cell>
          <cell r="D126">
            <v>11</v>
          </cell>
        </row>
        <row r="127">
          <cell r="A127" t="str">
            <v>actionType일반</v>
          </cell>
          <cell r="B127" t="str">
            <v>actionType</v>
          </cell>
          <cell r="C127" t="str">
            <v>일반</v>
          </cell>
          <cell r="D127">
            <v>1</v>
          </cell>
        </row>
        <row r="128">
          <cell r="A128" t="str">
            <v>actionType특수</v>
          </cell>
          <cell r="B128" t="str">
            <v>actionType</v>
          </cell>
          <cell r="C128" t="str">
            <v>특수</v>
          </cell>
          <cell r="D128">
            <v>2</v>
          </cell>
        </row>
        <row r="129">
          <cell r="A129" t="str">
            <v>specialActionTypenaviPoint 로 이동</v>
          </cell>
          <cell r="B129" t="str">
            <v>specialActionType</v>
          </cell>
          <cell r="C129" t="str">
            <v>naviPoint 로 이동</v>
          </cell>
          <cell r="D129">
            <v>1</v>
          </cell>
        </row>
        <row r="130">
          <cell r="A130" t="str">
            <v>specialActionTypeTown ID 로 입항</v>
          </cell>
          <cell r="B130" t="str">
            <v>specialActionType</v>
          </cell>
          <cell r="C130" t="str">
            <v>Town ID 로 입항</v>
          </cell>
          <cell r="D130">
            <v>2</v>
          </cell>
        </row>
        <row r="131">
          <cell r="A131" t="str">
            <v>specialActionTypeworldbuffId 랜덤 선택</v>
          </cell>
          <cell r="B131" t="str">
            <v>specialActionType</v>
          </cell>
          <cell r="C131" t="str">
            <v>worldbuffId 랜덤 선택</v>
          </cell>
          <cell r="D131">
            <v>3</v>
          </cell>
        </row>
        <row r="132">
          <cell r="A132" t="str">
            <v>townSize소항구</v>
          </cell>
          <cell r="B132" t="str">
            <v>townSize</v>
          </cell>
          <cell r="C132" t="str">
            <v>소항구</v>
          </cell>
          <cell r="D132">
            <v>1</v>
          </cell>
        </row>
        <row r="133">
          <cell r="A133" t="str">
            <v>townSize중항구</v>
          </cell>
          <cell r="B133" t="str">
            <v>townSize</v>
          </cell>
          <cell r="C133" t="str">
            <v>중항구</v>
          </cell>
          <cell r="D133">
            <v>2</v>
          </cell>
        </row>
        <row r="134">
          <cell r="A134" t="str">
            <v>townSize대항구</v>
          </cell>
          <cell r="B134" t="str">
            <v>townSize</v>
          </cell>
          <cell r="C134" t="str">
            <v>대항구</v>
          </cell>
          <cell r="D134">
            <v>3</v>
          </cell>
        </row>
        <row r="135">
          <cell r="A135" t="str">
            <v>ownType자유항</v>
          </cell>
          <cell r="B135" t="str">
            <v>ownType</v>
          </cell>
          <cell r="C135" t="str">
            <v>자유항</v>
          </cell>
          <cell r="D135">
            <v>0</v>
          </cell>
        </row>
        <row r="136">
          <cell r="A136" t="str">
            <v>ownType본거지</v>
          </cell>
          <cell r="B136" t="str">
            <v>ownType</v>
          </cell>
          <cell r="C136" t="str">
            <v>본거지</v>
          </cell>
          <cell r="D136">
            <v>1</v>
          </cell>
        </row>
        <row r="137">
          <cell r="A137" t="str">
            <v>ownType영지</v>
          </cell>
          <cell r="B137" t="str">
            <v>ownType</v>
          </cell>
          <cell r="C137" t="str">
            <v>영지</v>
          </cell>
          <cell r="D137">
            <v>2</v>
          </cell>
        </row>
        <row r="138">
          <cell r="A138" t="str">
            <v>statType없음</v>
          </cell>
          <cell r="B138" t="str">
            <v>statType</v>
          </cell>
          <cell r="C138" t="str">
            <v>없음</v>
          </cell>
          <cell r="D138">
            <v>0</v>
          </cell>
        </row>
        <row r="139">
          <cell r="A139" t="str">
            <v>statType최소 선원수</v>
          </cell>
          <cell r="B139" t="str">
            <v>statType</v>
          </cell>
          <cell r="C139" t="str">
            <v>최소 선원수</v>
          </cell>
          <cell r="D139">
            <v>1</v>
          </cell>
        </row>
        <row r="140">
          <cell r="A140" t="str">
            <v>statType최대 선원수</v>
          </cell>
          <cell r="B140" t="str">
            <v>statType</v>
          </cell>
          <cell r="C140" t="str">
            <v>최대 선원수</v>
          </cell>
          <cell r="D140">
            <v>2</v>
          </cell>
        </row>
        <row r="141">
          <cell r="A141" t="str">
            <v>statType내구도</v>
          </cell>
          <cell r="B141" t="str">
            <v>statType</v>
          </cell>
          <cell r="C141" t="str">
            <v>내구도</v>
          </cell>
          <cell r="D141">
            <v>3</v>
          </cell>
        </row>
        <row r="142">
          <cell r="A142" t="str">
            <v>statType적재량</v>
          </cell>
          <cell r="B142" t="str">
            <v>statType</v>
          </cell>
          <cell r="C142" t="str">
            <v>적재량</v>
          </cell>
          <cell r="D142">
            <v>4</v>
          </cell>
        </row>
        <row r="143">
          <cell r="A143" t="str">
            <v>statType포격 위력</v>
          </cell>
          <cell r="B143" t="str">
            <v>statType</v>
          </cell>
          <cell r="C143" t="str">
            <v>포격 위력</v>
          </cell>
          <cell r="D143">
            <v>5</v>
          </cell>
        </row>
        <row r="144">
          <cell r="A144" t="str">
            <v>statType조력</v>
          </cell>
          <cell r="B144" t="str">
            <v>statType</v>
          </cell>
          <cell r="C144" t="str">
            <v>조력</v>
          </cell>
          <cell r="D144">
            <v>6</v>
          </cell>
        </row>
        <row r="145">
          <cell r="A145" t="str">
            <v>statType세로돛</v>
          </cell>
          <cell r="B145" t="str">
            <v>statType</v>
          </cell>
          <cell r="C145" t="str">
            <v>세로돛</v>
          </cell>
          <cell r="D145">
            <v>7</v>
          </cell>
        </row>
        <row r="146">
          <cell r="A146" t="str">
            <v>statType가로돛</v>
          </cell>
          <cell r="B146" t="str">
            <v>statType</v>
          </cell>
          <cell r="C146" t="str">
            <v>가로돛</v>
          </cell>
          <cell r="D146">
            <v>8</v>
          </cell>
        </row>
        <row r="147">
          <cell r="A147" t="str">
            <v>statType내파</v>
          </cell>
          <cell r="B147" t="str">
            <v>statType</v>
          </cell>
          <cell r="C147" t="str">
            <v>내파</v>
          </cell>
          <cell r="D147">
            <v>9</v>
          </cell>
        </row>
        <row r="148">
          <cell r="A148" t="str">
            <v>statType장갑</v>
          </cell>
          <cell r="B148" t="str">
            <v>statType</v>
          </cell>
          <cell r="C148" t="str">
            <v>장갑</v>
          </cell>
          <cell r="D148">
            <v>10</v>
          </cell>
        </row>
        <row r="149">
          <cell r="A149" t="str">
            <v>statType통솔</v>
          </cell>
          <cell r="B149" t="str">
            <v>statType</v>
          </cell>
          <cell r="C149" t="str">
            <v>통솔</v>
          </cell>
          <cell r="D149">
            <v>101</v>
          </cell>
        </row>
        <row r="150">
          <cell r="A150" t="str">
            <v>statType무력</v>
          </cell>
          <cell r="B150" t="str">
            <v>statType</v>
          </cell>
          <cell r="C150" t="str">
            <v>무력</v>
          </cell>
          <cell r="D150">
            <v>102</v>
          </cell>
        </row>
        <row r="151">
          <cell r="A151" t="str">
            <v>statType직감</v>
          </cell>
          <cell r="B151" t="str">
            <v>statType</v>
          </cell>
          <cell r="C151" t="str">
            <v>직감</v>
          </cell>
          <cell r="D151">
            <v>103</v>
          </cell>
        </row>
        <row r="152">
          <cell r="A152" t="str">
            <v>statType협상</v>
          </cell>
          <cell r="B152" t="str">
            <v>statType</v>
          </cell>
          <cell r="C152" t="str">
            <v>협상</v>
          </cell>
          <cell r="D152">
            <v>104</v>
          </cell>
        </row>
        <row r="153">
          <cell r="A153" t="str">
            <v>statType지식</v>
          </cell>
          <cell r="B153" t="str">
            <v>statType</v>
          </cell>
          <cell r="C153" t="str">
            <v>지식</v>
          </cell>
          <cell r="D153">
            <v>105</v>
          </cell>
        </row>
        <row r="154">
          <cell r="A154" t="str">
            <v>statType매력</v>
          </cell>
          <cell r="B154" t="str">
            <v>statType</v>
          </cell>
          <cell r="C154" t="str">
            <v>매력</v>
          </cell>
          <cell r="D154">
            <v>106</v>
          </cell>
        </row>
        <row r="155">
          <cell r="A155" t="str">
            <v>statType운</v>
          </cell>
          <cell r="B155" t="str">
            <v>statType</v>
          </cell>
          <cell r="C155" t="str">
            <v>운</v>
          </cell>
          <cell r="D155">
            <v>107</v>
          </cell>
        </row>
        <row r="156">
          <cell r="A156" t="str">
            <v>statType쇄빙</v>
          </cell>
          <cell r="B156" t="str">
            <v>statType</v>
          </cell>
          <cell r="C156" t="str">
            <v>쇄빙</v>
          </cell>
          <cell r="D156">
            <v>201</v>
          </cell>
        </row>
        <row r="157">
          <cell r="A157" t="str">
            <v>statType돌파</v>
          </cell>
          <cell r="B157" t="str">
            <v>statType</v>
          </cell>
          <cell r="C157" t="str">
            <v>돌파</v>
          </cell>
          <cell r="D157">
            <v>202</v>
          </cell>
        </row>
        <row r="158">
          <cell r="A158" t="str">
            <v>statType경험치</v>
          </cell>
          <cell r="B158" t="str">
            <v>statType</v>
          </cell>
          <cell r="C158" t="str">
            <v>경험치</v>
          </cell>
          <cell r="D158">
            <v>203</v>
          </cell>
        </row>
        <row r="159">
          <cell r="A159" t="str">
            <v>statType경험치%</v>
          </cell>
          <cell r="B159" t="str">
            <v>statType</v>
          </cell>
          <cell r="C159" t="str">
            <v>경험치%</v>
          </cell>
          <cell r="D159">
            <v>204</v>
          </cell>
        </row>
        <row r="160">
          <cell r="A160" t="str">
            <v>statType발전</v>
          </cell>
          <cell r="B160" t="str">
            <v>statType</v>
          </cell>
          <cell r="C160" t="str">
            <v>발전</v>
          </cell>
          <cell r="D160">
            <v>205</v>
          </cell>
        </row>
        <row r="161">
          <cell r="A161" t="str">
            <v>statType발전%</v>
          </cell>
          <cell r="B161" t="str">
            <v>statType</v>
          </cell>
          <cell r="C161" t="str">
            <v>발전%</v>
          </cell>
          <cell r="D161">
            <v>206</v>
          </cell>
        </row>
        <row r="162">
          <cell r="A162" t="str">
            <v>statType명성</v>
          </cell>
          <cell r="B162" t="str">
            <v>statType</v>
          </cell>
          <cell r="C162" t="str">
            <v>명성</v>
          </cell>
          <cell r="D162">
            <v>207</v>
          </cell>
        </row>
        <row r="163">
          <cell r="A163" t="str">
            <v>statType명성%</v>
          </cell>
          <cell r="B163" t="str">
            <v>statType</v>
          </cell>
          <cell r="C163" t="str">
            <v>명성%</v>
          </cell>
          <cell r="D163">
            <v>208</v>
          </cell>
        </row>
        <row r="164">
          <cell r="A164" t="str">
            <v>statType충파 위력</v>
          </cell>
          <cell r="B164" t="str">
            <v>statType</v>
          </cell>
          <cell r="C164" t="str">
            <v>충파 위력</v>
          </cell>
          <cell r="D164">
            <v>301</v>
          </cell>
        </row>
        <row r="165">
          <cell r="A165" t="str">
            <v>statType관통력</v>
          </cell>
          <cell r="B165" t="str">
            <v>statType</v>
          </cell>
          <cell r="C165" t="str">
            <v>관통력</v>
          </cell>
          <cell r="D165">
            <v>302</v>
          </cell>
        </row>
        <row r="166">
          <cell r="A166" t="str">
            <v>statType추가 장갑</v>
          </cell>
          <cell r="B166" t="str">
            <v>statType</v>
          </cell>
          <cell r="C166" t="str">
            <v>추가 장갑</v>
          </cell>
          <cell r="D166">
            <v>303</v>
          </cell>
        </row>
        <row r="167">
          <cell r="A167" t="str">
            <v>statType백병전 지원</v>
          </cell>
          <cell r="B167" t="str">
            <v>statType</v>
          </cell>
          <cell r="C167" t="str">
            <v>백병전 지원</v>
          </cell>
          <cell r="D167">
            <v>304</v>
          </cell>
        </row>
        <row r="168">
          <cell r="A168" t="str">
            <v>statType포격 최소 사거리</v>
          </cell>
          <cell r="B168" t="str">
            <v>statType</v>
          </cell>
          <cell r="C168" t="str">
            <v>포격 최소 사거리</v>
          </cell>
          <cell r="D168">
            <v>305</v>
          </cell>
        </row>
        <row r="169">
          <cell r="A169" t="str">
            <v>statType포격 최대 사거리</v>
          </cell>
          <cell r="B169" t="str">
            <v>statType</v>
          </cell>
          <cell r="C169" t="str">
            <v>포격 최대 사거리</v>
          </cell>
          <cell r="D169">
            <v>306</v>
          </cell>
        </row>
        <row r="170">
          <cell r="A170" t="str">
            <v>statType포격 최소 유효 사거리</v>
          </cell>
          <cell r="B170" t="str">
            <v>statType</v>
          </cell>
          <cell r="C170" t="str">
            <v>포격 최소 유효 사거리</v>
          </cell>
          <cell r="D170">
            <v>307</v>
          </cell>
        </row>
        <row r="171">
          <cell r="A171" t="str">
            <v>statType포격 최대 유효 사거리</v>
          </cell>
          <cell r="B171" t="str">
            <v>statType</v>
          </cell>
          <cell r="C171" t="str">
            <v>포격 최대 유효 사거리</v>
          </cell>
          <cell r="D171">
            <v>308</v>
          </cell>
        </row>
        <row r="172">
          <cell r="A172" t="str">
            <v>statType중심각</v>
          </cell>
          <cell r="B172" t="str">
            <v>statType</v>
          </cell>
          <cell r="C172" t="str">
            <v>중심각</v>
          </cell>
          <cell r="D172">
            <v>309</v>
          </cell>
        </row>
        <row r="173">
          <cell r="A173" t="str">
            <v>statType백병 위력</v>
          </cell>
          <cell r="B173" t="str">
            <v>statType</v>
          </cell>
          <cell r="C173" t="str">
            <v>백병 위력</v>
          </cell>
          <cell r="D173">
            <v>310</v>
          </cell>
        </row>
        <row r="174">
          <cell r="A174" t="str">
            <v>statType대인 방어력</v>
          </cell>
          <cell r="B174" t="str">
            <v>statType</v>
          </cell>
          <cell r="C174" t="str">
            <v>대인 방어력</v>
          </cell>
          <cell r="D174">
            <v>311</v>
          </cell>
        </row>
        <row r="175">
          <cell r="A175" t="str">
            <v>statType이동력</v>
          </cell>
          <cell r="B175" t="str">
            <v>statType</v>
          </cell>
          <cell r="C175" t="str">
            <v>이동력</v>
          </cell>
          <cell r="D175">
            <v>312</v>
          </cell>
        </row>
        <row r="176">
          <cell r="A176" t="str">
            <v>statType포격 공격력</v>
          </cell>
          <cell r="B176" t="str">
            <v>statType</v>
          </cell>
          <cell r="C176" t="str">
            <v>포격 공격력</v>
          </cell>
          <cell r="D176">
            <v>313</v>
          </cell>
        </row>
        <row r="177">
          <cell r="A177" t="str">
            <v>statType포격 방어력</v>
          </cell>
          <cell r="B177" t="str">
            <v>statType</v>
          </cell>
          <cell r="C177" t="str">
            <v>포격 방어력</v>
          </cell>
          <cell r="D177">
            <v>314</v>
          </cell>
        </row>
        <row r="178">
          <cell r="A178" t="str">
            <v>statType백병 공격력</v>
          </cell>
          <cell r="B178" t="str">
            <v>statType</v>
          </cell>
          <cell r="C178" t="str">
            <v>백병 공격력</v>
          </cell>
          <cell r="D178">
            <v>315</v>
          </cell>
        </row>
        <row r="179">
          <cell r="A179" t="str">
            <v>statType백병 방어력</v>
          </cell>
          <cell r="B179" t="str">
            <v>statType</v>
          </cell>
          <cell r="C179" t="str">
            <v>백병 방어력</v>
          </cell>
          <cell r="D179">
            <v>316</v>
          </cell>
        </row>
        <row r="180">
          <cell r="A180" t="str">
            <v>statType충파 공격력</v>
          </cell>
          <cell r="B180" t="str">
            <v>statType</v>
          </cell>
          <cell r="C180" t="str">
            <v>충파 공격력</v>
          </cell>
          <cell r="D180">
            <v>317</v>
          </cell>
        </row>
        <row r="181">
          <cell r="A181" t="str">
            <v>statType기동력</v>
          </cell>
          <cell r="B181" t="str">
            <v>statType</v>
          </cell>
          <cell r="C181" t="str">
            <v>기동력</v>
          </cell>
          <cell r="D181">
            <v>318</v>
          </cell>
        </row>
        <row r="182">
          <cell r="A182" t="str">
            <v>statType포격 명중</v>
          </cell>
          <cell r="B182" t="str">
            <v>statType</v>
          </cell>
          <cell r="C182" t="str">
            <v>포격 명중</v>
          </cell>
          <cell r="D182">
            <v>319</v>
          </cell>
        </row>
        <row r="183">
          <cell r="A183" t="str">
            <v>statType포격 치명타 발생</v>
          </cell>
          <cell r="B183" t="str">
            <v>statType</v>
          </cell>
          <cell r="C183" t="str">
            <v>포격 치명타 발생</v>
          </cell>
          <cell r="D183">
            <v>320</v>
          </cell>
        </row>
        <row r="184">
          <cell r="A184" t="str">
            <v>statType백병 명중</v>
          </cell>
          <cell r="B184" t="str">
            <v>statType</v>
          </cell>
          <cell r="C184" t="str">
            <v>백병 명중</v>
          </cell>
          <cell r="D184">
            <v>321</v>
          </cell>
        </row>
        <row r="185">
          <cell r="A185" t="str">
            <v>statType백병 치명타 발생</v>
          </cell>
          <cell r="B185" t="str">
            <v>statType</v>
          </cell>
          <cell r="C185" t="str">
            <v>백병 치명타 발생</v>
          </cell>
          <cell r="D185">
            <v>322</v>
          </cell>
        </row>
        <row r="186">
          <cell r="A186" t="str">
            <v>statType결투 공격력</v>
          </cell>
          <cell r="B186" t="str">
            <v>statType</v>
          </cell>
          <cell r="C186" t="str">
            <v>결투 공격력</v>
          </cell>
          <cell r="D186">
            <v>323</v>
          </cell>
        </row>
        <row r="187">
          <cell r="A187" t="str">
            <v>statType결투 방어력</v>
          </cell>
          <cell r="B187" t="str">
            <v>statType</v>
          </cell>
          <cell r="C187" t="str">
            <v>결투 방어력</v>
          </cell>
          <cell r="D187">
            <v>324</v>
          </cell>
        </row>
        <row r="188">
          <cell r="A188" t="str">
            <v>statType결투 회피</v>
          </cell>
          <cell r="B188" t="str">
            <v>statType</v>
          </cell>
          <cell r="C188" t="str">
            <v>결투 회피</v>
          </cell>
          <cell r="D188">
            <v>325</v>
          </cell>
        </row>
        <row r="189">
          <cell r="A189" t="str">
            <v>statType수리 회복량</v>
          </cell>
          <cell r="B189" t="str">
            <v>statType</v>
          </cell>
          <cell r="C189" t="str">
            <v>수리 회복량</v>
          </cell>
          <cell r="D189">
            <v>326</v>
          </cell>
        </row>
        <row r="190">
          <cell r="A190" t="str">
            <v>statType수리 극대화 발생</v>
          </cell>
          <cell r="B190" t="str">
            <v>statType</v>
          </cell>
          <cell r="C190" t="str">
            <v>수리 극대화 발생</v>
          </cell>
          <cell r="D190">
            <v>327</v>
          </cell>
        </row>
        <row r="191">
          <cell r="A191" t="str">
            <v>statType자재 소모량</v>
          </cell>
          <cell r="B191" t="str">
            <v>statType</v>
          </cell>
          <cell r="C191" t="str">
            <v>자재 소모량</v>
          </cell>
          <cell r="D191">
            <v>328</v>
          </cell>
        </row>
        <row r="192">
          <cell r="A192" t="str">
            <v>statType의술 회복량</v>
          </cell>
          <cell r="B192" t="str">
            <v>statType</v>
          </cell>
          <cell r="C192" t="str">
            <v>의술 회복량</v>
          </cell>
          <cell r="D192">
            <v>329</v>
          </cell>
        </row>
        <row r="193">
          <cell r="A193" t="str">
            <v>statType의술 극대화 발생</v>
          </cell>
          <cell r="B193" t="str">
            <v>statType</v>
          </cell>
          <cell r="C193" t="str">
            <v>의술 극대화 발생</v>
          </cell>
          <cell r="D193">
            <v>330</v>
          </cell>
        </row>
        <row r="194">
          <cell r="A194" t="str">
            <v>statType물 소모량</v>
          </cell>
          <cell r="B194" t="str">
            <v>statType</v>
          </cell>
          <cell r="C194" t="str">
            <v>물 소모량</v>
          </cell>
          <cell r="D194">
            <v>331</v>
          </cell>
        </row>
        <row r="195">
          <cell r="A195" t="str">
            <v>statType항복 성공률</v>
          </cell>
          <cell r="B195" t="str">
            <v>statType</v>
          </cell>
          <cell r="C195" t="str">
            <v>항복 성공률</v>
          </cell>
          <cell r="D195">
            <v>332</v>
          </cell>
        </row>
        <row r="196">
          <cell r="A196" t="str">
            <v>statType전투 상태 저항력</v>
          </cell>
          <cell r="B196" t="str">
            <v>statType</v>
          </cell>
          <cell r="C196" t="str">
            <v>전투 상태 저항력</v>
          </cell>
          <cell r="D196">
            <v>333</v>
          </cell>
        </row>
        <row r="197">
          <cell r="A197" t="str">
            <v>statType포탄 소모량</v>
          </cell>
          <cell r="B197" t="str">
            <v>statType</v>
          </cell>
          <cell r="C197" t="str">
            <v>포탄 소모량</v>
          </cell>
          <cell r="D197">
            <v>334</v>
          </cell>
        </row>
        <row r="198">
          <cell r="A198" t="str">
            <v>statType포격 회피</v>
          </cell>
          <cell r="B198" t="str">
            <v>statType</v>
          </cell>
          <cell r="C198" t="str">
            <v>포격 회피</v>
          </cell>
          <cell r="D198">
            <v>335</v>
          </cell>
        </row>
        <row r="199">
          <cell r="A199" t="str">
            <v>statType백병 회피</v>
          </cell>
          <cell r="B199" t="str">
            <v>statType</v>
          </cell>
          <cell r="C199" t="str">
            <v>백병 회피</v>
          </cell>
          <cell r="D199">
            <v>336</v>
          </cell>
        </row>
        <row r="200">
          <cell r="A200" t="str">
            <v>statType이동력%</v>
          </cell>
          <cell r="B200" t="str">
            <v>statType</v>
          </cell>
          <cell r="C200" t="str">
            <v>이동력%</v>
          </cell>
          <cell r="D200">
            <v>337</v>
          </cell>
        </row>
        <row r="201">
          <cell r="A201" t="str">
            <v>statType포격 공격력%</v>
          </cell>
          <cell r="B201" t="str">
            <v>statType</v>
          </cell>
          <cell r="C201" t="str">
            <v>포격 공격력%</v>
          </cell>
          <cell r="D201">
            <v>338</v>
          </cell>
        </row>
        <row r="202">
          <cell r="A202" t="str">
            <v>statType포격 방어력%</v>
          </cell>
          <cell r="B202" t="str">
            <v>statType</v>
          </cell>
          <cell r="C202" t="str">
            <v>포격 방어력%</v>
          </cell>
          <cell r="D202">
            <v>339</v>
          </cell>
        </row>
        <row r="203">
          <cell r="A203" t="str">
            <v>statType백병 공격력%</v>
          </cell>
          <cell r="B203" t="str">
            <v>statType</v>
          </cell>
          <cell r="C203" t="str">
            <v>백병 공격력%</v>
          </cell>
          <cell r="D203">
            <v>340</v>
          </cell>
        </row>
        <row r="204">
          <cell r="A204" t="str">
            <v>statType백병 방어력%</v>
          </cell>
          <cell r="B204" t="str">
            <v>statType</v>
          </cell>
          <cell r="C204" t="str">
            <v>백병 방어력%</v>
          </cell>
          <cell r="D204">
            <v>341</v>
          </cell>
        </row>
        <row r="205">
          <cell r="A205" t="str">
            <v>statType충파 공격력%</v>
          </cell>
          <cell r="B205" t="str">
            <v>statType</v>
          </cell>
          <cell r="C205" t="str">
            <v>충파 공격력%</v>
          </cell>
          <cell r="D205">
            <v>342</v>
          </cell>
        </row>
        <row r="206">
          <cell r="A206" t="str">
            <v>statType기동력%</v>
          </cell>
          <cell r="B206" t="str">
            <v>statType</v>
          </cell>
          <cell r="C206" t="str">
            <v>기동력%</v>
          </cell>
          <cell r="D206">
            <v>343</v>
          </cell>
        </row>
        <row r="207">
          <cell r="A207" t="str">
            <v>statType포격 명중%</v>
          </cell>
          <cell r="B207" t="str">
            <v>statType</v>
          </cell>
          <cell r="C207" t="str">
            <v>포격 명중%</v>
          </cell>
          <cell r="D207">
            <v>344</v>
          </cell>
        </row>
        <row r="208">
          <cell r="A208" t="str">
            <v>statType포격 치명타 발생%</v>
          </cell>
          <cell r="B208" t="str">
            <v>statType</v>
          </cell>
          <cell r="C208" t="str">
            <v>포격 치명타 발생%</v>
          </cell>
          <cell r="D208">
            <v>345</v>
          </cell>
        </row>
        <row r="209">
          <cell r="A209" t="str">
            <v>statType백병 명중%</v>
          </cell>
          <cell r="B209" t="str">
            <v>statType</v>
          </cell>
          <cell r="C209" t="str">
            <v>백병 명중%</v>
          </cell>
          <cell r="D209">
            <v>346</v>
          </cell>
        </row>
        <row r="210">
          <cell r="A210" t="str">
            <v>statType백병 치명타 발생%</v>
          </cell>
          <cell r="B210" t="str">
            <v>statType</v>
          </cell>
          <cell r="C210" t="str">
            <v>백병 치명타 발생%</v>
          </cell>
          <cell r="D210">
            <v>347</v>
          </cell>
        </row>
        <row r="211">
          <cell r="A211" t="str">
            <v>statType결투 공격력%</v>
          </cell>
          <cell r="B211" t="str">
            <v>statType</v>
          </cell>
          <cell r="C211" t="str">
            <v>결투 공격력%</v>
          </cell>
          <cell r="D211">
            <v>348</v>
          </cell>
        </row>
        <row r="212">
          <cell r="A212" t="str">
            <v>statType결투 방어력%</v>
          </cell>
          <cell r="B212" t="str">
            <v>statType</v>
          </cell>
          <cell r="C212" t="str">
            <v>결투 방어력%</v>
          </cell>
          <cell r="D212">
            <v>349</v>
          </cell>
        </row>
        <row r="213">
          <cell r="A213" t="str">
            <v>statType결투 회피%</v>
          </cell>
          <cell r="B213" t="str">
            <v>statType</v>
          </cell>
          <cell r="C213" t="str">
            <v>결투 회피%</v>
          </cell>
          <cell r="D213">
            <v>350</v>
          </cell>
        </row>
        <row r="214">
          <cell r="A214" t="str">
            <v>statType수리 회복량%</v>
          </cell>
          <cell r="B214" t="str">
            <v>statType</v>
          </cell>
          <cell r="C214" t="str">
            <v>수리 회복량%</v>
          </cell>
          <cell r="D214">
            <v>351</v>
          </cell>
        </row>
        <row r="215">
          <cell r="A215" t="str">
            <v>statType수리 극대화 발생%</v>
          </cell>
          <cell r="B215" t="str">
            <v>statType</v>
          </cell>
          <cell r="C215" t="str">
            <v>수리 극대화 발생%</v>
          </cell>
          <cell r="D215">
            <v>352</v>
          </cell>
        </row>
        <row r="216">
          <cell r="A216" t="str">
            <v>statType의술 회복량%</v>
          </cell>
          <cell r="B216" t="str">
            <v>statType</v>
          </cell>
          <cell r="C216" t="str">
            <v>의술 회복량%</v>
          </cell>
          <cell r="D216">
            <v>354</v>
          </cell>
        </row>
        <row r="217">
          <cell r="A217" t="str">
            <v>statType의술 극대화 발생%</v>
          </cell>
          <cell r="B217" t="str">
            <v>statType</v>
          </cell>
          <cell r="C217" t="str">
            <v>의술 극대화 발생%</v>
          </cell>
          <cell r="D217">
            <v>355</v>
          </cell>
        </row>
        <row r="218">
          <cell r="A218" t="str">
            <v>statType항복 성공률%</v>
          </cell>
          <cell r="B218" t="str">
            <v>statType</v>
          </cell>
          <cell r="C218" t="str">
            <v>항복 성공률%</v>
          </cell>
          <cell r="D218">
            <v>357</v>
          </cell>
        </row>
        <row r="219">
          <cell r="A219" t="str">
            <v>statType포격 회피%</v>
          </cell>
          <cell r="B219" t="str">
            <v>statType</v>
          </cell>
          <cell r="C219" t="str">
            <v>포격 회피%</v>
          </cell>
          <cell r="D219">
            <v>359</v>
          </cell>
        </row>
        <row r="220">
          <cell r="A220" t="str">
            <v>statType백병 회피%</v>
          </cell>
          <cell r="B220" t="str">
            <v>statType</v>
          </cell>
          <cell r="C220" t="str">
            <v>백병 회피%</v>
          </cell>
          <cell r="D220">
            <v>360</v>
          </cell>
        </row>
        <row r="221">
          <cell r="A221" t="str">
            <v>statType포격 특성</v>
          </cell>
          <cell r="B221" t="str">
            <v>statType</v>
          </cell>
          <cell r="C221" t="str">
            <v>포격 특성</v>
          </cell>
          <cell r="D221">
            <v>361</v>
          </cell>
        </row>
        <row r="222">
          <cell r="A222" t="str">
            <v>statType포격 특성%</v>
          </cell>
          <cell r="B222" t="str">
            <v>statType</v>
          </cell>
          <cell r="C222" t="str">
            <v>포격 특성%</v>
          </cell>
          <cell r="D222">
            <v>362</v>
          </cell>
        </row>
        <row r="223">
          <cell r="A223" t="str">
            <v>statType선박 특성</v>
          </cell>
          <cell r="B223" t="str">
            <v>statType</v>
          </cell>
          <cell r="C223" t="str">
            <v>선박 특성</v>
          </cell>
          <cell r="D223">
            <v>363</v>
          </cell>
        </row>
        <row r="224">
          <cell r="A224" t="str">
            <v>statType선박 특성%</v>
          </cell>
          <cell r="B224" t="str">
            <v>statType</v>
          </cell>
          <cell r="C224" t="str">
            <v>선박 특성%</v>
          </cell>
          <cell r="D224">
            <v>364</v>
          </cell>
        </row>
        <row r="225">
          <cell r="A225" t="str">
            <v>statType기동 특성</v>
          </cell>
          <cell r="B225" t="str">
            <v>statType</v>
          </cell>
          <cell r="C225" t="str">
            <v>기동 특성</v>
          </cell>
          <cell r="D225">
            <v>365</v>
          </cell>
        </row>
        <row r="226">
          <cell r="A226" t="str">
            <v>statType기동 특성%</v>
          </cell>
          <cell r="B226" t="str">
            <v>statType</v>
          </cell>
          <cell r="C226" t="str">
            <v>기동 특성%</v>
          </cell>
          <cell r="D226">
            <v>366</v>
          </cell>
        </row>
        <row r="227">
          <cell r="A227" t="str">
            <v>statType선원 특성</v>
          </cell>
          <cell r="B227" t="str">
            <v>statType</v>
          </cell>
          <cell r="C227" t="str">
            <v>선원 특성</v>
          </cell>
          <cell r="D227">
            <v>367</v>
          </cell>
        </row>
        <row r="228">
          <cell r="A228" t="str">
            <v>statType선원 특성%</v>
          </cell>
          <cell r="B228" t="str">
            <v>statType</v>
          </cell>
          <cell r="C228" t="str">
            <v>선원 특성%</v>
          </cell>
          <cell r="D228">
            <v>368</v>
          </cell>
        </row>
        <row r="229">
          <cell r="A229" t="str">
            <v>statType물 소모량%</v>
          </cell>
          <cell r="B229" t="str">
            <v>statType</v>
          </cell>
          <cell r="C229" t="str">
            <v>물 소모량%</v>
          </cell>
          <cell r="D229">
            <v>369</v>
          </cell>
        </row>
        <row r="230">
          <cell r="A230" t="str">
            <v>statType포탄 소모량%</v>
          </cell>
          <cell r="B230" t="str">
            <v>statType</v>
          </cell>
          <cell r="C230" t="str">
            <v>포탄 소모량%</v>
          </cell>
          <cell r="D230">
            <v>370</v>
          </cell>
        </row>
        <row r="231">
          <cell r="A231" t="str">
            <v>statType자재 소모량%</v>
          </cell>
          <cell r="B231" t="str">
            <v>statType</v>
          </cell>
          <cell r="C231" t="str">
            <v>자재 소모량%</v>
          </cell>
          <cell r="D231">
            <v>371</v>
          </cell>
        </row>
        <row r="232">
          <cell r="A232" t="str">
            <v>statType전투 상태 저항력%</v>
          </cell>
          <cell r="B232" t="str">
            <v>statType</v>
          </cell>
          <cell r="C232" t="str">
            <v>전투 상태 저항력%</v>
          </cell>
          <cell r="D232">
            <v>372</v>
          </cell>
        </row>
        <row r="233">
          <cell r="A233" t="str">
            <v>statType출금 수수료</v>
          </cell>
          <cell r="B233" t="str">
            <v>statType</v>
          </cell>
          <cell r="C233" t="str">
            <v>출금 수수료</v>
          </cell>
          <cell r="D233">
            <v>1001</v>
          </cell>
        </row>
        <row r="234">
          <cell r="A234" t="str">
            <v>statType보급 비용</v>
          </cell>
          <cell r="B234" t="str">
            <v>statType</v>
          </cell>
          <cell r="C234" t="str">
            <v>보급 비용</v>
          </cell>
          <cell r="D234">
            <v>1002</v>
          </cell>
        </row>
        <row r="235">
          <cell r="A235" t="str">
            <v>statType건조 비용</v>
          </cell>
          <cell r="B235" t="str">
            <v>statType</v>
          </cell>
          <cell r="C235" t="str">
            <v>건조 비용</v>
          </cell>
          <cell r="D235">
            <v>1003</v>
          </cell>
        </row>
        <row r="236">
          <cell r="A236" t="str">
            <v>statType선박 수리 비용</v>
          </cell>
          <cell r="B236" t="str">
            <v>statType</v>
          </cell>
          <cell r="C236" t="str">
            <v>선박 수리 비용</v>
          </cell>
          <cell r="D236">
            <v>1004</v>
          </cell>
        </row>
        <row r="237">
          <cell r="A237" t="str">
            <v>statType선박 매각 비용</v>
          </cell>
          <cell r="B237" t="str">
            <v>statType</v>
          </cell>
          <cell r="C237" t="str">
            <v>선박 매각 비용</v>
          </cell>
          <cell r="D237">
            <v>1005</v>
          </cell>
        </row>
        <row r="238">
          <cell r="A238" t="str">
            <v>statType선원 모집 비용</v>
          </cell>
          <cell r="B238" t="str">
            <v>statType</v>
          </cell>
          <cell r="C238" t="str">
            <v>선원 모집 비용</v>
          </cell>
          <cell r="D238">
            <v>1006</v>
          </cell>
        </row>
        <row r="239">
          <cell r="A239" t="str">
            <v>statType선원 모집수</v>
          </cell>
          <cell r="B239" t="str">
            <v>statType</v>
          </cell>
          <cell r="C239" t="str">
            <v>선원 모집수</v>
          </cell>
          <cell r="D239">
            <v>1007</v>
          </cell>
        </row>
        <row r="240">
          <cell r="A240" t="str">
            <v>statType협상 비용</v>
          </cell>
          <cell r="B240" t="str">
            <v>statType</v>
          </cell>
          <cell r="C240" t="str">
            <v>협상 비용</v>
          </cell>
          <cell r="D240">
            <v>1008</v>
          </cell>
        </row>
        <row r="241">
          <cell r="A241" t="str">
            <v>statType교역품 구매 비용</v>
          </cell>
          <cell r="B241" t="str">
            <v>statType</v>
          </cell>
          <cell r="C241" t="str">
            <v>교역품 구매 비용</v>
          </cell>
          <cell r="D241">
            <v>1009</v>
          </cell>
        </row>
        <row r="242">
          <cell r="A242" t="str">
            <v>statType교역품 판매 비용</v>
          </cell>
          <cell r="B242" t="str">
            <v>statType</v>
          </cell>
          <cell r="C242" t="str">
            <v>교역품 판매 비용</v>
          </cell>
          <cell r="D242">
            <v>1010</v>
          </cell>
        </row>
        <row r="243">
          <cell r="A243" t="str">
            <v>statType후원 비용</v>
          </cell>
          <cell r="B243" t="str">
            <v>statType</v>
          </cell>
          <cell r="C243" t="str">
            <v>후원 비용</v>
          </cell>
          <cell r="D243">
            <v>1011</v>
          </cell>
        </row>
        <row r="244">
          <cell r="A244" t="str">
            <v>statType친밀도</v>
          </cell>
          <cell r="B244" t="str">
            <v>statType</v>
          </cell>
          <cell r="C244" t="str">
            <v>친밀도</v>
          </cell>
          <cell r="D244">
            <v>1012</v>
          </cell>
        </row>
        <row r="245">
          <cell r="A245" t="str">
            <v>statType건조 비용%</v>
          </cell>
          <cell r="B245" t="str">
            <v>statType</v>
          </cell>
          <cell r="C245" t="str">
            <v>건조 비용%</v>
          </cell>
          <cell r="D245">
            <v>1013</v>
          </cell>
        </row>
        <row r="246">
          <cell r="A246" t="str">
            <v>statType선박 매각 비용%</v>
          </cell>
          <cell r="B246" t="str">
            <v>statType</v>
          </cell>
          <cell r="C246" t="str">
            <v>선박 매각 비용%</v>
          </cell>
          <cell r="D246">
            <v>1014</v>
          </cell>
        </row>
        <row r="247">
          <cell r="A247" t="str">
            <v>statType선박 수리 비용%</v>
          </cell>
          <cell r="B247" t="str">
            <v>statType</v>
          </cell>
          <cell r="C247" t="str">
            <v>선박 수리 비용%</v>
          </cell>
          <cell r="D247">
            <v>1015</v>
          </cell>
        </row>
        <row r="248">
          <cell r="A248" t="str">
            <v>statType보급 비용%</v>
          </cell>
          <cell r="B248" t="str">
            <v>statType</v>
          </cell>
          <cell r="C248" t="str">
            <v>보급 비용%</v>
          </cell>
          <cell r="D248">
            <v>1016</v>
          </cell>
        </row>
        <row r="249">
          <cell r="A249" t="str">
            <v>statType선원 모집 비용%</v>
          </cell>
          <cell r="B249" t="str">
            <v>statType</v>
          </cell>
          <cell r="C249" t="str">
            <v>선원 모집 비용%</v>
          </cell>
          <cell r="D249">
            <v>1017</v>
          </cell>
        </row>
        <row r="250">
          <cell r="A250" t="str">
            <v>statType선원 모집수%</v>
          </cell>
          <cell r="B250" t="str">
            <v>statType</v>
          </cell>
          <cell r="C250" t="str">
            <v>선원 모집수%</v>
          </cell>
          <cell r="D250">
            <v>1018</v>
          </cell>
        </row>
        <row r="251">
          <cell r="A251" t="str">
            <v>statType협상 비용%</v>
          </cell>
          <cell r="B251" t="str">
            <v>statType</v>
          </cell>
          <cell r="C251" t="str">
            <v>협상 비용%</v>
          </cell>
          <cell r="D251">
            <v>1019</v>
          </cell>
        </row>
        <row r="252">
          <cell r="A252" t="str">
            <v>statType후원 비용%</v>
          </cell>
          <cell r="B252" t="str">
            <v>statType</v>
          </cell>
          <cell r="C252" t="str">
            <v>후원 비용%</v>
          </cell>
          <cell r="D252">
            <v>1020</v>
          </cell>
        </row>
        <row r="253">
          <cell r="A253" t="str">
            <v>statType출금 수수료%</v>
          </cell>
          <cell r="B253" t="str">
            <v>statType</v>
          </cell>
          <cell r="C253" t="str">
            <v>출금 수수료%</v>
          </cell>
          <cell r="D253">
            <v>1021</v>
          </cell>
        </row>
        <row r="254">
          <cell r="A254" t="str">
            <v>statType친밀도%</v>
          </cell>
          <cell r="B254" t="str">
            <v>statType</v>
          </cell>
          <cell r="C254" t="str">
            <v>친밀도%</v>
          </cell>
          <cell r="D254">
            <v>1022</v>
          </cell>
        </row>
        <row r="255">
          <cell r="A255" t="str">
            <v>statType포격 피해량</v>
          </cell>
          <cell r="B255" t="str">
            <v>statType</v>
          </cell>
          <cell r="C255" t="str">
            <v>포격 피해량</v>
          </cell>
          <cell r="D255">
            <v>2000</v>
          </cell>
        </row>
        <row r="256">
          <cell r="A256" t="str">
            <v>statType포격 피해량%</v>
          </cell>
          <cell r="B256" t="str">
            <v>statType</v>
          </cell>
          <cell r="C256" t="str">
            <v>포격 피해량%</v>
          </cell>
          <cell r="D256">
            <v>2001</v>
          </cell>
        </row>
        <row r="257">
          <cell r="A257" t="str">
            <v>statType백병 피해량</v>
          </cell>
          <cell r="B257" t="str">
            <v>statType</v>
          </cell>
          <cell r="C257" t="str">
            <v>백병 피해량</v>
          </cell>
          <cell r="D257">
            <v>2002</v>
          </cell>
        </row>
        <row r="258">
          <cell r="A258" t="str">
            <v>statType백병 피해량%</v>
          </cell>
          <cell r="B258" t="str">
            <v>statType</v>
          </cell>
          <cell r="C258" t="str">
            <v>백병 피해량%</v>
          </cell>
          <cell r="D258">
            <v>2003</v>
          </cell>
        </row>
        <row r="259">
          <cell r="A259" t="str">
            <v>statType충파 피해량</v>
          </cell>
          <cell r="B259" t="str">
            <v>statType</v>
          </cell>
          <cell r="C259" t="str">
            <v>충파 피해량</v>
          </cell>
          <cell r="D259">
            <v>2004</v>
          </cell>
        </row>
        <row r="260">
          <cell r="A260" t="str">
            <v>statType충파 피해량%</v>
          </cell>
          <cell r="B260" t="str">
            <v>statType</v>
          </cell>
          <cell r="C260" t="str">
            <v>충파 피해량%</v>
          </cell>
          <cell r="D260">
            <v>2005</v>
          </cell>
        </row>
        <row r="261">
          <cell r="A261" t="str">
            <v>statType수리</v>
          </cell>
          <cell r="B261" t="str">
            <v>statType</v>
          </cell>
          <cell r="C261" t="str">
            <v>수리</v>
          </cell>
          <cell r="D261">
            <v>2006</v>
          </cell>
        </row>
        <row r="262">
          <cell r="A262" t="str">
            <v>statType수리%</v>
          </cell>
          <cell r="B262" t="str">
            <v>statType</v>
          </cell>
          <cell r="C262" t="str">
            <v>수리%</v>
          </cell>
          <cell r="D262">
            <v>2007</v>
          </cell>
        </row>
        <row r="263">
          <cell r="A263" t="str">
            <v>statType의술</v>
          </cell>
          <cell r="B263" t="str">
            <v>statType</v>
          </cell>
          <cell r="C263" t="str">
            <v>의술</v>
          </cell>
          <cell r="D263">
            <v>2008</v>
          </cell>
        </row>
        <row r="264">
          <cell r="A264" t="str">
            <v>statType의술%</v>
          </cell>
          <cell r="B264" t="str">
            <v>statType</v>
          </cell>
          <cell r="C264" t="str">
            <v>의술%</v>
          </cell>
          <cell r="D264">
            <v>2009</v>
          </cell>
        </row>
        <row r="265">
          <cell r="A265" t="str">
            <v>statType기뢰 피해량</v>
          </cell>
          <cell r="B265" t="str">
            <v>statType</v>
          </cell>
          <cell r="C265" t="str">
            <v>기뢰 피해량</v>
          </cell>
          <cell r="D265">
            <v>2010</v>
          </cell>
        </row>
        <row r="266">
          <cell r="A266" t="str">
            <v>statType기뢰 피해량%</v>
          </cell>
          <cell r="B266" t="str">
            <v>statType</v>
          </cell>
          <cell r="C266" t="str">
            <v>기뢰 피해량%</v>
          </cell>
          <cell r="D266">
            <v>2011</v>
          </cell>
        </row>
        <row r="267">
          <cell r="A267" t="str">
            <v>statType교역품 약탈</v>
          </cell>
          <cell r="B267" t="str">
            <v>statType</v>
          </cell>
          <cell r="C267" t="str">
            <v>교역품 약탈</v>
          </cell>
          <cell r="D267">
            <v>2012</v>
          </cell>
        </row>
        <row r="268">
          <cell r="A268" t="str">
            <v>statType교역품 약탈%</v>
          </cell>
          <cell r="B268" t="str">
            <v>statType</v>
          </cell>
          <cell r="C268" t="str">
            <v>교역품 약탈%</v>
          </cell>
          <cell r="D268">
            <v>2013</v>
          </cell>
        </row>
        <row r="269">
          <cell r="A269" t="str">
            <v>statType내구도 피해량</v>
          </cell>
          <cell r="B269" t="str">
            <v>statType</v>
          </cell>
          <cell r="C269" t="str">
            <v>내구도 피해량</v>
          </cell>
          <cell r="D269">
            <v>2014</v>
          </cell>
        </row>
        <row r="270">
          <cell r="A270" t="str">
            <v>statType내구도 피해량%</v>
          </cell>
          <cell r="B270" t="str">
            <v>statType</v>
          </cell>
          <cell r="C270" t="str">
            <v>내구도 피해량%</v>
          </cell>
          <cell r="D270">
            <v>2015</v>
          </cell>
        </row>
        <row r="271">
          <cell r="A271" t="str">
            <v>statType내구도 피해량 계수</v>
          </cell>
          <cell r="B271" t="str">
            <v>statType</v>
          </cell>
          <cell r="C271" t="str">
            <v>내구도 피해량 계수</v>
          </cell>
          <cell r="D271">
            <v>2016</v>
          </cell>
        </row>
        <row r="272">
          <cell r="A272" t="str">
            <v>statType내구도 피해량 계수%</v>
          </cell>
          <cell r="B272" t="str">
            <v>statType</v>
          </cell>
          <cell r="C272" t="str">
            <v>내구도 피해량 계수%</v>
          </cell>
          <cell r="D272">
            <v>2017</v>
          </cell>
        </row>
        <row r="273">
          <cell r="A273" t="str">
            <v>statType선원 피해량</v>
          </cell>
          <cell r="B273" t="str">
            <v>statType</v>
          </cell>
          <cell r="C273" t="str">
            <v>선원 피해량</v>
          </cell>
          <cell r="D273">
            <v>2018</v>
          </cell>
        </row>
        <row r="274">
          <cell r="A274" t="str">
            <v>statType선원 피해량%</v>
          </cell>
          <cell r="B274" t="str">
            <v>statType</v>
          </cell>
          <cell r="C274" t="str">
            <v>선원 피해량%</v>
          </cell>
          <cell r="D274">
            <v>2019</v>
          </cell>
        </row>
        <row r="275">
          <cell r="A275" t="str">
            <v>statType선원 피해량 계수</v>
          </cell>
          <cell r="B275" t="str">
            <v>statType</v>
          </cell>
          <cell r="C275" t="str">
            <v>선원 피해량 계수</v>
          </cell>
          <cell r="D275">
            <v>2020</v>
          </cell>
        </row>
        <row r="276">
          <cell r="A276" t="str">
            <v>statType선원 피해량 계수%</v>
          </cell>
          <cell r="B276" t="str">
            <v>statType</v>
          </cell>
          <cell r="C276" t="str">
            <v>선원 피해량 계수%</v>
          </cell>
          <cell r="D276">
            <v>2021</v>
          </cell>
        </row>
        <row r="277">
          <cell r="A277" t="str">
            <v>statType내구도 회복량</v>
          </cell>
          <cell r="B277" t="str">
            <v>statType</v>
          </cell>
          <cell r="C277" t="str">
            <v>내구도 회복량</v>
          </cell>
          <cell r="D277">
            <v>2022</v>
          </cell>
        </row>
        <row r="278">
          <cell r="A278" t="str">
            <v>statType내구도 회복량%</v>
          </cell>
          <cell r="B278" t="str">
            <v>statType</v>
          </cell>
          <cell r="C278" t="str">
            <v>내구도 회복량%</v>
          </cell>
          <cell r="D278">
            <v>2023</v>
          </cell>
        </row>
        <row r="279">
          <cell r="A279" t="str">
            <v>statType선원 회복량</v>
          </cell>
          <cell r="B279" t="str">
            <v>statType</v>
          </cell>
          <cell r="C279" t="str">
            <v>선원 회복량</v>
          </cell>
          <cell r="D279">
            <v>2024</v>
          </cell>
        </row>
        <row r="280">
          <cell r="A280" t="str">
            <v>statType선원 회복량%</v>
          </cell>
          <cell r="B280" t="str">
            <v>statType</v>
          </cell>
          <cell r="C280" t="str">
            <v>선원 회복량%</v>
          </cell>
          <cell r="D280">
            <v>2025</v>
          </cell>
        </row>
        <row r="281">
          <cell r="A281" t="str">
            <v>statType사기</v>
          </cell>
          <cell r="B281" t="str">
            <v>statType</v>
          </cell>
          <cell r="C281" t="str">
            <v>사기</v>
          </cell>
          <cell r="D281">
            <v>2026</v>
          </cell>
        </row>
        <row r="282">
          <cell r="A282" t="str">
            <v>statType사기%</v>
          </cell>
          <cell r="B282" t="str">
            <v>statType</v>
          </cell>
          <cell r="C282" t="str">
            <v>사기%</v>
          </cell>
          <cell r="D282">
            <v>2027</v>
          </cell>
        </row>
        <row r="283">
          <cell r="A283" t="str">
            <v>statType포격 치명타 피해량</v>
          </cell>
          <cell r="B283" t="str">
            <v>statType</v>
          </cell>
          <cell r="C283" t="str">
            <v>포격 치명타 피해량</v>
          </cell>
          <cell r="D283">
            <v>2028</v>
          </cell>
        </row>
        <row r="284">
          <cell r="A284" t="str">
            <v>statType포격 치명타 피해량%</v>
          </cell>
          <cell r="B284" t="str">
            <v>statType</v>
          </cell>
          <cell r="C284" t="str">
            <v>포격 치명타 피해량%</v>
          </cell>
          <cell r="D284">
            <v>2029</v>
          </cell>
        </row>
        <row r="285">
          <cell r="A285" t="str">
            <v>statType백병 치명타 피해량</v>
          </cell>
          <cell r="B285" t="str">
            <v>statType</v>
          </cell>
          <cell r="C285" t="str">
            <v>백병 치명타 피해량</v>
          </cell>
          <cell r="D285">
            <v>2030</v>
          </cell>
        </row>
        <row r="286">
          <cell r="A286" t="str">
            <v>statType백병 치명타 피해량%</v>
          </cell>
          <cell r="B286" t="str">
            <v>statType</v>
          </cell>
          <cell r="C286" t="str">
            <v>백병 치명타 피해량%</v>
          </cell>
          <cell r="D286">
            <v>2031</v>
          </cell>
        </row>
        <row r="287">
          <cell r="A287" t="str">
            <v>statType백병 사거리</v>
          </cell>
          <cell r="B287" t="str">
            <v>statType</v>
          </cell>
          <cell r="C287" t="str">
            <v>백병 사거리</v>
          </cell>
          <cell r="D287">
            <v>2032</v>
          </cell>
        </row>
        <row r="288">
          <cell r="A288" t="str">
            <v>statType백병 사거리%</v>
          </cell>
          <cell r="B288" t="str">
            <v>statType</v>
          </cell>
          <cell r="C288" t="str">
            <v>백병 사거리%</v>
          </cell>
          <cell r="D288">
            <v>2033</v>
          </cell>
        </row>
        <row r="289">
          <cell r="A289" t="str">
            <v>statType충파 사거리</v>
          </cell>
          <cell r="B289" t="str">
            <v>statType</v>
          </cell>
          <cell r="C289" t="str">
            <v>충파 사거리</v>
          </cell>
          <cell r="D289">
            <v>2034</v>
          </cell>
        </row>
        <row r="290">
          <cell r="A290" t="str">
            <v>statType충파 사거리%</v>
          </cell>
          <cell r="B290" t="str">
            <v>statType</v>
          </cell>
          <cell r="C290" t="str">
            <v>충파 사거리%</v>
          </cell>
          <cell r="D290">
            <v>2035</v>
          </cell>
        </row>
        <row r="291">
          <cell r="A291" t="str">
            <v>statType기동력 회복</v>
          </cell>
          <cell r="B291" t="str">
            <v>statType</v>
          </cell>
          <cell r="C291" t="str">
            <v>기동력 회복</v>
          </cell>
          <cell r="D291">
            <v>2036</v>
          </cell>
        </row>
        <row r="292">
          <cell r="A292" t="str">
            <v>statType기동력 회복%</v>
          </cell>
          <cell r="B292" t="str">
            <v>statType</v>
          </cell>
          <cell r="C292" t="str">
            <v>기동력 회복%</v>
          </cell>
          <cell r="D292">
            <v>2037</v>
          </cell>
        </row>
        <row r="293">
          <cell r="A293" t="str">
            <v>statType선회력</v>
          </cell>
          <cell r="B293" t="str">
            <v>statType</v>
          </cell>
          <cell r="C293" t="str">
            <v>선회력</v>
          </cell>
          <cell r="D293">
            <v>2038</v>
          </cell>
        </row>
        <row r="294">
          <cell r="A294" t="str">
            <v>statType선회력%</v>
          </cell>
          <cell r="B294" t="str">
            <v>statType</v>
          </cell>
          <cell r="C294" t="str">
            <v>선회력%</v>
          </cell>
          <cell r="D294">
            <v>2039</v>
          </cell>
        </row>
        <row r="295">
          <cell r="A295" t="str">
            <v>statType전투력</v>
          </cell>
          <cell r="B295" t="str">
            <v>statType</v>
          </cell>
          <cell r="C295" t="str">
            <v>전투력</v>
          </cell>
          <cell r="D295">
            <v>2040</v>
          </cell>
        </row>
        <row r="296">
          <cell r="A296" t="str">
            <v>statType전투력%</v>
          </cell>
          <cell r="B296" t="str">
            <v>statType</v>
          </cell>
          <cell r="C296" t="str">
            <v>전투력%</v>
          </cell>
          <cell r="D296">
            <v>2041</v>
          </cell>
        </row>
        <row r="297">
          <cell r="A297" t="str">
            <v>statType포격 협공 피해량</v>
          </cell>
          <cell r="B297" t="str">
            <v>statType</v>
          </cell>
          <cell r="C297" t="str">
            <v>포격 협공 피해량</v>
          </cell>
          <cell r="D297">
            <v>2042</v>
          </cell>
        </row>
        <row r="298">
          <cell r="A298" t="str">
            <v>statType포격 협공 피해량%</v>
          </cell>
          <cell r="B298" t="str">
            <v>statType</v>
          </cell>
          <cell r="C298" t="str">
            <v>포격 협공 피해량%</v>
          </cell>
          <cell r="D298">
            <v>2043</v>
          </cell>
        </row>
        <row r="299">
          <cell r="A299" t="str">
            <v>statType백병 협공 피해량</v>
          </cell>
          <cell r="B299" t="str">
            <v>statType</v>
          </cell>
          <cell r="C299" t="str">
            <v>백병 협공 피해량</v>
          </cell>
          <cell r="D299">
            <v>2044</v>
          </cell>
        </row>
        <row r="300">
          <cell r="A300" t="str">
            <v>statType백병 협공 피해량%</v>
          </cell>
          <cell r="B300" t="str">
            <v>statType</v>
          </cell>
          <cell r="C300" t="str">
            <v>백병 협공 피해량%</v>
          </cell>
          <cell r="D300">
            <v>2045</v>
          </cell>
        </row>
        <row r="301">
          <cell r="A301" t="str">
            <v>statType최종 포격 피해량</v>
          </cell>
          <cell r="B301" t="str">
            <v>statType</v>
          </cell>
          <cell r="C301" t="str">
            <v>최종 포격 피해량</v>
          </cell>
          <cell r="D301">
            <v>2046</v>
          </cell>
        </row>
        <row r="302">
          <cell r="A302" t="str">
            <v>statType최종 포격 피해량%</v>
          </cell>
          <cell r="B302" t="str">
            <v>statType</v>
          </cell>
          <cell r="C302" t="str">
            <v>최종 포격 피해량%</v>
          </cell>
          <cell r="D302">
            <v>2047</v>
          </cell>
        </row>
        <row r="303">
          <cell r="A303" t="str">
            <v>statType포격 반격 피해량</v>
          </cell>
          <cell r="B303" t="str">
            <v>statType</v>
          </cell>
          <cell r="C303" t="str">
            <v>포격 반격 피해량</v>
          </cell>
          <cell r="D303">
            <v>2048</v>
          </cell>
        </row>
        <row r="304">
          <cell r="A304" t="str">
            <v>statType포격 반격 피해량%</v>
          </cell>
          <cell r="B304" t="str">
            <v>statType</v>
          </cell>
          <cell r="C304" t="str">
            <v>포격 반격 피해량%</v>
          </cell>
          <cell r="D304">
            <v>2049</v>
          </cell>
        </row>
        <row r="305">
          <cell r="A305" t="str">
            <v>statType최종 백병 피해량</v>
          </cell>
          <cell r="B305" t="str">
            <v>statType</v>
          </cell>
          <cell r="C305" t="str">
            <v>최종 백병 피해량</v>
          </cell>
          <cell r="D305">
            <v>2050</v>
          </cell>
        </row>
        <row r="306">
          <cell r="A306" t="str">
            <v>statType최종 백병 피해량%</v>
          </cell>
          <cell r="B306" t="str">
            <v>statType</v>
          </cell>
          <cell r="C306" t="str">
            <v>최종 백병 피해량%</v>
          </cell>
          <cell r="D306">
            <v>2051</v>
          </cell>
        </row>
        <row r="307">
          <cell r="A307" t="str">
            <v>statType백병 반격 피해량</v>
          </cell>
          <cell r="B307" t="str">
            <v>statType</v>
          </cell>
          <cell r="C307" t="str">
            <v>백병 반격 피해량</v>
          </cell>
          <cell r="D307">
            <v>2052</v>
          </cell>
        </row>
        <row r="308">
          <cell r="A308" t="str">
            <v>statType백병 반격 피해량%</v>
          </cell>
          <cell r="B308" t="str">
            <v>statType</v>
          </cell>
          <cell r="C308" t="str">
            <v>백병 반격 피해량%</v>
          </cell>
          <cell r="D308">
            <v>2053</v>
          </cell>
        </row>
        <row r="309">
          <cell r="A309" t="str">
            <v>statType충파 반격 피해량</v>
          </cell>
          <cell r="B309" t="str">
            <v>statType</v>
          </cell>
          <cell r="C309" t="str">
            <v>충파 반격 피해량</v>
          </cell>
          <cell r="D309">
            <v>2054</v>
          </cell>
        </row>
        <row r="310">
          <cell r="A310" t="str">
            <v>statType충파 반격 피해량%</v>
          </cell>
          <cell r="B310" t="str">
            <v>statType</v>
          </cell>
          <cell r="C310" t="str">
            <v>충파 반격 피해량%</v>
          </cell>
          <cell r="D310">
            <v>2055</v>
          </cell>
        </row>
        <row r="311">
          <cell r="A311" t="str">
            <v>statType의술 자원 소모량</v>
          </cell>
          <cell r="B311" t="str">
            <v>statType</v>
          </cell>
          <cell r="C311" t="str">
            <v>의술 자원 소모량</v>
          </cell>
          <cell r="D311">
            <v>2056</v>
          </cell>
        </row>
        <row r="312">
          <cell r="A312" t="str">
            <v>statType의술 자원 소모량%</v>
          </cell>
          <cell r="B312" t="str">
            <v>statType</v>
          </cell>
          <cell r="C312" t="str">
            <v>의술 자원 소모량%</v>
          </cell>
          <cell r="D312">
            <v>2057</v>
          </cell>
        </row>
        <row r="313">
          <cell r="A313" t="str">
            <v>statType수리 자원 소모량</v>
          </cell>
          <cell r="B313" t="str">
            <v>statType</v>
          </cell>
          <cell r="C313" t="str">
            <v>수리 자원 소모량</v>
          </cell>
          <cell r="D313">
            <v>2058</v>
          </cell>
        </row>
        <row r="314">
          <cell r="A314" t="str">
            <v>statType수리 자원 소모량%</v>
          </cell>
          <cell r="B314" t="str">
            <v>statType</v>
          </cell>
          <cell r="C314" t="str">
            <v>수리 자원 소모량%</v>
          </cell>
          <cell r="D314">
            <v>2059</v>
          </cell>
        </row>
        <row r="315">
          <cell r="A315" t="str">
            <v>statType선박 상태 발생률</v>
          </cell>
          <cell r="B315" t="str">
            <v>statType</v>
          </cell>
          <cell r="C315" t="str">
            <v>선박 상태 발생률</v>
          </cell>
          <cell r="D315">
            <v>2060</v>
          </cell>
        </row>
        <row r="316">
          <cell r="A316" t="str">
            <v>statType선박 상태 발생률%</v>
          </cell>
          <cell r="B316" t="str">
            <v>statType</v>
          </cell>
          <cell r="C316" t="str">
            <v>선박 상태 발생률%</v>
          </cell>
          <cell r="D316">
            <v>2061</v>
          </cell>
        </row>
        <row r="317">
          <cell r="A317" t="str">
            <v>statType선원 상태 발생률</v>
          </cell>
          <cell r="B317" t="str">
            <v>statType</v>
          </cell>
          <cell r="C317" t="str">
            <v>선원 상태 발생률</v>
          </cell>
          <cell r="D317">
            <v>2062</v>
          </cell>
        </row>
        <row r="318">
          <cell r="A318" t="str">
            <v>statType선원 상태 발생률%</v>
          </cell>
          <cell r="B318" t="str">
            <v>statType</v>
          </cell>
          <cell r="C318" t="str">
            <v>선원 상태 발생률%</v>
          </cell>
          <cell r="D318">
            <v>2063</v>
          </cell>
        </row>
        <row r="319">
          <cell r="A319" t="str">
            <v>statType전투 상태 발생률</v>
          </cell>
          <cell r="B319" t="str">
            <v>statType</v>
          </cell>
          <cell r="C319" t="str">
            <v>전투 상태 발생률</v>
          </cell>
          <cell r="D319">
            <v>2064</v>
          </cell>
        </row>
        <row r="320">
          <cell r="A320" t="str">
            <v>statType전투 상태 발생률%</v>
          </cell>
          <cell r="B320" t="str">
            <v>statType</v>
          </cell>
          <cell r="C320" t="str">
            <v>전투 상태 발생률%</v>
          </cell>
          <cell r="D320">
            <v>2065</v>
          </cell>
        </row>
        <row r="321">
          <cell r="A321" t="str">
            <v>statType현재 기동력</v>
          </cell>
          <cell r="B321" t="str">
            <v>statType</v>
          </cell>
          <cell r="C321" t="str">
            <v>현재 기동력</v>
          </cell>
          <cell r="D321">
            <v>2066</v>
          </cell>
        </row>
        <row r="322">
          <cell r="A322" t="str">
            <v>statType현재 기동력%</v>
          </cell>
          <cell r="B322" t="str">
            <v>statType</v>
          </cell>
          <cell r="C322" t="str">
            <v>현재 기동력%</v>
          </cell>
          <cell r="D322">
            <v>2067</v>
          </cell>
        </row>
        <row r="323">
          <cell r="A323" t="str">
            <v>statType최대 기동력</v>
          </cell>
          <cell r="B323" t="str">
            <v>statType</v>
          </cell>
          <cell r="C323" t="str">
            <v>최대 기동력</v>
          </cell>
          <cell r="D323">
            <v>2068</v>
          </cell>
        </row>
        <row r="324">
          <cell r="A324" t="str">
            <v>statType최대 기동력%</v>
          </cell>
          <cell r="B324" t="str">
            <v>statType</v>
          </cell>
          <cell r="C324" t="str">
            <v>최대 기동력%</v>
          </cell>
          <cell r="D324">
            <v>2069</v>
          </cell>
        </row>
        <row r="325">
          <cell r="A325" t="str">
            <v>statType최대 내구도</v>
          </cell>
          <cell r="B325" t="str">
            <v>statType</v>
          </cell>
          <cell r="C325" t="str">
            <v>최대 내구도</v>
          </cell>
          <cell r="D325">
            <v>2070</v>
          </cell>
        </row>
        <row r="326">
          <cell r="A326" t="str">
            <v>statType최대 내구도%</v>
          </cell>
          <cell r="B326" t="str">
            <v>statType</v>
          </cell>
          <cell r="C326" t="str">
            <v>최대 내구도%</v>
          </cell>
          <cell r="D326">
            <v>2071</v>
          </cell>
        </row>
        <row r="327">
          <cell r="A327" t="str">
            <v>statType교역품 분류 구매 가능 수량</v>
          </cell>
          <cell r="B327" t="str">
            <v>statType</v>
          </cell>
          <cell r="C327" t="str">
            <v>교역품 분류 구매 가능 수량</v>
          </cell>
          <cell r="D327">
            <v>3000</v>
          </cell>
        </row>
        <row r="328">
          <cell r="A328" t="str">
            <v>statType교역품 분류 구매 가능 수량%</v>
          </cell>
          <cell r="B328" t="str">
            <v>statType</v>
          </cell>
          <cell r="C328" t="str">
            <v>교역품 분류 구매 가능 수량%</v>
          </cell>
          <cell r="D328">
            <v>3001</v>
          </cell>
        </row>
        <row r="329">
          <cell r="A329" t="str">
            <v>statType교역품 구매 가능 수량</v>
          </cell>
          <cell r="B329" t="str">
            <v>statType</v>
          </cell>
          <cell r="C329" t="str">
            <v>교역품 구매 가능 수량</v>
          </cell>
          <cell r="D329">
            <v>3002</v>
          </cell>
        </row>
        <row r="330">
          <cell r="A330" t="str">
            <v>statType교역품 구매 가능 수량%</v>
          </cell>
          <cell r="B330" t="str">
            <v>statType</v>
          </cell>
          <cell r="C330" t="str">
            <v>교역품 구매 가능 수량%</v>
          </cell>
          <cell r="D330">
            <v>3003</v>
          </cell>
        </row>
        <row r="331">
          <cell r="A331" t="str">
            <v>statType교역품 분류 가격</v>
          </cell>
          <cell r="B331" t="str">
            <v>statType</v>
          </cell>
          <cell r="C331" t="str">
            <v>교역품 분류 가격</v>
          </cell>
          <cell r="D331">
            <v>3004</v>
          </cell>
        </row>
        <row r="332">
          <cell r="A332" t="str">
            <v>statType교역품 분류 가격%</v>
          </cell>
          <cell r="B332" t="str">
            <v>statType</v>
          </cell>
          <cell r="C332" t="str">
            <v>교역품 분류 가격%</v>
          </cell>
          <cell r="D332">
            <v>3005</v>
          </cell>
        </row>
        <row r="333">
          <cell r="A333" t="str">
            <v>statType교역품 가격</v>
          </cell>
          <cell r="B333" t="str">
            <v>statType</v>
          </cell>
          <cell r="C333" t="str">
            <v>교역품 가격</v>
          </cell>
          <cell r="D333">
            <v>3006</v>
          </cell>
        </row>
        <row r="334">
          <cell r="A334" t="str">
            <v>statType교역품 가격%</v>
          </cell>
          <cell r="B334" t="str">
            <v>statType</v>
          </cell>
          <cell r="C334" t="str">
            <v>교역품 가격%</v>
          </cell>
          <cell r="D334">
            <v>3007</v>
          </cell>
        </row>
        <row r="335">
          <cell r="A335" t="str">
            <v>statType가격 협상 할인율</v>
          </cell>
          <cell r="B335" t="str">
            <v>statType</v>
          </cell>
          <cell r="C335" t="str">
            <v>가격 협상 할인율</v>
          </cell>
          <cell r="D335">
            <v>3008</v>
          </cell>
        </row>
        <row r="336">
          <cell r="A336" t="str">
            <v>statType가격 협상 할인율%</v>
          </cell>
          <cell r="B336" t="str">
            <v>statType</v>
          </cell>
          <cell r="C336" t="str">
            <v>가격 협상 할인율%</v>
          </cell>
          <cell r="D336">
            <v>3009</v>
          </cell>
        </row>
        <row r="337">
          <cell r="A337" t="str">
            <v>statType가격 협상 할증률</v>
          </cell>
          <cell r="B337" t="str">
            <v>statType</v>
          </cell>
          <cell r="C337" t="str">
            <v>가격 협상 할증률</v>
          </cell>
          <cell r="D337">
            <v>3010</v>
          </cell>
        </row>
        <row r="338">
          <cell r="A338" t="str">
            <v>statType가격 협상 할증률%</v>
          </cell>
          <cell r="B338" t="str">
            <v>statType</v>
          </cell>
          <cell r="C338" t="str">
            <v>가격 협상 할증률%</v>
          </cell>
          <cell r="D338">
            <v>3011</v>
          </cell>
        </row>
        <row r="339">
          <cell r="A339" t="str">
            <v>statType가격 협상 발생률</v>
          </cell>
          <cell r="B339" t="str">
            <v>statType</v>
          </cell>
          <cell r="C339" t="str">
            <v>가격 협상 발생률</v>
          </cell>
          <cell r="D339">
            <v>3012</v>
          </cell>
        </row>
        <row r="340">
          <cell r="A340" t="str">
            <v>statType가격 협상 발생률%</v>
          </cell>
          <cell r="B340" t="str">
            <v>statType</v>
          </cell>
          <cell r="C340" t="str">
            <v>가격 협상 발생률%</v>
          </cell>
          <cell r="D340">
            <v>3013</v>
          </cell>
        </row>
        <row r="341">
          <cell r="A341" t="str">
            <v>statType가격 협상 성공률</v>
          </cell>
          <cell r="B341" t="str">
            <v>statType</v>
          </cell>
          <cell r="C341" t="str">
            <v>가격 협상 성공률</v>
          </cell>
          <cell r="D341">
            <v>3014</v>
          </cell>
        </row>
        <row r="342">
          <cell r="A342" t="str">
            <v>statType가격 협상 성공률%</v>
          </cell>
          <cell r="B342" t="str">
            <v>statType</v>
          </cell>
          <cell r="C342" t="str">
            <v>가격 협상 성공률%</v>
          </cell>
          <cell r="D342">
            <v>3015</v>
          </cell>
        </row>
        <row r="343">
          <cell r="A343" t="str">
            <v>statType가격 협상 횟수</v>
          </cell>
          <cell r="B343" t="str">
            <v>statType</v>
          </cell>
          <cell r="C343" t="str">
            <v>가격 협상 횟수</v>
          </cell>
          <cell r="D343">
            <v>3016</v>
          </cell>
        </row>
        <row r="344">
          <cell r="A344" t="str">
            <v>statType가격 협상 횟수%</v>
          </cell>
          <cell r="B344" t="str">
            <v>statType</v>
          </cell>
          <cell r="C344" t="str">
            <v>가격 협상 횟수%</v>
          </cell>
          <cell r="D344">
            <v>3017</v>
          </cell>
        </row>
        <row r="345">
          <cell r="A345" t="str">
            <v>statType관세율</v>
          </cell>
          <cell r="B345" t="str">
            <v>statType</v>
          </cell>
          <cell r="C345" t="str">
            <v>관세율</v>
          </cell>
          <cell r="D345">
            <v>3018</v>
          </cell>
        </row>
        <row r="346">
          <cell r="A346" t="str">
            <v>statType선박 속도</v>
          </cell>
          <cell r="B346" t="str">
            <v>statType</v>
          </cell>
          <cell r="C346" t="str">
            <v>선박 속도</v>
          </cell>
          <cell r="D346">
            <v>4000</v>
          </cell>
        </row>
        <row r="347">
          <cell r="A347" t="str">
            <v>statType선박 속도%</v>
          </cell>
          <cell r="B347" t="str">
            <v>statType</v>
          </cell>
          <cell r="C347" t="str">
            <v>선박 속도%</v>
          </cell>
          <cell r="D347">
            <v>4001</v>
          </cell>
        </row>
        <row r="348">
          <cell r="A348" t="str">
            <v>statType해상 재해 상태 예방</v>
          </cell>
          <cell r="B348" t="str">
            <v>statType</v>
          </cell>
          <cell r="C348" t="str">
            <v>해상 재해 상태 예방</v>
          </cell>
          <cell r="D348">
            <v>4002</v>
          </cell>
        </row>
        <row r="349">
          <cell r="A349" t="str">
            <v>statType해상 재해 상태 예방%</v>
          </cell>
          <cell r="B349" t="str">
            <v>statType</v>
          </cell>
          <cell r="C349" t="str">
            <v>해상 재해 상태 예방%</v>
          </cell>
          <cell r="D349">
            <v>4003</v>
          </cell>
        </row>
        <row r="350">
          <cell r="A350" t="str">
            <v>statType해상 재해 상태 피해</v>
          </cell>
          <cell r="B350" t="str">
            <v>statType</v>
          </cell>
          <cell r="C350" t="str">
            <v>해상 재해 상태 피해</v>
          </cell>
          <cell r="D350">
            <v>4004</v>
          </cell>
        </row>
        <row r="351">
          <cell r="A351" t="str">
            <v>statType해상 재해 상태 피해%</v>
          </cell>
          <cell r="B351" t="str">
            <v>statType</v>
          </cell>
          <cell r="C351" t="str">
            <v>해상 재해 상태 피해%</v>
          </cell>
          <cell r="D351">
            <v>4005</v>
          </cell>
        </row>
        <row r="352">
          <cell r="A352" t="str">
            <v>statType물 보유량</v>
          </cell>
          <cell r="B352" t="str">
            <v>statType</v>
          </cell>
          <cell r="C352" t="str">
            <v>물 보유량</v>
          </cell>
          <cell r="D352">
            <v>4006</v>
          </cell>
        </row>
        <row r="353">
          <cell r="A353" t="str">
            <v>statType물 보유량%</v>
          </cell>
          <cell r="B353" t="str">
            <v>statType</v>
          </cell>
          <cell r="C353" t="str">
            <v>물 보유량%</v>
          </cell>
          <cell r="D353">
            <v>4007</v>
          </cell>
        </row>
        <row r="354">
          <cell r="A354" t="str">
            <v>statType식량 보유량</v>
          </cell>
          <cell r="B354" t="str">
            <v>statType</v>
          </cell>
          <cell r="C354" t="str">
            <v>식량 보유량</v>
          </cell>
          <cell r="D354">
            <v>4008</v>
          </cell>
        </row>
        <row r="355">
          <cell r="A355" t="str">
            <v>statType식량 보유량%</v>
          </cell>
          <cell r="B355" t="str">
            <v>statType</v>
          </cell>
          <cell r="C355" t="str">
            <v>식량 보유량%</v>
          </cell>
          <cell r="D355">
            <v>4009</v>
          </cell>
        </row>
        <row r="356">
          <cell r="A356" t="str">
            <v>statType식량 소모량</v>
          </cell>
          <cell r="B356" t="str">
            <v>statType</v>
          </cell>
          <cell r="C356" t="str">
            <v>식량 소모량</v>
          </cell>
          <cell r="D356">
            <v>4010</v>
          </cell>
        </row>
        <row r="357">
          <cell r="A357" t="str">
            <v>statType식량 소모량%</v>
          </cell>
          <cell r="B357" t="str">
            <v>statType</v>
          </cell>
          <cell r="C357" t="str">
            <v>식량 소모량%</v>
          </cell>
          <cell r="D357">
            <v>4011</v>
          </cell>
        </row>
        <row r="358">
          <cell r="A358" t="str">
            <v>statType돛 손상률</v>
          </cell>
          <cell r="B358" t="str">
            <v>statType</v>
          </cell>
          <cell r="C358" t="str">
            <v>돛 손상률</v>
          </cell>
          <cell r="D358">
            <v>4012</v>
          </cell>
        </row>
        <row r="359">
          <cell r="A359" t="str">
            <v>statType돛 손상률%</v>
          </cell>
          <cell r="B359" t="str">
            <v>statType</v>
          </cell>
          <cell r="C359" t="str">
            <v>돛 손상률%</v>
          </cell>
          <cell r="D359">
            <v>4013</v>
          </cell>
        </row>
        <row r="360">
          <cell r="A360" t="str">
            <v>statType키 손상률</v>
          </cell>
          <cell r="B360" t="str">
            <v>statType</v>
          </cell>
          <cell r="C360" t="str">
            <v>키 손상률</v>
          </cell>
          <cell r="D360">
            <v>4014</v>
          </cell>
        </row>
        <row r="361">
          <cell r="A361" t="str">
            <v>statType키 손상률%</v>
          </cell>
          <cell r="B361" t="str">
            <v>statType</v>
          </cell>
          <cell r="C361" t="str">
            <v>키 손상률%</v>
          </cell>
          <cell r="D361">
            <v>4015</v>
          </cell>
        </row>
        <row r="362">
          <cell r="A362" t="str">
            <v>statType감시 범위</v>
          </cell>
          <cell r="B362" t="str">
            <v>statType</v>
          </cell>
          <cell r="C362" t="str">
            <v>감시 범위</v>
          </cell>
          <cell r="D362">
            <v>4016</v>
          </cell>
        </row>
        <row r="363">
          <cell r="A363" t="str">
            <v>statType감시 범위%</v>
          </cell>
          <cell r="B363" t="str">
            <v>statType</v>
          </cell>
          <cell r="C363" t="str">
            <v>감시 범위%</v>
          </cell>
          <cell r="D363">
            <v>4017</v>
          </cell>
        </row>
        <row r="364">
          <cell r="A364" t="str">
            <v>statType선원수</v>
          </cell>
          <cell r="B364" t="str">
            <v>statType</v>
          </cell>
          <cell r="C364" t="str">
            <v>선원수</v>
          </cell>
          <cell r="D364">
            <v>4018</v>
          </cell>
        </row>
        <row r="365">
          <cell r="A365" t="str">
            <v>statType선원수%</v>
          </cell>
          <cell r="B365" t="str">
            <v>statType</v>
          </cell>
          <cell r="C365" t="str">
            <v>선원수%</v>
          </cell>
          <cell r="D365">
            <v>4019</v>
          </cell>
        </row>
        <row r="366">
          <cell r="A366" t="str">
            <v>statType우호도</v>
          </cell>
          <cell r="B366" t="str">
            <v>statType</v>
          </cell>
          <cell r="C366" t="str">
            <v>우호도</v>
          </cell>
          <cell r="D366">
            <v>4020</v>
          </cell>
        </row>
        <row r="367">
          <cell r="A367" t="str">
            <v>statType조우 확률%</v>
          </cell>
          <cell r="B367" t="str">
            <v>statType</v>
          </cell>
          <cell r="C367" t="str">
            <v>조우 확률%</v>
          </cell>
          <cell r="D367">
            <v>4021</v>
          </cell>
        </row>
        <row r="368">
          <cell r="A368" t="str">
            <v>statType충성도</v>
          </cell>
          <cell r="B368" t="str">
            <v>statType</v>
          </cell>
          <cell r="C368" t="str">
            <v>충성도</v>
          </cell>
          <cell r="D368">
            <v>4022</v>
          </cell>
        </row>
        <row r="369">
          <cell r="A369" t="str">
            <v>statType충성도%</v>
          </cell>
          <cell r="B369" t="str">
            <v>statType</v>
          </cell>
          <cell r="C369" t="str">
            <v>충성도%</v>
          </cell>
          <cell r="D369">
            <v>4023</v>
          </cell>
        </row>
        <row r="370">
          <cell r="A370" t="str">
            <v>statType교역품 수량</v>
          </cell>
          <cell r="B370" t="str">
            <v>statType</v>
          </cell>
          <cell r="C370" t="str">
            <v>교역품 수량</v>
          </cell>
          <cell r="D370">
            <v>4024</v>
          </cell>
        </row>
        <row r="371">
          <cell r="A371" t="str">
            <v>statType교역품 수량%</v>
          </cell>
          <cell r="B371" t="str">
            <v>statType</v>
          </cell>
          <cell r="C371" t="str">
            <v>교역품 수량%</v>
          </cell>
          <cell r="D371">
            <v>4025</v>
          </cell>
        </row>
        <row r="372">
          <cell r="A372" t="str">
            <v>statType항해사 부상률</v>
          </cell>
          <cell r="B372" t="str">
            <v>statType</v>
          </cell>
          <cell r="C372" t="str">
            <v>항해사 부상률</v>
          </cell>
          <cell r="D372">
            <v>4026</v>
          </cell>
        </row>
        <row r="373">
          <cell r="A373" t="str">
            <v>statType항해사 부상률%</v>
          </cell>
          <cell r="B373" t="str">
            <v>statType</v>
          </cell>
          <cell r="C373" t="str">
            <v>항해사 부상률%</v>
          </cell>
          <cell r="D373">
            <v>4027</v>
          </cell>
        </row>
        <row r="374">
          <cell r="A374" t="str">
            <v>statType항해사 부상 시간</v>
          </cell>
          <cell r="B374" t="str">
            <v>statType</v>
          </cell>
          <cell r="C374" t="str">
            <v>항해사 부상 시간</v>
          </cell>
          <cell r="D374">
            <v>4028</v>
          </cell>
        </row>
        <row r="375">
          <cell r="A375" t="str">
            <v>statType항해사 부상 시간%</v>
          </cell>
          <cell r="B375" t="str">
            <v>statType</v>
          </cell>
          <cell r="C375" t="str">
            <v>항해사 부상 시간%</v>
          </cell>
          <cell r="D375">
            <v>4029</v>
          </cell>
        </row>
        <row r="376">
          <cell r="A376" t="str">
            <v>statType항해사 부상 치료율</v>
          </cell>
          <cell r="B376" t="str">
            <v>statType</v>
          </cell>
          <cell r="C376" t="str">
            <v>항해사 부상 치료율</v>
          </cell>
          <cell r="D376">
            <v>4030</v>
          </cell>
        </row>
        <row r="377">
          <cell r="A377" t="str">
            <v>statType항해사 부상 치료율%</v>
          </cell>
          <cell r="B377" t="str">
            <v>statType</v>
          </cell>
          <cell r="C377" t="str">
            <v>항해사 부상 치료율%</v>
          </cell>
          <cell r="D377">
            <v>4031</v>
          </cell>
        </row>
        <row r="378">
          <cell r="A378" t="str">
            <v>statType발견물 획득 관련 스킬 발견 행동</v>
          </cell>
          <cell r="B378" t="str">
            <v>statType</v>
          </cell>
          <cell r="C378" t="str">
            <v>발견물 획득 관련 스킬 발견 행동</v>
          </cell>
          <cell r="D378">
            <v>4032</v>
          </cell>
        </row>
        <row r="379">
          <cell r="A379" t="str">
            <v>statType탐험 상태 피해량%</v>
          </cell>
          <cell r="B379" t="str">
            <v>statType</v>
          </cell>
          <cell r="C379" t="str">
            <v>탐험 상태 피해량%</v>
          </cell>
          <cell r="D379">
            <v>4033</v>
          </cell>
        </row>
        <row r="380">
          <cell r="A380" t="str">
            <v>statType캐릭터 이동 범위</v>
          </cell>
          <cell r="B380" t="str">
            <v>statType</v>
          </cell>
          <cell r="C380" t="str">
            <v>캐릭터 이동 범위</v>
          </cell>
          <cell r="D380">
            <v>4034</v>
          </cell>
        </row>
        <row r="381">
          <cell r="A381" t="str">
            <v>statType탐험 상태 발생률%</v>
          </cell>
          <cell r="B381" t="str">
            <v>statType</v>
          </cell>
          <cell r="C381" t="str">
            <v>탐험 상태 발생률%</v>
          </cell>
          <cell r="D381">
            <v>4035</v>
          </cell>
        </row>
        <row r="382">
          <cell r="A382" t="str">
            <v>statType탐험 상태 피해량</v>
          </cell>
          <cell r="B382" t="str">
            <v>statType</v>
          </cell>
          <cell r="C382" t="str">
            <v>탐험 상태 피해량</v>
          </cell>
          <cell r="D382">
            <v>4036</v>
          </cell>
        </row>
        <row r="383">
          <cell r="A383" t="str">
            <v>statType야생 동물 발견율%</v>
          </cell>
          <cell r="B383" t="str">
            <v>statType</v>
          </cell>
          <cell r="C383" t="str">
            <v>야생 동물 발견율%</v>
          </cell>
          <cell r="D383">
            <v>4037</v>
          </cell>
        </row>
        <row r="384">
          <cell r="A384" t="str">
            <v>statType아이템 획득률</v>
          </cell>
          <cell r="B384" t="str">
            <v>statType</v>
          </cell>
          <cell r="C384" t="str">
            <v>아이템 획득률</v>
          </cell>
          <cell r="D384">
            <v>4038</v>
          </cell>
        </row>
        <row r="385">
          <cell r="A385" t="str">
            <v>statType아이템 획득률%</v>
          </cell>
          <cell r="B385" t="str">
            <v>statType</v>
          </cell>
          <cell r="C385" t="str">
            <v>아이템 획득률%</v>
          </cell>
          <cell r="D385">
            <v>4039</v>
          </cell>
        </row>
        <row r="386">
          <cell r="A386" t="str">
            <v>statType환대 필요 재화량</v>
          </cell>
          <cell r="B386" t="str">
            <v>statType</v>
          </cell>
          <cell r="C386" t="str">
            <v>환대 필요 재화량</v>
          </cell>
          <cell r="D386">
            <v>4040</v>
          </cell>
        </row>
        <row r="387">
          <cell r="A387" t="str">
            <v>statType환대 필요 재화량%</v>
          </cell>
          <cell r="B387" t="str">
            <v>statType</v>
          </cell>
          <cell r="C387" t="str">
            <v>환대 필요 재화량%</v>
          </cell>
          <cell r="D387">
            <v>4041</v>
          </cell>
        </row>
        <row r="388">
          <cell r="A388" t="str">
            <v>statType약탈 피해량</v>
          </cell>
          <cell r="B388" t="str">
            <v>statType</v>
          </cell>
          <cell r="C388" t="str">
            <v>약탈 피해량</v>
          </cell>
          <cell r="D388">
            <v>4042</v>
          </cell>
        </row>
        <row r="389">
          <cell r="A389" t="str">
            <v>statType약탈 피해량%</v>
          </cell>
          <cell r="B389" t="str">
            <v>statType</v>
          </cell>
          <cell r="C389" t="str">
            <v>약탈 피해량%</v>
          </cell>
          <cell r="D389">
            <v>4043</v>
          </cell>
        </row>
        <row r="390">
          <cell r="A390" t="str">
            <v>statType보급품 획득량</v>
          </cell>
          <cell r="B390" t="str">
            <v>statType</v>
          </cell>
          <cell r="C390" t="str">
            <v>보급품 획득량</v>
          </cell>
          <cell r="D390">
            <v>4044</v>
          </cell>
        </row>
        <row r="391">
          <cell r="A391" t="str">
            <v>statType보급품 획득량%</v>
          </cell>
          <cell r="B391" t="str">
            <v>statType</v>
          </cell>
          <cell r="C391" t="str">
            <v>보급품 획득량%</v>
          </cell>
          <cell r="D391">
            <v>4045</v>
          </cell>
        </row>
        <row r="392">
          <cell r="A392" t="str">
            <v>statType여급 호감도</v>
          </cell>
          <cell r="B392" t="str">
            <v>statType</v>
          </cell>
          <cell r="C392" t="str">
            <v>여급 호감도</v>
          </cell>
          <cell r="D392">
            <v>4046</v>
          </cell>
        </row>
        <row r="393">
          <cell r="A393" t="str">
            <v>statType여급 호감도%</v>
          </cell>
          <cell r="B393" t="str">
            <v>statType</v>
          </cell>
          <cell r="C393" t="str">
            <v>여급 호감도%</v>
          </cell>
          <cell r="D393">
            <v>4047</v>
          </cell>
        </row>
        <row r="394">
          <cell r="A394" t="str">
            <v>statType발견물 보고 보상률</v>
          </cell>
          <cell r="B394" t="str">
            <v>statType</v>
          </cell>
          <cell r="C394" t="str">
            <v>발견물 보고 보상률</v>
          </cell>
          <cell r="D394">
            <v>4048</v>
          </cell>
        </row>
        <row r="395">
          <cell r="A395" t="str">
            <v>statType발견물 보고 보상률%</v>
          </cell>
          <cell r="B395" t="str">
            <v>statType</v>
          </cell>
          <cell r="C395" t="str">
            <v>발견물 보고 보상률%</v>
          </cell>
          <cell r="D395">
            <v>4049</v>
          </cell>
        </row>
        <row r="396">
          <cell r="A396" t="str">
            <v>throughTileType정지</v>
          </cell>
          <cell r="B396" t="str">
            <v>throughTileType</v>
          </cell>
          <cell r="C396" t="str">
            <v>정지</v>
          </cell>
          <cell r="D396">
            <v>0</v>
          </cell>
        </row>
        <row r="397">
          <cell r="A397" t="str">
            <v>throughTileType정지&amp;경유</v>
          </cell>
          <cell r="B397" t="str">
            <v>throughTileType</v>
          </cell>
          <cell r="C397" t="str">
            <v>정지&amp;경유</v>
          </cell>
          <cell r="D397">
            <v>1</v>
          </cell>
        </row>
        <row r="398">
          <cell r="A398" t="str">
            <v>obstacleType아님</v>
          </cell>
          <cell r="B398" t="str">
            <v>obstacleType</v>
          </cell>
          <cell r="C398" t="str">
            <v>아님</v>
          </cell>
          <cell r="D398">
            <v>0</v>
          </cell>
        </row>
        <row r="399">
          <cell r="A399" t="str">
            <v>obstacleType작음</v>
          </cell>
          <cell r="B399" t="str">
            <v>obstacleType</v>
          </cell>
          <cell r="C399" t="str">
            <v>작음</v>
          </cell>
          <cell r="D399">
            <v>1</v>
          </cell>
        </row>
        <row r="400">
          <cell r="A400" t="str">
            <v>obstacleType큼</v>
          </cell>
          <cell r="B400" t="str">
            <v>obstacleType</v>
          </cell>
          <cell r="C400" t="str">
            <v>큼</v>
          </cell>
          <cell r="D400">
            <v>2</v>
          </cell>
        </row>
        <row r="401">
          <cell r="A401" t="str">
            <v>jobType없음</v>
          </cell>
          <cell r="B401" t="str">
            <v>jobType</v>
          </cell>
          <cell r="C401" t="str">
            <v>없음</v>
          </cell>
          <cell r="D401">
            <v>0</v>
          </cell>
        </row>
        <row r="402">
          <cell r="A402" t="str">
            <v>jobType모험</v>
          </cell>
          <cell r="B402" t="str">
            <v>jobType</v>
          </cell>
          <cell r="C402" t="str">
            <v>모험</v>
          </cell>
          <cell r="D402">
            <v>1</v>
          </cell>
        </row>
        <row r="403">
          <cell r="A403" t="str">
            <v>jobType교역</v>
          </cell>
          <cell r="B403" t="str">
            <v>jobType</v>
          </cell>
          <cell r="C403" t="str">
            <v>교역</v>
          </cell>
          <cell r="D403">
            <v>2</v>
          </cell>
        </row>
        <row r="404">
          <cell r="A404" t="str">
            <v>jobType전투</v>
          </cell>
          <cell r="B404" t="str">
            <v>jobType</v>
          </cell>
          <cell r="C404" t="str">
            <v>전투</v>
          </cell>
          <cell r="D404">
            <v>3</v>
          </cell>
        </row>
        <row r="405">
          <cell r="A405" t="str">
            <v>jobBattleType전투 아님</v>
          </cell>
          <cell r="B405" t="str">
            <v>jobBattleType</v>
          </cell>
          <cell r="C405" t="str">
            <v>전투 아님</v>
          </cell>
          <cell r="D405">
            <v>0</v>
          </cell>
        </row>
        <row r="406">
          <cell r="A406" t="str">
            <v>jobBattleType충파</v>
          </cell>
          <cell r="B406" t="str">
            <v>jobBattleType</v>
          </cell>
          <cell r="C406" t="str">
            <v>충파</v>
          </cell>
          <cell r="D406">
            <v>1</v>
          </cell>
        </row>
        <row r="407">
          <cell r="A407" t="str">
            <v>jobBattleType지원</v>
          </cell>
          <cell r="B407" t="str">
            <v>jobBattleType</v>
          </cell>
          <cell r="C407" t="str">
            <v>지원</v>
          </cell>
          <cell r="D407">
            <v>2</v>
          </cell>
        </row>
        <row r="408">
          <cell r="A408" t="str">
            <v>jobBattleType포격</v>
          </cell>
          <cell r="B408" t="str">
            <v>jobBattleType</v>
          </cell>
          <cell r="C408" t="str">
            <v>포격</v>
          </cell>
          <cell r="D408">
            <v>3</v>
          </cell>
        </row>
        <row r="409">
          <cell r="A409" t="str">
            <v>jobBattleType백병</v>
          </cell>
          <cell r="B409" t="str">
            <v>jobBattleType</v>
          </cell>
          <cell r="C409" t="str">
            <v>백병</v>
          </cell>
          <cell r="D409">
            <v>4</v>
          </cell>
        </row>
        <row r="410">
          <cell r="A410" t="str">
            <v>SkillActionType없음</v>
          </cell>
          <cell r="B410" t="str">
            <v>SkillActionType</v>
          </cell>
          <cell r="C410" t="str">
            <v>없음</v>
          </cell>
          <cell r="D410">
            <v>0</v>
          </cell>
        </row>
        <row r="411">
          <cell r="A411" t="str">
            <v>SkillActionType유닛 타겟</v>
          </cell>
          <cell r="B411" t="str">
            <v>SkillActionType</v>
          </cell>
          <cell r="C411" t="str">
            <v>유닛 타겟</v>
          </cell>
          <cell r="D411">
            <v>1</v>
          </cell>
        </row>
        <row r="412">
          <cell r="A412" t="str">
            <v>SkillActionType타일 타겟</v>
          </cell>
          <cell r="B412" t="str">
            <v>SkillActionType</v>
          </cell>
          <cell r="C412" t="str">
            <v>타일 타겟</v>
          </cell>
          <cell r="D412">
            <v>2</v>
          </cell>
        </row>
        <row r="413">
          <cell r="A413" t="str">
            <v>useDuelEffectTypeglobal 가능</v>
          </cell>
          <cell r="B413" t="str">
            <v>useDuelEffectType</v>
          </cell>
          <cell r="C413" t="str">
            <v>global 가능</v>
          </cell>
          <cell r="D413">
            <v>0</v>
          </cell>
        </row>
        <row r="414">
          <cell r="A414" t="str">
            <v>useDuelEffectTypeself 가능</v>
          </cell>
          <cell r="B414" t="str">
            <v>useDuelEffectType</v>
          </cell>
          <cell r="C414" t="str">
            <v>self 가능</v>
          </cell>
          <cell r="D414">
            <v>1</v>
          </cell>
        </row>
        <row r="415">
          <cell r="A415" t="str">
            <v>useDuelEffectTypetarget 가능</v>
          </cell>
          <cell r="B415" t="str">
            <v>useDuelEffectType</v>
          </cell>
          <cell r="C415" t="str">
            <v>target 가능</v>
          </cell>
          <cell r="D415">
            <v>2</v>
          </cell>
        </row>
        <row r="416">
          <cell r="A416" t="str">
            <v>useDuelEffectTypeself,target 가능</v>
          </cell>
          <cell r="B416" t="str">
            <v>useDuelEffectType</v>
          </cell>
          <cell r="C416" t="str">
            <v>self,target 가능</v>
          </cell>
          <cell r="D416">
            <v>3</v>
          </cell>
        </row>
        <row r="417">
          <cell r="A417" t="str">
            <v>duelEffectTimingType행동 전</v>
          </cell>
          <cell r="B417" t="str">
            <v>duelEffectTimingType</v>
          </cell>
          <cell r="C417" t="str">
            <v>행동 전</v>
          </cell>
          <cell r="D417">
            <v>0</v>
          </cell>
        </row>
        <row r="418">
          <cell r="A418" t="str">
            <v>duelEffectTimingType행동 후</v>
          </cell>
          <cell r="B418" t="str">
            <v>duelEffectTimingType</v>
          </cell>
          <cell r="C418" t="str">
            <v>행동 후</v>
          </cell>
          <cell r="D418">
            <v>1</v>
          </cell>
        </row>
        <row r="419">
          <cell r="A419" t="str">
            <v>duelSkillUseType사용 제한 없음</v>
          </cell>
          <cell r="B419" t="str">
            <v>duelSkillUseType</v>
          </cell>
          <cell r="C419" t="str">
            <v>사용 제한 없음</v>
          </cell>
          <cell r="D419">
            <v>0</v>
          </cell>
        </row>
        <row r="420">
          <cell r="A420" t="str">
            <v>duelSkillUseType공격 스킬</v>
          </cell>
          <cell r="B420" t="str">
            <v>duelSkillUseType</v>
          </cell>
          <cell r="C420" t="str">
            <v>공격 스킬</v>
          </cell>
          <cell r="D420">
            <v>1</v>
          </cell>
        </row>
        <row r="421">
          <cell r="A421" t="str">
            <v>duelSkillUseType방어스킬</v>
          </cell>
          <cell r="B421" t="str">
            <v>duelSkillUseType</v>
          </cell>
          <cell r="C421" t="str">
            <v>방어스킬</v>
          </cell>
          <cell r="D421">
            <v>2</v>
          </cell>
        </row>
        <row r="422">
          <cell r="A422" t="str">
            <v>townTermsType없음</v>
          </cell>
          <cell r="B422" t="str">
            <v>townTermsType</v>
          </cell>
          <cell r="C422" t="str">
            <v>없음</v>
          </cell>
          <cell r="D422">
            <v>0</v>
          </cell>
        </row>
        <row r="423">
          <cell r="A423" t="str">
            <v>townTermsType공업 발전 LV</v>
          </cell>
          <cell r="B423" t="str">
            <v>townTermsType</v>
          </cell>
          <cell r="C423" t="str">
            <v>공업 발전 LV</v>
          </cell>
          <cell r="D423">
            <v>1</v>
          </cell>
        </row>
        <row r="424">
          <cell r="A424" t="str">
            <v>townTermsType상업 발전 LV</v>
          </cell>
          <cell r="B424" t="str">
            <v>townTermsType</v>
          </cell>
          <cell r="C424" t="str">
            <v>상업 발전 LV</v>
          </cell>
          <cell r="D424">
            <v>2</v>
          </cell>
        </row>
        <row r="425">
          <cell r="A425" t="str">
            <v>townTermsType군사 발전 LV</v>
          </cell>
          <cell r="B425" t="str">
            <v>townTermsType</v>
          </cell>
          <cell r="C425" t="str">
            <v>군사 발전 LV</v>
          </cell>
          <cell r="D425">
            <v>3</v>
          </cell>
        </row>
        <row r="426">
          <cell r="A426" t="str">
            <v>townTermsType발전 LV 합</v>
          </cell>
          <cell r="B426" t="str">
            <v>townTermsType</v>
          </cell>
          <cell r="C426" t="str">
            <v>발전 LV 합</v>
          </cell>
          <cell r="D426">
            <v>4</v>
          </cell>
        </row>
        <row r="427">
          <cell r="A427" t="str">
            <v>tradeGoodsCategory식료품</v>
          </cell>
          <cell r="B427" t="str">
            <v>tradeGoodsCategory</v>
          </cell>
          <cell r="C427" t="str">
            <v>식료품</v>
          </cell>
          <cell r="D427">
            <v>0</v>
          </cell>
        </row>
        <row r="428">
          <cell r="A428" t="str">
            <v>tradeGoodsCategory조미료</v>
          </cell>
          <cell r="B428" t="str">
            <v>tradeGoodsCategory</v>
          </cell>
          <cell r="C428" t="str">
            <v>조미료</v>
          </cell>
          <cell r="D428">
            <v>1</v>
          </cell>
        </row>
        <row r="429">
          <cell r="A429" t="str">
            <v>tradeGoodsCategory가축</v>
          </cell>
          <cell r="B429" t="str">
            <v>tradeGoodsCategory</v>
          </cell>
          <cell r="C429" t="str">
            <v>가축</v>
          </cell>
          <cell r="D429">
            <v>2</v>
          </cell>
        </row>
        <row r="430">
          <cell r="A430" t="str">
            <v>tradeGoodsCategory의약품</v>
          </cell>
          <cell r="B430" t="str">
            <v>tradeGoodsCategory</v>
          </cell>
          <cell r="C430" t="str">
            <v>의약품</v>
          </cell>
          <cell r="D430">
            <v>3</v>
          </cell>
        </row>
        <row r="431">
          <cell r="A431" t="str">
            <v>tradeGoodsCategory잡화</v>
          </cell>
          <cell r="B431" t="str">
            <v>tradeGoodsCategory</v>
          </cell>
          <cell r="C431" t="str">
            <v>잡화</v>
          </cell>
          <cell r="D431">
            <v>4</v>
          </cell>
        </row>
        <row r="432">
          <cell r="A432" t="str">
            <v>tradeGoodsCategory주류</v>
          </cell>
          <cell r="B432" t="str">
            <v>tradeGoodsCategory</v>
          </cell>
          <cell r="C432" t="str">
            <v>주류</v>
          </cell>
          <cell r="D432">
            <v>5</v>
          </cell>
        </row>
        <row r="433">
          <cell r="A433" t="str">
            <v>tradeGoodsCategory염료</v>
          </cell>
          <cell r="B433" t="str">
            <v>tradeGoodsCategory</v>
          </cell>
          <cell r="C433" t="str">
            <v>염료</v>
          </cell>
          <cell r="D433">
            <v>6</v>
          </cell>
        </row>
        <row r="434">
          <cell r="A434" t="str">
            <v>tradeGoodsCategory광석</v>
          </cell>
          <cell r="B434" t="str">
            <v>tradeGoodsCategory</v>
          </cell>
          <cell r="C434" t="str">
            <v>광석</v>
          </cell>
          <cell r="D434">
            <v>7</v>
          </cell>
        </row>
        <row r="435">
          <cell r="A435" t="str">
            <v>tradeGoodsCategory공업품</v>
          </cell>
          <cell r="B435" t="str">
            <v>tradeGoodsCategory</v>
          </cell>
          <cell r="C435" t="str">
            <v>공업품</v>
          </cell>
          <cell r="D435">
            <v>8</v>
          </cell>
        </row>
        <row r="436">
          <cell r="A436" t="str">
            <v>tradeGoodsCategory기호품</v>
          </cell>
          <cell r="B436" t="str">
            <v>tradeGoodsCategory</v>
          </cell>
          <cell r="C436" t="str">
            <v>기호품</v>
          </cell>
          <cell r="D436">
            <v>9</v>
          </cell>
        </row>
        <row r="437">
          <cell r="A437" t="str">
            <v>tradeGoodsCategory섬유</v>
          </cell>
          <cell r="B437" t="str">
            <v>tradeGoodsCategory</v>
          </cell>
          <cell r="C437" t="str">
            <v>섬유</v>
          </cell>
          <cell r="D437">
            <v>10</v>
          </cell>
        </row>
        <row r="438">
          <cell r="A438" t="str">
            <v>tradeGoodsCategory직물</v>
          </cell>
          <cell r="B438" t="str">
            <v>tradeGoodsCategory</v>
          </cell>
          <cell r="C438" t="str">
            <v>직물</v>
          </cell>
          <cell r="D438">
            <v>11</v>
          </cell>
        </row>
        <row r="439">
          <cell r="A439" t="str">
            <v>tradeGoodsCategory공예품</v>
          </cell>
          <cell r="B439" t="str">
            <v>tradeGoodsCategory</v>
          </cell>
          <cell r="C439" t="str">
            <v>공예품</v>
          </cell>
          <cell r="D439">
            <v>12</v>
          </cell>
        </row>
        <row r="440">
          <cell r="A440" t="str">
            <v>tradeGoodsCategory미술품</v>
          </cell>
          <cell r="B440" t="str">
            <v>tradeGoodsCategory</v>
          </cell>
          <cell r="C440" t="str">
            <v>미술품</v>
          </cell>
          <cell r="D440">
            <v>13</v>
          </cell>
        </row>
        <row r="441">
          <cell r="A441" t="str">
            <v>tradeGoodsCategory향신료</v>
          </cell>
          <cell r="B441" t="str">
            <v>tradeGoodsCategory</v>
          </cell>
          <cell r="C441" t="str">
            <v>향신료</v>
          </cell>
          <cell r="D441">
            <v>14</v>
          </cell>
        </row>
        <row r="442">
          <cell r="A442" t="str">
            <v>tradeGoodsCategory귀금속</v>
          </cell>
          <cell r="B442" t="str">
            <v>tradeGoodsCategory</v>
          </cell>
          <cell r="C442" t="str">
            <v>귀금속</v>
          </cell>
          <cell r="D442">
            <v>15</v>
          </cell>
        </row>
        <row r="443">
          <cell r="A443" t="str">
            <v>tradeGoodsCategory향료</v>
          </cell>
          <cell r="B443" t="str">
            <v>tradeGoodsCategory</v>
          </cell>
          <cell r="C443" t="str">
            <v>향료</v>
          </cell>
          <cell r="D443">
            <v>16</v>
          </cell>
        </row>
        <row r="444">
          <cell r="A444" t="str">
            <v>tradeGoodsCategory보석</v>
          </cell>
          <cell r="B444" t="str">
            <v>tradeGoodsCategory</v>
          </cell>
          <cell r="C444" t="str">
            <v>보석</v>
          </cell>
          <cell r="D444">
            <v>17</v>
          </cell>
        </row>
        <row r="445">
          <cell r="A445" t="str">
            <v>tradeGoodsCategory무기류</v>
          </cell>
          <cell r="B445" t="str">
            <v>tradeGoodsCategory</v>
          </cell>
          <cell r="C445" t="str">
            <v>무기류</v>
          </cell>
          <cell r="D445">
            <v>18</v>
          </cell>
        </row>
        <row r="446">
          <cell r="A446" t="str">
            <v>tradeGoodsCategory총포류</v>
          </cell>
          <cell r="B446" t="str">
            <v>tradeGoodsCategory</v>
          </cell>
          <cell r="C446" t="str">
            <v>총포류</v>
          </cell>
          <cell r="D446">
            <v>19</v>
          </cell>
        </row>
        <row r="447">
          <cell r="A447" t="str">
            <v>townDevelopType공업 발전</v>
          </cell>
          <cell r="B447" t="str">
            <v>townDevelopType</v>
          </cell>
          <cell r="C447" t="str">
            <v>공업 발전</v>
          </cell>
          <cell r="D447">
            <v>1</v>
          </cell>
        </row>
        <row r="448">
          <cell r="A448" t="str">
            <v>townDevelopType상업 발전</v>
          </cell>
          <cell r="B448" t="str">
            <v>townDevelopType</v>
          </cell>
          <cell r="C448" t="str">
            <v>상업 발전</v>
          </cell>
          <cell r="D448">
            <v>2</v>
          </cell>
        </row>
        <row r="449">
          <cell r="A449" t="str">
            <v>townDevelopType군사 발전</v>
          </cell>
          <cell r="B449" t="str">
            <v>townDevelopType</v>
          </cell>
          <cell r="C449" t="str">
            <v>군사 발전</v>
          </cell>
          <cell r="D449">
            <v>3</v>
          </cell>
        </row>
        <row r="450">
          <cell r="A450" t="str">
            <v>arrowIcon없음</v>
          </cell>
          <cell r="B450" t="str">
            <v>arrowIcon</v>
          </cell>
          <cell r="C450" t="str">
            <v>없음</v>
          </cell>
          <cell r="D450">
            <v>0</v>
          </cell>
        </row>
        <row r="451">
          <cell r="A451" t="str">
            <v>arrowIcon위</v>
          </cell>
          <cell r="B451" t="str">
            <v>arrowIcon</v>
          </cell>
          <cell r="C451" t="str">
            <v>위</v>
          </cell>
          <cell r="D451">
            <v>1</v>
          </cell>
        </row>
        <row r="452">
          <cell r="A452" t="str">
            <v>arrowIcon아래</v>
          </cell>
          <cell r="B452" t="str">
            <v>arrowIcon</v>
          </cell>
          <cell r="C452" t="str">
            <v>아래</v>
          </cell>
          <cell r="D452">
            <v>2</v>
          </cell>
        </row>
        <row r="453">
          <cell r="A453" t="str">
            <v>rewardType포인트</v>
          </cell>
          <cell r="B453" t="str">
            <v>rewardType</v>
          </cell>
          <cell r="C453" t="str">
            <v>포인트</v>
          </cell>
          <cell r="D453">
            <v>1</v>
          </cell>
        </row>
        <row r="454">
          <cell r="A454" t="str">
            <v>rewardType아이템</v>
          </cell>
          <cell r="B454" t="str">
            <v>rewardType</v>
          </cell>
          <cell r="C454" t="str">
            <v>아이템</v>
          </cell>
          <cell r="D454">
            <v>2</v>
          </cell>
        </row>
        <row r="455">
          <cell r="A455" t="str">
            <v>rewardType보급품</v>
          </cell>
          <cell r="B455" t="str">
            <v>rewardType</v>
          </cell>
          <cell r="C455" t="str">
            <v>보급품</v>
          </cell>
          <cell r="D455">
            <v>3</v>
          </cell>
        </row>
        <row r="456">
          <cell r="A456" t="str">
            <v>rewardType교역품</v>
          </cell>
          <cell r="B456" t="str">
            <v>rewardType</v>
          </cell>
          <cell r="C456" t="str">
            <v>교역품</v>
          </cell>
          <cell r="D456">
            <v>4</v>
          </cell>
        </row>
        <row r="457">
          <cell r="A457" t="str">
            <v>rewardType항해사 장비</v>
          </cell>
          <cell r="B457" t="str">
            <v>rewardType</v>
          </cell>
          <cell r="C457" t="str">
            <v>항해사 장비</v>
          </cell>
          <cell r="D457">
            <v>5</v>
          </cell>
        </row>
        <row r="458">
          <cell r="A458" t="str">
            <v>rewardType선박</v>
          </cell>
          <cell r="B458" t="str">
            <v>rewardType</v>
          </cell>
          <cell r="C458" t="str">
            <v>선박</v>
          </cell>
          <cell r="D458">
            <v>6</v>
          </cell>
        </row>
        <row r="459">
          <cell r="A459" t="str">
            <v>rewardType항해사</v>
          </cell>
          <cell r="B459" t="str">
            <v>rewardType</v>
          </cell>
          <cell r="C459" t="str">
            <v>항해사</v>
          </cell>
          <cell r="D459">
            <v>7</v>
          </cell>
        </row>
        <row r="460">
          <cell r="A460" t="str">
            <v>rewardType설계도</v>
          </cell>
          <cell r="B460" t="str">
            <v>rewardType</v>
          </cell>
          <cell r="C460" t="str">
            <v>설계도</v>
          </cell>
          <cell r="D460">
            <v>8</v>
          </cell>
        </row>
        <row r="461">
          <cell r="A461" t="str">
            <v>rewardType부품</v>
          </cell>
          <cell r="B461" t="str">
            <v>rewardType</v>
          </cell>
          <cell r="C461" t="str">
            <v>부품</v>
          </cell>
          <cell r="D461">
            <v>9</v>
          </cell>
        </row>
        <row r="462">
          <cell r="A462" t="str">
            <v>rewardType의뢰서</v>
          </cell>
          <cell r="B462" t="str">
            <v>rewardType</v>
          </cell>
          <cell r="C462" t="str">
            <v>의뢰서</v>
          </cell>
          <cell r="D462">
            <v>10</v>
          </cell>
        </row>
        <row r="463">
          <cell r="A463" t="str">
            <v>rewardType전투 경험치</v>
          </cell>
          <cell r="B463" t="str">
            <v>rewardType</v>
          </cell>
          <cell r="C463" t="str">
            <v>전투 경험치</v>
          </cell>
          <cell r="D463">
            <v>11</v>
          </cell>
        </row>
        <row r="464">
          <cell r="A464" t="str">
            <v>rewardType교역 경험치</v>
          </cell>
          <cell r="B464" t="str">
            <v>rewardType</v>
          </cell>
          <cell r="C464" t="str">
            <v>교역 경험치</v>
          </cell>
          <cell r="D464">
            <v>12</v>
          </cell>
        </row>
        <row r="465">
          <cell r="A465" t="str">
            <v>rewardType모험 경험치</v>
          </cell>
          <cell r="B465" t="str">
            <v>rewardType</v>
          </cell>
          <cell r="C465" t="str">
            <v>모험 경험치</v>
          </cell>
          <cell r="D465">
            <v>13</v>
          </cell>
        </row>
        <row r="466">
          <cell r="A466" t="str">
            <v>rewardType전투 명성</v>
          </cell>
          <cell r="B466" t="str">
            <v>rewardType</v>
          </cell>
          <cell r="C466" t="str">
            <v>전투 명성</v>
          </cell>
          <cell r="D466">
            <v>14</v>
          </cell>
        </row>
        <row r="467">
          <cell r="A467" t="str">
            <v>rewardType교역 명성</v>
          </cell>
          <cell r="B467" t="str">
            <v>rewardType</v>
          </cell>
          <cell r="C467" t="str">
            <v>교역 명성</v>
          </cell>
          <cell r="D467">
            <v>15</v>
          </cell>
        </row>
        <row r="468">
          <cell r="A468" t="str">
            <v>rewardType모험 명성</v>
          </cell>
          <cell r="B468" t="str">
            <v>rewardType</v>
          </cell>
          <cell r="C468" t="str">
            <v>모험 명성</v>
          </cell>
          <cell r="D468">
            <v>16</v>
          </cell>
        </row>
        <row r="469">
          <cell r="A469" t="str">
            <v>rewardType선원</v>
          </cell>
          <cell r="B469" t="str">
            <v>rewardType</v>
          </cell>
          <cell r="C469" t="str">
            <v>선원</v>
          </cell>
          <cell r="D469">
            <v>17</v>
          </cell>
        </row>
        <row r="470">
          <cell r="A470" t="str">
            <v>rewardType항해사 친밀도/충성도</v>
          </cell>
          <cell r="B470" t="str">
            <v>rewardType</v>
          </cell>
          <cell r="C470" t="str">
            <v>항해사 친밀도/충성도</v>
          </cell>
          <cell r="D470">
            <v>18</v>
          </cell>
        </row>
        <row r="471">
          <cell r="A471" t="str">
            <v>rewardType행동력</v>
          </cell>
          <cell r="B471" t="str">
            <v>rewardType</v>
          </cell>
          <cell r="C471" t="str">
            <v>행동력</v>
          </cell>
          <cell r="D471">
            <v>19</v>
          </cell>
        </row>
        <row r="472">
          <cell r="A472" t="str">
            <v>rewardType패스 경험치</v>
          </cell>
          <cell r="B472" t="str">
            <v>rewardType</v>
          </cell>
          <cell r="C472" t="str">
            <v>패스 경험치</v>
          </cell>
          <cell r="D472">
            <v>21</v>
          </cell>
        </row>
        <row r="473">
          <cell r="A473" t="str">
            <v>rewardType면세증</v>
          </cell>
          <cell r="B473" t="str">
            <v>rewardType</v>
          </cell>
          <cell r="C473" t="str">
            <v>면세증</v>
          </cell>
          <cell r="D473">
            <v>22</v>
          </cell>
        </row>
        <row r="474">
          <cell r="A474" t="str">
            <v xml:space="preserve">rewardType무료 구매 Shield </v>
          </cell>
          <cell r="B474" t="str">
            <v>rewardType</v>
          </cell>
          <cell r="C474" t="str">
            <v xml:space="preserve">무료 구매 Shield </v>
          </cell>
          <cell r="D474">
            <v>25</v>
          </cell>
        </row>
        <row r="475">
          <cell r="A475" t="str">
            <v xml:space="preserve">rewardType유료 구매 Shield </v>
          </cell>
          <cell r="B475" t="str">
            <v>rewardType</v>
          </cell>
          <cell r="C475" t="str">
            <v xml:space="preserve">유료 구매 Shield </v>
          </cell>
          <cell r="D475">
            <v>26</v>
          </cell>
        </row>
        <row r="476">
          <cell r="A476" t="str">
            <v>weightType절대</v>
          </cell>
          <cell r="B476" t="str">
            <v>weightType</v>
          </cell>
          <cell r="C476" t="str">
            <v>절대</v>
          </cell>
          <cell r="D476">
            <v>1</v>
          </cell>
        </row>
        <row r="477">
          <cell r="A477" t="str">
            <v>weightType상대</v>
          </cell>
          <cell r="B477" t="str">
            <v>weightType</v>
          </cell>
          <cell r="C477" t="str">
            <v>상대</v>
          </cell>
          <cell r="D477">
            <v>2</v>
          </cell>
        </row>
        <row r="478">
          <cell r="A478" t="str">
            <v>blueprintType서양형</v>
          </cell>
          <cell r="B478" t="str">
            <v>blueprintType</v>
          </cell>
          <cell r="C478" t="str">
            <v>서양형</v>
          </cell>
          <cell r="D478">
            <v>1</v>
          </cell>
        </row>
        <row r="479">
          <cell r="A479" t="str">
            <v>blueprintType동양형</v>
          </cell>
          <cell r="B479" t="str">
            <v>blueprintType</v>
          </cell>
          <cell r="C479" t="str">
            <v>동양형</v>
          </cell>
          <cell r="D479">
            <v>2</v>
          </cell>
        </row>
        <row r="480">
          <cell r="A480" t="str">
            <v>blueprintType특수</v>
          </cell>
          <cell r="B480" t="str">
            <v>blueprintType</v>
          </cell>
          <cell r="C480" t="str">
            <v>특수</v>
          </cell>
          <cell r="D480">
            <v>3</v>
          </cell>
        </row>
        <row r="481">
          <cell r="A481" t="str">
            <v>FEquipType몸</v>
          </cell>
          <cell r="B481" t="str">
            <v>FEquipType</v>
          </cell>
          <cell r="C481" t="str">
            <v>몸</v>
          </cell>
          <cell r="D481">
            <v>1</v>
          </cell>
        </row>
        <row r="482">
          <cell r="A482" t="str">
            <v>FEquipType머리</v>
          </cell>
          <cell r="B482" t="str">
            <v>FEquipType</v>
          </cell>
          <cell r="C482" t="str">
            <v>머리</v>
          </cell>
          <cell r="D482">
            <v>2</v>
          </cell>
        </row>
        <row r="483">
          <cell r="A483" t="str">
            <v>FEquipType무기</v>
          </cell>
          <cell r="B483" t="str">
            <v>FEquipType</v>
          </cell>
          <cell r="C483" t="str">
            <v>무기</v>
          </cell>
          <cell r="D483">
            <v>3</v>
          </cell>
        </row>
        <row r="484">
          <cell r="A484" t="str">
            <v>FEquipGradeD</v>
          </cell>
          <cell r="B484" t="str">
            <v>FEquipGrade</v>
          </cell>
          <cell r="C484" t="str">
            <v>D</v>
          </cell>
          <cell r="D484">
            <v>0</v>
          </cell>
        </row>
        <row r="485">
          <cell r="A485" t="str">
            <v>FEquipGradeC</v>
          </cell>
          <cell r="B485" t="str">
            <v>FEquipGrade</v>
          </cell>
          <cell r="C485" t="str">
            <v>C</v>
          </cell>
          <cell r="D485">
            <v>1</v>
          </cell>
        </row>
        <row r="486">
          <cell r="A486" t="str">
            <v>FEquipGradeB</v>
          </cell>
          <cell r="B486" t="str">
            <v>FEquipGrade</v>
          </cell>
          <cell r="C486" t="str">
            <v>B</v>
          </cell>
          <cell r="D486">
            <v>2</v>
          </cell>
        </row>
        <row r="487">
          <cell r="A487" t="str">
            <v>FEquipGradeA</v>
          </cell>
          <cell r="B487" t="str">
            <v>FEquipGrade</v>
          </cell>
          <cell r="C487" t="str">
            <v>A</v>
          </cell>
          <cell r="D487">
            <v>3</v>
          </cell>
        </row>
        <row r="488">
          <cell r="A488" t="str">
            <v>FEquipGradeS</v>
          </cell>
          <cell r="B488" t="str">
            <v>FEquipGrade</v>
          </cell>
          <cell r="C488" t="str">
            <v>S</v>
          </cell>
          <cell r="D488">
            <v>4</v>
          </cell>
        </row>
        <row r="489">
          <cell r="A489" t="str">
            <v>battleAttackTileType포격</v>
          </cell>
          <cell r="B489" t="str">
            <v>battleAttackTileType</v>
          </cell>
          <cell r="C489" t="str">
            <v>포격</v>
          </cell>
          <cell r="D489">
            <v>1</v>
          </cell>
        </row>
        <row r="490">
          <cell r="A490" t="str">
            <v>battleAttackTileType백병</v>
          </cell>
          <cell r="B490" t="str">
            <v>battleAttackTileType</v>
          </cell>
          <cell r="C490" t="str">
            <v>백병</v>
          </cell>
          <cell r="D490">
            <v>2</v>
          </cell>
        </row>
        <row r="491">
          <cell r="A491" t="str">
            <v>battleAttackTileType충파</v>
          </cell>
          <cell r="B491" t="str">
            <v>battleAttackTileType</v>
          </cell>
          <cell r="C491" t="str">
            <v>충파</v>
          </cell>
          <cell r="D491">
            <v>3</v>
          </cell>
        </row>
        <row r="492">
          <cell r="A492" t="str">
            <v>PassiveType없음</v>
          </cell>
          <cell r="B492" t="str">
            <v>PassiveType</v>
          </cell>
          <cell r="C492" t="str">
            <v>없음</v>
          </cell>
          <cell r="D492">
            <v>0</v>
          </cell>
        </row>
        <row r="493">
          <cell r="A493" t="str">
            <v>PassiveType포격</v>
          </cell>
          <cell r="B493" t="str">
            <v>PassiveType</v>
          </cell>
          <cell r="C493" t="str">
            <v>포격</v>
          </cell>
          <cell r="D493">
            <v>1</v>
          </cell>
        </row>
        <row r="494">
          <cell r="A494" t="str">
            <v>PassiveType백병</v>
          </cell>
          <cell r="B494" t="str">
            <v>PassiveType</v>
          </cell>
          <cell r="C494" t="str">
            <v>백병</v>
          </cell>
          <cell r="D494">
            <v>2</v>
          </cell>
        </row>
        <row r="495">
          <cell r="A495" t="str">
            <v>PassiveType충파</v>
          </cell>
          <cell r="B495" t="str">
            <v>PassiveType</v>
          </cell>
          <cell r="C495" t="str">
            <v>충파</v>
          </cell>
          <cell r="D495">
            <v>3</v>
          </cell>
        </row>
        <row r="496">
          <cell r="A496" t="str">
            <v>PassiveType수리</v>
          </cell>
          <cell r="B496" t="str">
            <v>PassiveType</v>
          </cell>
          <cell r="C496" t="str">
            <v>수리</v>
          </cell>
          <cell r="D496">
            <v>4</v>
          </cell>
        </row>
        <row r="497">
          <cell r="A497" t="str">
            <v>PassiveType의술</v>
          </cell>
          <cell r="B497" t="str">
            <v>PassiveType</v>
          </cell>
          <cell r="C497" t="str">
            <v>의술</v>
          </cell>
          <cell r="D497">
            <v>5</v>
          </cell>
        </row>
        <row r="498">
          <cell r="A498" t="str">
            <v>PassiveType보조</v>
          </cell>
          <cell r="B498" t="str">
            <v>PassiveType</v>
          </cell>
          <cell r="C498" t="str">
            <v>보조</v>
          </cell>
          <cell r="D498">
            <v>6</v>
          </cell>
        </row>
        <row r="499">
          <cell r="A499" t="str">
            <v>PassiveType지원</v>
          </cell>
          <cell r="B499" t="str">
            <v>PassiveType</v>
          </cell>
          <cell r="C499" t="str">
            <v>지원</v>
          </cell>
          <cell r="D499" t="str">
            <v>-</v>
          </cell>
        </row>
        <row r="500">
          <cell r="A500" t="str">
            <v>PassiveType발견</v>
          </cell>
          <cell r="B500" t="str">
            <v>PassiveType</v>
          </cell>
          <cell r="C500" t="str">
            <v>발견</v>
          </cell>
          <cell r="D500">
            <v>7</v>
          </cell>
        </row>
        <row r="501">
          <cell r="A501" t="str">
            <v>PassiveType항해</v>
          </cell>
          <cell r="B501" t="str">
            <v>PassiveType</v>
          </cell>
          <cell r="C501" t="str">
            <v>항해</v>
          </cell>
          <cell r="D501">
            <v>8</v>
          </cell>
        </row>
        <row r="502">
          <cell r="A502" t="str">
            <v>PassiveType재해 예방</v>
          </cell>
          <cell r="B502" t="str">
            <v>PassiveType</v>
          </cell>
          <cell r="C502" t="str">
            <v>재해 예방</v>
          </cell>
          <cell r="D502">
            <v>9</v>
          </cell>
        </row>
        <row r="503">
          <cell r="A503" t="str">
            <v>PassiveType재해 해소</v>
          </cell>
          <cell r="B503" t="str">
            <v>PassiveType</v>
          </cell>
          <cell r="C503" t="str">
            <v>재해 해소</v>
          </cell>
          <cell r="D503">
            <v>10</v>
          </cell>
        </row>
        <row r="504">
          <cell r="A504" t="str">
            <v>PassiveType구매</v>
          </cell>
          <cell r="B504" t="str">
            <v>PassiveType</v>
          </cell>
          <cell r="C504" t="str">
            <v>구매</v>
          </cell>
          <cell r="D504">
            <v>11</v>
          </cell>
        </row>
        <row r="505">
          <cell r="A505" t="str">
            <v>PassiveType판매</v>
          </cell>
          <cell r="B505" t="str">
            <v>PassiveType</v>
          </cell>
          <cell r="C505" t="str">
            <v>판매</v>
          </cell>
          <cell r="D505">
            <v>12</v>
          </cell>
        </row>
        <row r="506">
          <cell r="A506" t="str">
            <v>PassiveType협상</v>
          </cell>
          <cell r="B506" t="str">
            <v>PassiveType</v>
          </cell>
          <cell r="C506" t="str">
            <v>협상</v>
          </cell>
          <cell r="D506">
            <v>13</v>
          </cell>
        </row>
        <row r="507">
          <cell r="A507" t="str">
            <v>PassiveType물물 교환</v>
          </cell>
          <cell r="B507" t="str">
            <v>PassiveType</v>
          </cell>
          <cell r="C507" t="str">
            <v>물물 교환</v>
          </cell>
          <cell r="D507">
            <v>14</v>
          </cell>
        </row>
        <row r="508">
          <cell r="A508" t="str">
            <v>PassiveType함성</v>
          </cell>
          <cell r="B508" t="str">
            <v>PassiveType</v>
          </cell>
          <cell r="C508" t="str">
            <v>함성</v>
          </cell>
          <cell r="D508">
            <v>15</v>
          </cell>
        </row>
        <row r="509">
          <cell r="A509" t="str">
            <v>PassiveType첩보</v>
          </cell>
          <cell r="B509" t="str">
            <v>PassiveType</v>
          </cell>
          <cell r="C509" t="str">
            <v>첩보</v>
          </cell>
          <cell r="D509">
            <v>16</v>
          </cell>
        </row>
        <row r="510">
          <cell r="A510" t="str">
            <v>PassiveType공격</v>
          </cell>
          <cell r="B510" t="str">
            <v>PassiveType</v>
          </cell>
          <cell r="C510" t="str">
            <v>공격</v>
          </cell>
          <cell r="D510">
            <v>17</v>
          </cell>
        </row>
        <row r="511">
          <cell r="A511" t="str">
            <v>BattleSkillType포격</v>
          </cell>
          <cell r="B511" t="str">
            <v>BattleSkillType</v>
          </cell>
          <cell r="C511" t="str">
            <v>포격</v>
          </cell>
          <cell r="D511">
            <v>1</v>
          </cell>
        </row>
        <row r="512">
          <cell r="A512" t="str">
            <v>BattleSkillType백병</v>
          </cell>
          <cell r="B512" t="str">
            <v>BattleSkillType</v>
          </cell>
          <cell r="C512" t="str">
            <v>백병</v>
          </cell>
          <cell r="D512">
            <v>2</v>
          </cell>
        </row>
        <row r="513">
          <cell r="A513" t="str">
            <v>BattleSkillType충파</v>
          </cell>
          <cell r="B513" t="str">
            <v>BattleSkillType</v>
          </cell>
          <cell r="C513" t="str">
            <v>충파</v>
          </cell>
          <cell r="D513">
            <v>3</v>
          </cell>
        </row>
        <row r="514">
          <cell r="A514" t="str">
            <v>BattleSkillType수리</v>
          </cell>
          <cell r="B514" t="str">
            <v>BattleSkillType</v>
          </cell>
          <cell r="C514" t="str">
            <v>수리</v>
          </cell>
          <cell r="D514">
            <v>4</v>
          </cell>
        </row>
        <row r="515">
          <cell r="A515" t="str">
            <v>BattleSkillType의술</v>
          </cell>
          <cell r="B515" t="str">
            <v>BattleSkillType</v>
          </cell>
          <cell r="C515" t="str">
            <v>의술</v>
          </cell>
          <cell r="D515">
            <v>5</v>
          </cell>
        </row>
        <row r="516">
          <cell r="A516" t="str">
            <v>BattleSkillType함성</v>
          </cell>
          <cell r="B516" t="str">
            <v>BattleSkillType</v>
          </cell>
          <cell r="C516" t="str">
            <v>함성</v>
          </cell>
          <cell r="D516">
            <v>6</v>
          </cell>
        </row>
        <row r="517">
          <cell r="A517" t="str">
            <v>BattleSkillType첩보</v>
          </cell>
          <cell r="B517" t="str">
            <v>BattleSkillType</v>
          </cell>
          <cell r="C517" t="str">
            <v>첩보</v>
          </cell>
          <cell r="D517">
            <v>7</v>
          </cell>
        </row>
        <row r="518">
          <cell r="A518" t="str">
            <v>BattleSkillType결투</v>
          </cell>
          <cell r="B518" t="str">
            <v>BattleSkillType</v>
          </cell>
          <cell r="C518" t="str">
            <v>결투</v>
          </cell>
          <cell r="D518">
            <v>8</v>
          </cell>
        </row>
        <row r="519">
          <cell r="A519" t="str">
            <v>BattleSkillCostType물</v>
          </cell>
          <cell r="B519" t="str">
            <v>BattleSkillCostType</v>
          </cell>
          <cell r="C519" t="str">
            <v>물</v>
          </cell>
          <cell r="D519">
            <v>1</v>
          </cell>
        </row>
        <row r="520">
          <cell r="A520" t="str">
            <v>BattleSkillCostType식량</v>
          </cell>
          <cell r="B520" t="str">
            <v>BattleSkillCostType</v>
          </cell>
          <cell r="C520" t="str">
            <v>식량</v>
          </cell>
          <cell r="D520">
            <v>2</v>
          </cell>
        </row>
        <row r="521">
          <cell r="A521" t="str">
            <v>BattleSkillCostType자재</v>
          </cell>
          <cell r="B521" t="str">
            <v>BattleSkillCostType</v>
          </cell>
          <cell r="C521" t="str">
            <v>자재</v>
          </cell>
          <cell r="D521">
            <v>3</v>
          </cell>
        </row>
        <row r="522">
          <cell r="A522" t="str">
            <v>BattleSkillCostType포탄</v>
          </cell>
          <cell r="B522" t="str">
            <v>BattleSkillCostType</v>
          </cell>
          <cell r="C522" t="str">
            <v>포탄</v>
          </cell>
          <cell r="D522">
            <v>4</v>
          </cell>
        </row>
        <row r="523">
          <cell r="A523" t="str">
            <v>BattleSkillCostType사기</v>
          </cell>
          <cell r="B523" t="str">
            <v>BattleSkillCostType</v>
          </cell>
          <cell r="C523" t="str">
            <v>사기</v>
          </cell>
          <cell r="D523">
            <v>5</v>
          </cell>
        </row>
        <row r="524">
          <cell r="A524" t="str">
            <v>BattleSkillCostType기동력</v>
          </cell>
          <cell r="B524" t="str">
            <v>BattleSkillCostType</v>
          </cell>
          <cell r="C524" t="str">
            <v>기동력</v>
          </cell>
          <cell r="D524">
            <v>6</v>
          </cell>
        </row>
        <row r="525">
          <cell r="A525" t="str">
            <v>BattleSkillTargetType아군</v>
          </cell>
          <cell r="B525" t="str">
            <v>BattleSkillTargetType</v>
          </cell>
          <cell r="C525" t="str">
            <v>아군</v>
          </cell>
          <cell r="D525">
            <v>1</v>
          </cell>
        </row>
        <row r="526">
          <cell r="A526" t="str">
            <v>BattleSkillTargetType적군</v>
          </cell>
          <cell r="B526" t="str">
            <v>BattleSkillTargetType</v>
          </cell>
          <cell r="C526" t="str">
            <v>적군</v>
          </cell>
          <cell r="D526">
            <v>2</v>
          </cell>
        </row>
        <row r="527">
          <cell r="A527" t="str">
            <v>BattleSkillTargetType아군 전체</v>
          </cell>
          <cell r="B527" t="str">
            <v>BattleSkillTargetType</v>
          </cell>
          <cell r="C527" t="str">
            <v>아군 전체</v>
          </cell>
          <cell r="D527">
            <v>3</v>
          </cell>
        </row>
        <row r="528">
          <cell r="A528" t="str">
            <v>BattleSkillTargetType적군 전체</v>
          </cell>
          <cell r="B528" t="str">
            <v>BattleSkillTargetType</v>
          </cell>
          <cell r="C528" t="str">
            <v>적군 전체</v>
          </cell>
          <cell r="D528">
            <v>4</v>
          </cell>
        </row>
        <row r="529">
          <cell r="A529" t="str">
            <v>BattleSkillTargetType전체</v>
          </cell>
          <cell r="B529" t="str">
            <v>BattleSkillTargetType</v>
          </cell>
          <cell r="C529" t="str">
            <v>전체</v>
          </cell>
          <cell r="D529">
            <v>5</v>
          </cell>
        </row>
        <row r="530">
          <cell r="A530" t="str">
            <v>BattleSkillAccuType상대</v>
          </cell>
          <cell r="B530" t="str">
            <v>BattleSkillAccuType</v>
          </cell>
          <cell r="C530" t="str">
            <v>상대</v>
          </cell>
          <cell r="D530">
            <v>1</v>
          </cell>
        </row>
        <row r="531">
          <cell r="A531" t="str">
            <v>BattleSkillAccuType절대</v>
          </cell>
          <cell r="B531" t="str">
            <v>BattleSkillAccuType</v>
          </cell>
          <cell r="C531" t="str">
            <v>절대</v>
          </cell>
          <cell r="D531">
            <v>2</v>
          </cell>
        </row>
        <row r="532">
          <cell r="A532" t="str">
            <v>BattleBuffType그룹 관리 안함</v>
          </cell>
          <cell r="B532" t="str">
            <v>BattleBuffType</v>
          </cell>
          <cell r="C532" t="str">
            <v>그룹 관리 안함</v>
          </cell>
          <cell r="D532">
            <v>0</v>
          </cell>
        </row>
        <row r="533">
          <cell r="A533" t="str">
            <v>BattleBuffType포격 상태이상</v>
          </cell>
          <cell r="B533" t="str">
            <v>BattleBuffType</v>
          </cell>
          <cell r="C533" t="str">
            <v>포격 상태이상</v>
          </cell>
          <cell r="D533">
            <v>1</v>
          </cell>
        </row>
        <row r="534">
          <cell r="A534" t="str">
            <v>BattleBuffType선원 상태이상</v>
          </cell>
          <cell r="B534" t="str">
            <v>BattleBuffType</v>
          </cell>
          <cell r="C534" t="str">
            <v>선원 상태이상</v>
          </cell>
          <cell r="D534">
            <v>2</v>
          </cell>
        </row>
        <row r="535">
          <cell r="A535" t="str">
            <v>BattleBuffType선박 상태이상</v>
          </cell>
          <cell r="B535" t="str">
            <v>BattleBuffType</v>
          </cell>
          <cell r="C535" t="str">
            <v>선박 상태이상</v>
          </cell>
          <cell r="D535">
            <v>3</v>
          </cell>
        </row>
        <row r="536">
          <cell r="A536" t="str">
            <v>BattleBuffType기동 상태이상</v>
          </cell>
          <cell r="B536" t="str">
            <v>BattleBuffType</v>
          </cell>
          <cell r="C536" t="str">
            <v>기동 상태이상</v>
          </cell>
          <cell r="D536">
            <v>4</v>
          </cell>
        </row>
        <row r="537">
          <cell r="A537" t="str">
            <v>BattleBuffCancelType별도관리(날씨등)</v>
          </cell>
          <cell r="B537" t="str">
            <v>BattleBuffCancelType</v>
          </cell>
          <cell r="C537" t="str">
            <v>별도관리(날씨등)</v>
          </cell>
          <cell r="D537">
            <v>0</v>
          </cell>
        </row>
        <row r="538">
          <cell r="A538" t="str">
            <v>BattleBuffCancelType유지-&gt;무조건 해제</v>
          </cell>
          <cell r="B538" t="str">
            <v>BattleBuffCancelType</v>
          </cell>
          <cell r="C538" t="str">
            <v>유지-&gt;무조건 해제</v>
          </cell>
          <cell r="D538">
            <v>1</v>
          </cell>
        </row>
        <row r="539">
          <cell r="A539" t="str">
            <v>BattleBuffCancelType유지-&gt;확률 해제</v>
          </cell>
          <cell r="B539" t="str">
            <v>BattleBuffCancelType</v>
          </cell>
          <cell r="C539" t="str">
            <v>유지-&gt;확률 해제</v>
          </cell>
          <cell r="D539">
            <v>2</v>
          </cell>
        </row>
        <row r="540">
          <cell r="A540" t="str">
            <v>BattleBuffCancelType확률 해제-&gt;무조건 해제</v>
          </cell>
          <cell r="B540" t="str">
            <v>BattleBuffCancelType</v>
          </cell>
          <cell r="C540" t="str">
            <v>확률 해제-&gt;무조건 해제</v>
          </cell>
          <cell r="D540">
            <v>3</v>
          </cell>
        </row>
        <row r="541">
          <cell r="A541" t="str">
            <v>BattleSkillDivideDamage개별 광역 피해</v>
          </cell>
          <cell r="B541" t="str">
            <v>BattleSkillDivideDamage</v>
          </cell>
          <cell r="C541" t="str">
            <v>개별 광역 피해</v>
          </cell>
          <cell r="D541">
            <v>0</v>
          </cell>
        </row>
        <row r="542">
          <cell r="A542" t="str">
            <v>BattleSkillDivideDamage분할 광역 피해</v>
          </cell>
          <cell r="B542" t="str">
            <v>BattleSkillDivideDamage</v>
          </cell>
          <cell r="C542" t="str">
            <v>분할 광역 피해</v>
          </cell>
          <cell r="D542">
            <v>1</v>
          </cell>
        </row>
        <row r="543">
          <cell r="A543" t="str">
            <v>BattleAoeRangeType타겟 기준</v>
          </cell>
          <cell r="B543" t="str">
            <v>BattleAoeRangeType</v>
          </cell>
          <cell r="C543" t="str">
            <v>타겟 기준</v>
          </cell>
          <cell r="D543">
            <v>0</v>
          </cell>
        </row>
        <row r="544">
          <cell r="A544" t="str">
            <v>BattleAoeRangeType시전자 기준</v>
          </cell>
          <cell r="B544" t="str">
            <v>BattleAoeRangeType</v>
          </cell>
          <cell r="C544" t="str">
            <v>시전자 기준</v>
          </cell>
          <cell r="D544">
            <v>1</v>
          </cell>
        </row>
        <row r="545">
          <cell r="A545" t="str">
            <v>aiConditionType사용 안함</v>
          </cell>
          <cell r="B545" t="str">
            <v>aiConditionType</v>
          </cell>
          <cell r="C545" t="str">
            <v>사용 안함</v>
          </cell>
          <cell r="D545" t="str">
            <v>-</v>
          </cell>
        </row>
        <row r="546">
          <cell r="A546" t="str">
            <v>aiConditionType적군 우세</v>
          </cell>
          <cell r="B546" t="str">
            <v>aiConditionType</v>
          </cell>
          <cell r="C546" t="str">
            <v>적군 우세</v>
          </cell>
          <cell r="D546">
            <v>1</v>
          </cell>
        </row>
        <row r="547">
          <cell r="A547" t="str">
            <v>aiConditionType아군 우세</v>
          </cell>
          <cell r="B547" t="str">
            <v>aiConditionType</v>
          </cell>
          <cell r="C547" t="str">
            <v>아군 우세</v>
          </cell>
          <cell r="D547">
            <v>2</v>
          </cell>
        </row>
        <row r="548">
          <cell r="A548" t="str">
            <v>aiConditionType사기 수치</v>
          </cell>
          <cell r="B548" t="str">
            <v>aiConditionType</v>
          </cell>
          <cell r="C548" t="str">
            <v>사기 수치</v>
          </cell>
          <cell r="D548">
            <v>3</v>
          </cell>
        </row>
        <row r="549">
          <cell r="A549" t="str">
            <v>aiConditionType제독 사망</v>
          </cell>
          <cell r="B549" t="str">
            <v>aiConditionType</v>
          </cell>
          <cell r="C549" t="str">
            <v>제독 사망</v>
          </cell>
          <cell r="D549">
            <v>4</v>
          </cell>
        </row>
        <row r="550">
          <cell r="A550" t="str">
            <v>aiConditionType자신 HP</v>
          </cell>
          <cell r="B550" t="str">
            <v>aiConditionType</v>
          </cell>
          <cell r="C550" t="str">
            <v>자신 HP</v>
          </cell>
          <cell r="D550">
            <v>5</v>
          </cell>
        </row>
        <row r="551">
          <cell r="A551" t="str">
            <v>aiConditionType아군 기함 HP</v>
          </cell>
          <cell r="B551" t="str">
            <v>aiConditionType</v>
          </cell>
          <cell r="C551" t="str">
            <v>아군 기함 HP</v>
          </cell>
          <cell r="D551">
            <v>6</v>
          </cell>
        </row>
        <row r="552">
          <cell r="A552" t="str">
            <v>aiConditionType아군 HP</v>
          </cell>
          <cell r="B552" t="str">
            <v>aiConditionType</v>
          </cell>
          <cell r="C552" t="str">
            <v>아군 HP</v>
          </cell>
          <cell r="D552">
            <v>7</v>
          </cell>
        </row>
        <row r="553">
          <cell r="A553" t="str">
            <v>aiConditionType적군 기함HP</v>
          </cell>
          <cell r="B553" t="str">
            <v>aiConditionType</v>
          </cell>
          <cell r="C553" t="str">
            <v>적군 기함HP</v>
          </cell>
          <cell r="D553">
            <v>8</v>
          </cell>
        </row>
        <row r="554">
          <cell r="A554" t="str">
            <v>aiConditionType적군 HP</v>
          </cell>
          <cell r="B554" t="str">
            <v>aiConditionType</v>
          </cell>
          <cell r="C554" t="str">
            <v>적군 HP</v>
          </cell>
          <cell r="D554">
            <v>9</v>
          </cell>
        </row>
        <row r="555">
          <cell r="A555" t="str">
            <v>aiConditionType전투 속성</v>
          </cell>
          <cell r="B555" t="str">
            <v>aiConditionType</v>
          </cell>
          <cell r="C555" t="str">
            <v>전투 속성</v>
          </cell>
          <cell r="D555">
            <v>10</v>
          </cell>
        </row>
        <row r="556">
          <cell r="A556" t="str">
            <v>aiConditionType아군 특정 항해사 생존</v>
          </cell>
          <cell r="B556" t="str">
            <v>aiConditionType</v>
          </cell>
          <cell r="C556" t="str">
            <v>아군 특정 항해사 생존</v>
          </cell>
          <cell r="D556">
            <v>11</v>
          </cell>
        </row>
        <row r="557">
          <cell r="A557" t="str">
            <v>aiConditionType적군 특정 항해사 생존</v>
          </cell>
          <cell r="B557" t="str">
            <v>aiConditionType</v>
          </cell>
          <cell r="C557" t="str">
            <v>적군 특정 항해사 생존</v>
          </cell>
          <cell r="D557">
            <v>12</v>
          </cell>
        </row>
        <row r="558">
          <cell r="A558" t="str">
            <v>aiConditionType아군 특정 선박 생존</v>
          </cell>
          <cell r="B558" t="str">
            <v>aiConditionType</v>
          </cell>
          <cell r="C558" t="str">
            <v>아군 특정 선박 생존</v>
          </cell>
          <cell r="D558">
            <v>13</v>
          </cell>
        </row>
        <row r="559">
          <cell r="A559" t="str">
            <v>aiConditionType적군 특정 선박 생존</v>
          </cell>
          <cell r="B559" t="str">
            <v>aiConditionType</v>
          </cell>
          <cell r="C559" t="str">
            <v>적군 특정 선박 생존</v>
          </cell>
          <cell r="D559">
            <v>14</v>
          </cell>
        </row>
        <row r="560">
          <cell r="A560" t="str">
            <v>aiConditionType등장 후 n 턴 동안</v>
          </cell>
          <cell r="B560" t="str">
            <v>aiConditionType</v>
          </cell>
          <cell r="C560" t="str">
            <v>등장 후 n 턴 동안</v>
          </cell>
          <cell r="D560">
            <v>15</v>
          </cell>
        </row>
        <row r="561">
          <cell r="A561" t="str">
            <v>aiConditionType난입 후 n 턴 동안</v>
          </cell>
          <cell r="B561" t="str">
            <v>aiConditionType</v>
          </cell>
          <cell r="C561" t="str">
            <v>난입 후 n 턴 동안</v>
          </cell>
          <cell r="D561">
            <v>16</v>
          </cell>
        </row>
        <row r="562">
          <cell r="A562" t="str">
            <v>aiConditionType가장 가까운 적으로부터 n 타일</v>
          </cell>
          <cell r="B562" t="str">
            <v>aiConditionType</v>
          </cell>
          <cell r="C562" t="str">
            <v>가장 가까운 적으로부터 n 타일</v>
          </cell>
          <cell r="D562">
            <v>17</v>
          </cell>
        </row>
        <row r="563">
          <cell r="A563" t="str">
            <v>aiConditionTypebattleSkill 사용 가능</v>
          </cell>
          <cell r="B563" t="str">
            <v>aiConditionType</v>
          </cell>
          <cell r="C563" t="str">
            <v>battleSkill 사용 가능</v>
          </cell>
          <cell r="D563">
            <v>18</v>
          </cell>
        </row>
        <row r="564">
          <cell r="A564" t="str">
            <v>aiTargetType지정 대상 사용</v>
          </cell>
          <cell r="B564" t="str">
            <v>aiTargetType</v>
          </cell>
          <cell r="C564" t="str">
            <v>지정 대상 사용</v>
          </cell>
          <cell r="D564">
            <v>0</v>
          </cell>
        </row>
        <row r="565">
          <cell r="A565" t="str">
            <v>aiTargetType대상 필터 사용</v>
          </cell>
          <cell r="B565" t="str">
            <v>aiTargetType</v>
          </cell>
          <cell r="C565" t="str">
            <v>대상 필터 사용</v>
          </cell>
          <cell r="D565">
            <v>1</v>
          </cell>
        </row>
        <row r="566">
          <cell r="A566" t="str">
            <v>aiTargetType대상 타일 사용</v>
          </cell>
          <cell r="B566" t="str">
            <v>aiTargetType</v>
          </cell>
          <cell r="C566" t="str">
            <v>대상 타일 사용</v>
          </cell>
          <cell r="D566">
            <v>2</v>
          </cell>
        </row>
        <row r="567">
          <cell r="A567" t="str">
            <v>aiAssignTarget지정 하지 않음</v>
          </cell>
          <cell r="B567" t="str">
            <v>aiAssignTarget</v>
          </cell>
          <cell r="C567" t="str">
            <v>지정 하지 않음</v>
          </cell>
          <cell r="D567">
            <v>0</v>
          </cell>
        </row>
        <row r="568">
          <cell r="A568" t="str">
            <v>aiAssignTarget가까운 아군 대상</v>
          </cell>
          <cell r="B568" t="str">
            <v>aiAssignTarget</v>
          </cell>
          <cell r="C568" t="str">
            <v>가까운 아군 대상</v>
          </cell>
          <cell r="D568">
            <v>1</v>
          </cell>
        </row>
        <row r="569">
          <cell r="A569" t="str">
            <v>aiAssignTarget먼 아군 대상</v>
          </cell>
          <cell r="B569" t="str">
            <v>aiAssignTarget</v>
          </cell>
          <cell r="C569" t="str">
            <v>먼 아군 대상</v>
          </cell>
          <cell r="D569">
            <v>2</v>
          </cell>
        </row>
        <row r="570">
          <cell r="A570" t="str">
            <v>aiAssignTarget아군 기함 대상</v>
          </cell>
          <cell r="B570" t="str">
            <v>aiAssignTarget</v>
          </cell>
          <cell r="C570" t="str">
            <v>아군 기함 대상</v>
          </cell>
          <cell r="D570">
            <v>3</v>
          </cell>
        </row>
        <row r="571">
          <cell r="A571" t="str">
            <v>aiAssignTarget가까운 적 대상</v>
          </cell>
          <cell r="B571" t="str">
            <v>aiAssignTarget</v>
          </cell>
          <cell r="C571" t="str">
            <v>가까운 적 대상</v>
          </cell>
          <cell r="D571">
            <v>4</v>
          </cell>
        </row>
        <row r="572">
          <cell r="A572" t="str">
            <v>aiAssignTarget먼 적 대상</v>
          </cell>
          <cell r="B572" t="str">
            <v>aiAssignTarget</v>
          </cell>
          <cell r="C572" t="str">
            <v>먼 적 대상</v>
          </cell>
          <cell r="D572">
            <v>5</v>
          </cell>
        </row>
        <row r="573">
          <cell r="A573" t="str">
            <v>aiAssignTarget적 기함 대상</v>
          </cell>
          <cell r="B573" t="str">
            <v>aiAssignTarget</v>
          </cell>
          <cell r="C573" t="str">
            <v>적 기함 대상</v>
          </cell>
          <cell r="D573">
            <v>6</v>
          </cell>
        </row>
        <row r="574">
          <cell r="A574" t="str">
            <v>aiPattern기본 방식</v>
          </cell>
          <cell r="B574" t="str">
            <v>aiPattern</v>
          </cell>
          <cell r="C574" t="str">
            <v>기본 방식</v>
          </cell>
          <cell r="D574">
            <v>0</v>
          </cell>
        </row>
        <row r="575">
          <cell r="A575" t="str">
            <v>aiPattern이동 우선</v>
          </cell>
          <cell r="B575" t="str">
            <v>aiPattern</v>
          </cell>
          <cell r="C575" t="str">
            <v>이동 우선</v>
          </cell>
          <cell r="D575">
            <v>1</v>
          </cell>
        </row>
        <row r="576">
          <cell r="A576" t="str">
            <v>aiPattern이동하며 액션</v>
          </cell>
          <cell r="B576" t="str">
            <v>aiPattern</v>
          </cell>
          <cell r="C576" t="str">
            <v>이동하며 액션</v>
          </cell>
          <cell r="D576">
            <v>2</v>
          </cell>
        </row>
        <row r="577">
          <cell r="A577" t="str">
            <v>aiPattern제자리 사수</v>
          </cell>
          <cell r="B577" t="str">
            <v>aiPattern</v>
          </cell>
          <cell r="C577" t="str">
            <v>제자리 사수</v>
          </cell>
          <cell r="D577">
            <v>3</v>
          </cell>
        </row>
        <row r="578">
          <cell r="A578" t="str">
            <v>CompanyNameType없음</v>
          </cell>
          <cell r="B578" t="str">
            <v>CompanyNameType</v>
          </cell>
          <cell r="C578" t="str">
            <v>없음</v>
          </cell>
          <cell r="D578">
            <v>0</v>
          </cell>
        </row>
        <row r="579">
          <cell r="A579" t="str">
            <v>CompanyNameType접두</v>
          </cell>
          <cell r="B579" t="str">
            <v>CompanyNameType</v>
          </cell>
          <cell r="C579" t="str">
            <v>접두</v>
          </cell>
          <cell r="D579">
            <v>1</v>
          </cell>
        </row>
        <row r="580">
          <cell r="A580" t="str">
            <v>CompanyNameType본문</v>
          </cell>
          <cell r="B580" t="str">
            <v>CompanyNameType</v>
          </cell>
          <cell r="C580" t="str">
            <v>본문</v>
          </cell>
          <cell r="D580">
            <v>2</v>
          </cell>
        </row>
        <row r="581">
          <cell r="A581" t="str">
            <v>CompanyNameType접미</v>
          </cell>
          <cell r="B581" t="str">
            <v>CompanyNameType</v>
          </cell>
          <cell r="C581" t="str">
            <v>접미</v>
          </cell>
          <cell r="D581">
            <v>3</v>
          </cell>
        </row>
        <row r="582">
          <cell r="A582" t="str">
            <v>CharacterNameType서양(띄움)</v>
          </cell>
          <cell r="B582" t="str">
            <v>CharacterNameType</v>
          </cell>
          <cell r="C582" t="str">
            <v>서양(띄움)</v>
          </cell>
          <cell r="D582">
            <v>1</v>
          </cell>
        </row>
        <row r="583">
          <cell r="A583" t="str">
            <v>CharacterNameType동양(띄움)</v>
          </cell>
          <cell r="B583" t="str">
            <v>CharacterNameType</v>
          </cell>
          <cell r="C583" t="str">
            <v>동양(띄움)</v>
          </cell>
          <cell r="D583">
            <v>2</v>
          </cell>
        </row>
        <row r="584">
          <cell r="A584" t="str">
            <v>CharacterNameType동양(붙임)</v>
          </cell>
          <cell r="B584" t="str">
            <v>CharacterNameType</v>
          </cell>
          <cell r="C584" t="str">
            <v>동양(붙임)</v>
          </cell>
          <cell r="D584">
            <v>3</v>
          </cell>
        </row>
        <row r="585">
          <cell r="A585" t="str">
            <v>characterSailorType전용 외형</v>
          </cell>
          <cell r="B585" t="str">
            <v>characterSailorType</v>
          </cell>
          <cell r="C585" t="str">
            <v>전용 외형</v>
          </cell>
          <cell r="D585">
            <v>0</v>
          </cell>
        </row>
        <row r="586">
          <cell r="A586" t="str">
            <v>characterSailorType선원 공용 외형</v>
          </cell>
          <cell r="B586" t="str">
            <v>characterSailorType</v>
          </cell>
          <cell r="C586" t="str">
            <v>선원 공용 외형</v>
          </cell>
          <cell r="D586">
            <v>1</v>
          </cell>
        </row>
        <row r="587">
          <cell r="A587" t="str">
            <v>discoveryGroup없음</v>
          </cell>
          <cell r="B587" t="str">
            <v>discoveryGroup</v>
          </cell>
          <cell r="C587" t="str">
            <v>없음</v>
          </cell>
          <cell r="D587">
            <v>0</v>
          </cell>
        </row>
        <row r="588">
          <cell r="A588" t="str">
            <v>discoveryGroup자연</v>
          </cell>
          <cell r="B588" t="str">
            <v>discoveryGroup</v>
          </cell>
          <cell r="C588" t="str">
            <v>자연</v>
          </cell>
          <cell r="D588">
            <v>1</v>
          </cell>
        </row>
        <row r="589">
          <cell r="A589" t="str">
            <v>discoveryGroup동물</v>
          </cell>
          <cell r="B589" t="str">
            <v>discoveryGroup</v>
          </cell>
          <cell r="C589" t="str">
            <v>동물</v>
          </cell>
          <cell r="D589">
            <v>2</v>
          </cell>
        </row>
        <row r="590">
          <cell r="A590" t="str">
            <v>discoveryGroup식물</v>
          </cell>
          <cell r="B590" t="str">
            <v>discoveryGroup</v>
          </cell>
          <cell r="C590" t="str">
            <v>식물</v>
          </cell>
          <cell r="D590">
            <v>3</v>
          </cell>
        </row>
        <row r="591">
          <cell r="A591" t="str">
            <v>discoveryGroup건축</v>
          </cell>
          <cell r="B591" t="str">
            <v>discoveryGroup</v>
          </cell>
          <cell r="C591" t="str">
            <v>건축</v>
          </cell>
          <cell r="D591">
            <v>4</v>
          </cell>
        </row>
        <row r="592">
          <cell r="A592" t="str">
            <v>discoveryGroup유물</v>
          </cell>
          <cell r="B592" t="str">
            <v>discoveryGroup</v>
          </cell>
          <cell r="C592" t="str">
            <v>유물</v>
          </cell>
          <cell r="D592">
            <v>5</v>
          </cell>
        </row>
        <row r="593">
          <cell r="A593" t="str">
            <v>discoveryGroup보물</v>
          </cell>
          <cell r="B593" t="str">
            <v>discoveryGroup</v>
          </cell>
          <cell r="C593" t="str">
            <v>보물</v>
          </cell>
          <cell r="D593">
            <v>6</v>
          </cell>
        </row>
        <row r="594">
          <cell r="A594" t="str">
            <v>discoveryType없음</v>
          </cell>
          <cell r="B594" t="str">
            <v>discoveryType</v>
          </cell>
          <cell r="C594" t="str">
            <v>없음</v>
          </cell>
          <cell r="D594">
            <v>0</v>
          </cell>
        </row>
        <row r="595">
          <cell r="A595" t="str">
            <v>discoveryType지리</v>
          </cell>
          <cell r="B595" t="str">
            <v>discoveryType</v>
          </cell>
          <cell r="C595" t="str">
            <v>지리</v>
          </cell>
          <cell r="D595">
            <v>1</v>
          </cell>
        </row>
        <row r="596">
          <cell r="A596" t="str">
            <v>discoveryType천문</v>
          </cell>
          <cell r="B596" t="str">
            <v>discoveryType</v>
          </cell>
          <cell r="C596" t="str">
            <v>천문</v>
          </cell>
          <cell r="D596">
            <v>2</v>
          </cell>
        </row>
        <row r="597">
          <cell r="A597" t="str">
            <v>discoveryType기상 현상</v>
          </cell>
          <cell r="B597" t="str">
            <v>discoveryType</v>
          </cell>
          <cell r="C597" t="str">
            <v>기상 현상</v>
          </cell>
          <cell r="D597">
            <v>3</v>
          </cell>
        </row>
        <row r="598">
          <cell r="A598" t="str">
            <v>discoveryType화석</v>
          </cell>
          <cell r="B598" t="str">
            <v>discoveryType</v>
          </cell>
          <cell r="C598" t="str">
            <v>화석</v>
          </cell>
          <cell r="D598">
            <v>4</v>
          </cell>
        </row>
        <row r="599">
          <cell r="A599" t="str">
            <v>discoveryType포유류</v>
          </cell>
          <cell r="B599" t="str">
            <v>discoveryType</v>
          </cell>
          <cell r="C599" t="str">
            <v>포유류</v>
          </cell>
          <cell r="D599">
            <v>5</v>
          </cell>
        </row>
        <row r="600">
          <cell r="A600" t="str">
            <v>discoveryType조류</v>
          </cell>
          <cell r="B600" t="str">
            <v>discoveryType</v>
          </cell>
          <cell r="C600" t="str">
            <v>조류</v>
          </cell>
          <cell r="D600">
            <v>6</v>
          </cell>
        </row>
        <row r="601">
          <cell r="A601" t="str">
            <v>discoveryType파충류</v>
          </cell>
          <cell r="B601" t="str">
            <v>discoveryType</v>
          </cell>
          <cell r="C601" t="str">
            <v>파충류</v>
          </cell>
          <cell r="D601">
            <v>7</v>
          </cell>
        </row>
        <row r="602">
          <cell r="A602" t="str">
            <v>discoveryType어류</v>
          </cell>
          <cell r="B602" t="str">
            <v>discoveryType</v>
          </cell>
          <cell r="C602" t="str">
            <v>어류</v>
          </cell>
          <cell r="D602">
            <v>8</v>
          </cell>
        </row>
        <row r="603">
          <cell r="A603" t="str">
            <v>discoveryType무척추동물</v>
          </cell>
          <cell r="B603" t="str">
            <v>discoveryType</v>
          </cell>
          <cell r="C603" t="str">
            <v>무척추동물</v>
          </cell>
          <cell r="D603">
            <v>9</v>
          </cell>
        </row>
        <row r="604">
          <cell r="A604" t="str">
            <v>discoveryType단자엽</v>
          </cell>
          <cell r="B604" t="str">
            <v>discoveryType</v>
          </cell>
          <cell r="C604" t="str">
            <v>단자엽</v>
          </cell>
          <cell r="D604">
            <v>10</v>
          </cell>
        </row>
        <row r="605">
          <cell r="A605" t="str">
            <v>discoveryType쌍자엽</v>
          </cell>
          <cell r="B605" t="str">
            <v>discoveryType</v>
          </cell>
          <cell r="C605" t="str">
            <v>쌍자엽</v>
          </cell>
          <cell r="D605">
            <v>11</v>
          </cell>
        </row>
        <row r="606">
          <cell r="A606" t="str">
            <v>discoveryType사적</v>
          </cell>
          <cell r="B606" t="str">
            <v>discoveryType</v>
          </cell>
          <cell r="C606" t="str">
            <v>사적</v>
          </cell>
          <cell r="D606">
            <v>12</v>
          </cell>
        </row>
        <row r="607">
          <cell r="A607" t="str">
            <v>discoveryType항구</v>
          </cell>
          <cell r="B607" t="str">
            <v>discoveryType</v>
          </cell>
          <cell r="C607" t="str">
            <v>항구</v>
          </cell>
          <cell r="D607">
            <v>13</v>
          </cell>
        </row>
        <row r="608">
          <cell r="A608" t="str">
            <v>discoveryType종교 건축물</v>
          </cell>
          <cell r="B608" t="str">
            <v>discoveryType</v>
          </cell>
          <cell r="C608" t="str">
            <v>종교 건축물</v>
          </cell>
          <cell r="D608">
            <v>14</v>
          </cell>
        </row>
        <row r="609">
          <cell r="A609" t="str">
            <v>discoveryType역사유물</v>
          </cell>
          <cell r="B609" t="str">
            <v>discoveryType</v>
          </cell>
          <cell r="C609" t="str">
            <v>역사유물</v>
          </cell>
          <cell r="D609">
            <v>15</v>
          </cell>
        </row>
        <row r="610">
          <cell r="A610" t="str">
            <v>discoveryType종교유물</v>
          </cell>
          <cell r="B610" t="str">
            <v>discoveryType</v>
          </cell>
          <cell r="C610" t="str">
            <v>종교유물</v>
          </cell>
          <cell r="D610">
            <v>16</v>
          </cell>
        </row>
        <row r="611">
          <cell r="A611" t="str">
            <v>discoveryType미술품</v>
          </cell>
          <cell r="B611" t="str">
            <v>discoveryType</v>
          </cell>
          <cell r="C611" t="str">
            <v>미술품</v>
          </cell>
          <cell r="D611">
            <v>17</v>
          </cell>
        </row>
        <row r="612">
          <cell r="A612" t="str">
            <v>discoveryType보물</v>
          </cell>
          <cell r="B612" t="str">
            <v>discoveryType</v>
          </cell>
          <cell r="C612" t="str">
            <v>보물</v>
          </cell>
          <cell r="D612">
            <v>18</v>
          </cell>
        </row>
        <row r="613">
          <cell r="A613" t="str">
            <v>discoveryType부락</v>
          </cell>
          <cell r="B613" t="str">
            <v>discoveryType</v>
          </cell>
          <cell r="C613" t="str">
            <v>부락</v>
          </cell>
          <cell r="D613">
            <v>19</v>
          </cell>
        </row>
        <row r="614">
          <cell r="A614" t="str">
            <v>NameParticle-</v>
          </cell>
          <cell r="B614" t="str">
            <v>NameParticle</v>
          </cell>
          <cell r="C614" t="str">
            <v>-</v>
          </cell>
          <cell r="D614" t="str">
            <v>-</v>
          </cell>
        </row>
        <row r="615">
          <cell r="A615" t="str">
            <v>NameParticle다(da)/다</v>
          </cell>
          <cell r="B615" t="str">
            <v>NameParticle</v>
          </cell>
          <cell r="C615" t="str">
            <v>다(da)/다</v>
          </cell>
          <cell r="D615" t="str">
            <v>다</v>
          </cell>
        </row>
        <row r="616">
          <cell r="A616" t="str">
            <v>NameParticle더(de)/더</v>
          </cell>
          <cell r="B616" t="str">
            <v>NameParticle</v>
          </cell>
          <cell r="C616" t="str">
            <v>더(de)/더</v>
          </cell>
          <cell r="D616" t="str">
            <v>더</v>
          </cell>
        </row>
        <row r="617">
          <cell r="A617" t="str">
            <v>NameParticle데(de)/데</v>
          </cell>
          <cell r="B617" t="str">
            <v>NameParticle</v>
          </cell>
          <cell r="C617" t="str">
            <v>데(de)/데</v>
          </cell>
          <cell r="D617" t="str">
            <v>데</v>
          </cell>
        </row>
        <row r="618">
          <cell r="A618" t="str">
            <v>NameParticle델(del)/델</v>
          </cell>
          <cell r="B618" t="str">
            <v>NameParticle</v>
          </cell>
          <cell r="C618" t="str">
            <v>델(del)/델</v>
          </cell>
          <cell r="D618" t="str">
            <v>델</v>
          </cell>
        </row>
        <row r="619">
          <cell r="A619" t="str">
            <v>NameParticle드(de)/드</v>
          </cell>
          <cell r="B619" t="str">
            <v>NameParticle</v>
          </cell>
          <cell r="C619" t="str">
            <v>드(de)/드</v>
          </cell>
          <cell r="D619" t="str">
            <v>드</v>
          </cell>
        </row>
        <row r="620">
          <cell r="A620" t="str">
            <v>NameParticle디(di)/디</v>
          </cell>
          <cell r="B620" t="str">
            <v>NameParticle</v>
          </cell>
          <cell r="C620" t="str">
            <v>디(di)/디</v>
          </cell>
          <cell r="D620" t="str">
            <v>디</v>
          </cell>
        </row>
        <row r="621">
          <cell r="A621" t="str">
            <v>NameParticle르(le)/르</v>
          </cell>
          <cell r="B621" t="str">
            <v>NameParticle</v>
          </cell>
          <cell r="C621" t="str">
            <v>르(le)/르</v>
          </cell>
          <cell r="D621" t="str">
            <v>르</v>
          </cell>
        </row>
        <row r="622">
          <cell r="A622" t="str">
            <v>NameParticle반(van)/반</v>
          </cell>
          <cell r="B622" t="str">
            <v>NameParticle</v>
          </cell>
          <cell r="C622" t="str">
            <v>반(van)/반</v>
          </cell>
          <cell r="D622" t="str">
            <v>반</v>
          </cell>
        </row>
        <row r="623">
          <cell r="A623" t="str">
            <v>NameParticle본(von)/본</v>
          </cell>
          <cell r="B623" t="str">
            <v>NameParticle</v>
          </cell>
          <cell r="C623" t="str">
            <v>본(von)/본</v>
          </cell>
          <cell r="D623" t="str">
            <v>본</v>
          </cell>
        </row>
        <row r="624">
          <cell r="A624" t="str">
            <v>NameParticle에(e)/에</v>
          </cell>
          <cell r="B624" t="str">
            <v>NameParticle</v>
          </cell>
          <cell r="C624" t="str">
            <v>에(e)/에</v>
          </cell>
          <cell r="D624" t="str">
            <v>에</v>
          </cell>
        </row>
        <row r="625">
          <cell r="A625" t="str">
            <v>NameParticle판(van)/판</v>
          </cell>
          <cell r="B625" t="str">
            <v>NameParticle</v>
          </cell>
          <cell r="C625" t="str">
            <v>판(van)/판</v>
          </cell>
          <cell r="D625" t="str">
            <v>판</v>
          </cell>
        </row>
        <row r="626">
          <cell r="A626" t="str">
            <v>NameParticle폰(von)/폰</v>
          </cell>
          <cell r="B626" t="str">
            <v>NameParticle</v>
          </cell>
          <cell r="C626" t="str">
            <v>폰(von)/폰</v>
          </cell>
          <cell r="D626" t="str">
            <v>폰</v>
          </cell>
        </row>
        <row r="627">
          <cell r="A627" t="str">
            <v>BattleUnitTriggerTiming항시적용(체크안함)</v>
          </cell>
          <cell r="B627" t="str">
            <v>BattleUnitTriggerTiming</v>
          </cell>
          <cell r="C627" t="str">
            <v>항시적용(체크안함)</v>
          </cell>
          <cell r="D627">
            <v>0</v>
          </cell>
        </row>
        <row r="628">
          <cell r="A628" t="str">
            <v>BattleUnitTriggerTiming페이즈 시작 전</v>
          </cell>
          <cell r="B628" t="str">
            <v>BattleUnitTriggerTiming</v>
          </cell>
          <cell r="C628" t="str">
            <v>페이즈 시작 전</v>
          </cell>
          <cell r="D628">
            <v>1</v>
          </cell>
        </row>
        <row r="629">
          <cell r="A629" t="str">
            <v>BattleUnitTriggerTiming이동 전</v>
          </cell>
          <cell r="B629" t="str">
            <v>BattleUnitTriggerTiming</v>
          </cell>
          <cell r="C629" t="str">
            <v>이동 전</v>
          </cell>
          <cell r="D629">
            <v>2</v>
          </cell>
        </row>
        <row r="630">
          <cell r="A630" t="str">
            <v>BattleUnitTriggerTiming행동 전</v>
          </cell>
          <cell r="B630" t="str">
            <v>BattleUnitTriggerTiming</v>
          </cell>
          <cell r="C630" t="str">
            <v>행동 전</v>
          </cell>
          <cell r="D630">
            <v>3</v>
          </cell>
        </row>
        <row r="631">
          <cell r="A631" t="str">
            <v>BattleUnitTriggerTiming협공 공격 전</v>
          </cell>
          <cell r="B631" t="str">
            <v>BattleUnitTriggerTiming</v>
          </cell>
          <cell r="C631" t="str">
            <v>협공 공격 전</v>
          </cell>
          <cell r="D631">
            <v>4</v>
          </cell>
        </row>
        <row r="632">
          <cell r="A632" t="str">
            <v>BattleUnitTriggerTiming피격 전</v>
          </cell>
          <cell r="B632" t="str">
            <v>BattleUnitTriggerTiming</v>
          </cell>
          <cell r="C632" t="str">
            <v>피격 전</v>
          </cell>
          <cell r="D632">
            <v>5</v>
          </cell>
        </row>
        <row r="633">
          <cell r="A633" t="str">
            <v>BattleUnitTriggerTiming사망 전</v>
          </cell>
          <cell r="B633" t="str">
            <v>BattleUnitTriggerTiming</v>
          </cell>
          <cell r="C633" t="str">
            <v>사망 전</v>
          </cell>
          <cell r="D633">
            <v>6</v>
          </cell>
        </row>
        <row r="634">
          <cell r="A634" t="str">
            <v>BattleUnitTriggerTiming페이즈 종료 전</v>
          </cell>
          <cell r="B634" t="str">
            <v>BattleUnitTriggerTiming</v>
          </cell>
          <cell r="C634" t="str">
            <v>페이즈 종료 전</v>
          </cell>
          <cell r="D634">
            <v>7</v>
          </cell>
        </row>
        <row r="635">
          <cell r="A635" t="str">
            <v>BattleUnitTriggerConditionType조건 없음</v>
          </cell>
          <cell r="B635" t="str">
            <v>BattleUnitTriggerConditionType</v>
          </cell>
          <cell r="C635" t="str">
            <v>조건 없음</v>
          </cell>
          <cell r="D635">
            <v>0</v>
          </cell>
        </row>
        <row r="636">
          <cell r="A636" t="str">
            <v>BattleUnitTriggerConditionType특정 액션</v>
          </cell>
          <cell r="B636" t="str">
            <v>BattleUnitTriggerConditionType</v>
          </cell>
          <cell r="C636" t="str">
            <v>특정 액션</v>
          </cell>
          <cell r="D636">
            <v>1</v>
          </cell>
        </row>
        <row r="637">
          <cell r="A637" t="str">
            <v>BattleUnitTriggerConditionType주변 타일 특정 개체 n개</v>
          </cell>
          <cell r="B637" t="str">
            <v>BattleUnitTriggerConditionType</v>
          </cell>
          <cell r="C637" t="str">
            <v>주변 타일 특정 개체 n개</v>
          </cell>
          <cell r="D637">
            <v>2</v>
          </cell>
        </row>
        <row r="638">
          <cell r="A638" t="str">
            <v>BattleUnitTriggerConditionType특정 타일에 위치할 경우</v>
          </cell>
          <cell r="B638" t="str">
            <v>BattleUnitTriggerConditionType</v>
          </cell>
          <cell r="C638" t="str">
            <v>특정 타일에 위치할 경우</v>
          </cell>
          <cell r="D638">
            <v>3</v>
          </cell>
        </row>
        <row r="639">
          <cell r="A639" t="str">
            <v>BattleUnitTriggerConditionType상태 관련</v>
          </cell>
          <cell r="B639" t="str">
            <v>BattleUnitTriggerConditionType</v>
          </cell>
          <cell r="C639" t="str">
            <v>상태 관련</v>
          </cell>
          <cell r="D639">
            <v>4</v>
          </cell>
        </row>
        <row r="640">
          <cell r="A640" t="str">
            <v>BattleUnitTriggerConditionTypeHP관련</v>
          </cell>
          <cell r="B640" t="str">
            <v>BattleUnitTriggerConditionType</v>
          </cell>
          <cell r="C640" t="str">
            <v>HP관련</v>
          </cell>
          <cell r="D640">
            <v>5</v>
          </cell>
        </row>
        <row r="641">
          <cell r="A641" t="str">
            <v>BattleUnitTriggerConditionType자원관련</v>
          </cell>
          <cell r="B641" t="str">
            <v>BattleUnitTriggerConditionType</v>
          </cell>
          <cell r="C641" t="str">
            <v>자원관련</v>
          </cell>
          <cell r="D641">
            <v>6</v>
          </cell>
        </row>
        <row r="642">
          <cell r="A642" t="str">
            <v>BattleUnitTriggerConditionType오브젝트 피격</v>
          </cell>
          <cell r="B642" t="str">
            <v>BattleUnitTriggerConditionType</v>
          </cell>
          <cell r="C642" t="str">
            <v>오브젝트 피격</v>
          </cell>
          <cell r="D642">
            <v>7</v>
          </cell>
        </row>
        <row r="643">
          <cell r="A643" t="str">
            <v>BattleUnitTriggerConditionType이동 칸 수 체크</v>
          </cell>
          <cell r="B643" t="str">
            <v>BattleUnitTriggerConditionType</v>
          </cell>
          <cell r="C643" t="str">
            <v>이동 칸 수 체크</v>
          </cell>
          <cell r="D643">
            <v>14</v>
          </cell>
        </row>
        <row r="644">
          <cell r="A644" t="str">
            <v>BattleUnitTriggerConditionType적 사망</v>
          </cell>
          <cell r="B644" t="str">
            <v>BattleUnitTriggerConditionType</v>
          </cell>
          <cell r="C644" t="str">
            <v>적 사망</v>
          </cell>
          <cell r="D644">
            <v>15</v>
          </cell>
        </row>
        <row r="645">
          <cell r="A645" t="str">
            <v>BattleUnitTriggerTargetType스킬 대상</v>
          </cell>
          <cell r="B645" t="str">
            <v>BattleUnitTriggerTargetType</v>
          </cell>
          <cell r="C645" t="str">
            <v>스킬 대상</v>
          </cell>
          <cell r="D645">
            <v>0</v>
          </cell>
        </row>
        <row r="646">
          <cell r="A646" t="str">
            <v>BattleUnitTriggerTargetType아군 기함</v>
          </cell>
          <cell r="B646" t="str">
            <v>BattleUnitTriggerTargetType</v>
          </cell>
          <cell r="C646" t="str">
            <v>아군 기함</v>
          </cell>
          <cell r="D646">
            <v>1</v>
          </cell>
        </row>
        <row r="647">
          <cell r="A647" t="str">
            <v>BattleUnitTriggerTargetType적 기함</v>
          </cell>
          <cell r="B647" t="str">
            <v>BattleUnitTriggerTargetType</v>
          </cell>
          <cell r="C647" t="str">
            <v>적 기함</v>
          </cell>
          <cell r="D647">
            <v>2</v>
          </cell>
        </row>
        <row r="648">
          <cell r="A648" t="str">
            <v>BattleUnitTriggerPositiveType부정</v>
          </cell>
          <cell r="B648" t="str">
            <v>BattleUnitTriggerPositiveType</v>
          </cell>
          <cell r="C648" t="str">
            <v>부정</v>
          </cell>
          <cell r="D648">
            <v>0</v>
          </cell>
        </row>
        <row r="649">
          <cell r="A649" t="str">
            <v>BattleUnitTriggerPositiveType긍정</v>
          </cell>
          <cell r="B649" t="str">
            <v>BattleUnitTriggerPositiveType</v>
          </cell>
          <cell r="C649" t="str">
            <v>긍정</v>
          </cell>
          <cell r="D649">
            <v>1</v>
          </cell>
        </row>
        <row r="650">
          <cell r="A650" t="str">
            <v>BattlePassiveEffectType턴 시작 적용</v>
          </cell>
          <cell r="B650" t="str">
            <v>BattlePassiveEffectType</v>
          </cell>
          <cell r="C650" t="str">
            <v>턴 시작 적용</v>
          </cell>
          <cell r="D650">
            <v>1</v>
          </cell>
        </row>
        <row r="651">
          <cell r="A651" t="str">
            <v>BattlePassiveEffectType자원 증/감</v>
          </cell>
          <cell r="B651" t="str">
            <v>BattlePassiveEffectType</v>
          </cell>
          <cell r="C651" t="str">
            <v>자원 증/감</v>
          </cell>
          <cell r="D651">
            <v>2</v>
          </cell>
        </row>
        <row r="652">
          <cell r="A652" t="str">
            <v>BattlePassiveEffectType상태 변경</v>
          </cell>
          <cell r="B652" t="str">
            <v>BattlePassiveEffectType</v>
          </cell>
          <cell r="C652" t="str">
            <v>상태 변경</v>
          </cell>
          <cell r="D652">
            <v>3</v>
          </cell>
        </row>
        <row r="653">
          <cell r="A653" t="str">
            <v>BattlePassiveEffectType사거리 증/감</v>
          </cell>
          <cell r="B653" t="str">
            <v>BattlePassiveEffectType</v>
          </cell>
          <cell r="C653" t="str">
            <v>사거리 증/감</v>
          </cell>
          <cell r="D653">
            <v>4</v>
          </cell>
        </row>
        <row r="654">
          <cell r="A654" t="str">
            <v>BattlePassiveEffectType이펙트 무시</v>
          </cell>
          <cell r="B654" t="str">
            <v>BattlePassiveEffectType</v>
          </cell>
          <cell r="C654" t="str">
            <v>이펙트 무시</v>
          </cell>
          <cell r="D654">
            <v>7</v>
          </cell>
        </row>
        <row r="655">
          <cell r="A655" t="str">
            <v>BattlePassiveEffectType기타</v>
          </cell>
          <cell r="B655" t="str">
            <v>BattlePassiveEffectType</v>
          </cell>
          <cell r="C655" t="str">
            <v>기타</v>
          </cell>
          <cell r="D655">
            <v>100</v>
          </cell>
        </row>
        <row r="656">
          <cell r="A656" t="str">
            <v>BattleBuffStackCancelType별도관리(날씨등)</v>
          </cell>
          <cell r="B656" t="str">
            <v>BattleBuffStackCancelType</v>
          </cell>
          <cell r="C656" t="str">
            <v>별도관리(날씨등)</v>
          </cell>
          <cell r="D656">
            <v>0</v>
          </cell>
        </row>
        <row r="657">
          <cell r="A657" t="str">
            <v>BattleBuffStackCancelType모두 해제</v>
          </cell>
          <cell r="B657" t="str">
            <v>BattleBuffStackCancelType</v>
          </cell>
          <cell r="C657" t="str">
            <v>모두 해제</v>
          </cell>
          <cell r="D657">
            <v>1</v>
          </cell>
        </row>
        <row r="658">
          <cell r="A658" t="str">
            <v>BattleBuffStackCancelType1개 해제</v>
          </cell>
          <cell r="B658" t="str">
            <v>BattleBuffStackCancelType</v>
          </cell>
          <cell r="C658" t="str">
            <v>1개 해제</v>
          </cell>
          <cell r="D658">
            <v>2</v>
          </cell>
        </row>
        <row r="659">
          <cell r="A659" t="str">
            <v>BattleBuffStackCancelType1개 해제&amp;지속 턴 리셋</v>
          </cell>
          <cell r="B659" t="str">
            <v>BattleBuffStackCancelType</v>
          </cell>
          <cell r="C659" t="str">
            <v>1개 해제&amp;지속 턴 리셋</v>
          </cell>
          <cell r="D659">
            <v>3</v>
          </cell>
        </row>
        <row r="660">
          <cell r="A660" t="str">
            <v>BattleActiveEffectReuseType재 발동 불가</v>
          </cell>
          <cell r="B660" t="str">
            <v>BattleActiveEffectReuseType</v>
          </cell>
          <cell r="C660" t="str">
            <v>재 발동 불가</v>
          </cell>
          <cell r="D660">
            <v>0</v>
          </cell>
        </row>
        <row r="661">
          <cell r="A661" t="str">
            <v>BattleActiveEffectReuseType재 발동 가능</v>
          </cell>
          <cell r="B661" t="str">
            <v>BattleActiveEffectReuseType</v>
          </cell>
          <cell r="C661" t="str">
            <v>재 발동 가능</v>
          </cell>
          <cell r="D661">
            <v>1</v>
          </cell>
        </row>
        <row r="662">
          <cell r="A662" t="str">
            <v>BattleActiveEffectTargetType타겟 없음</v>
          </cell>
          <cell r="B662" t="str">
            <v>BattleActiveEffectTargetType</v>
          </cell>
          <cell r="C662" t="str">
            <v>타겟 없음</v>
          </cell>
          <cell r="D662">
            <v>0</v>
          </cell>
        </row>
        <row r="663">
          <cell r="A663" t="str">
            <v>BattleActiveEffectTargetType유닛 타겟 필요</v>
          </cell>
          <cell r="B663" t="str">
            <v>BattleActiveEffectTargetType</v>
          </cell>
          <cell r="C663" t="str">
            <v>유닛 타겟 필요</v>
          </cell>
          <cell r="D663">
            <v>1</v>
          </cell>
        </row>
        <row r="664">
          <cell r="A664" t="str">
            <v>BattleActiveEffectTargetType빈 타일 타겟 필요</v>
          </cell>
          <cell r="B664" t="str">
            <v>BattleActiveEffectTargetType</v>
          </cell>
          <cell r="C664" t="str">
            <v>빈 타일 타겟 필요</v>
          </cell>
          <cell r="D664">
            <v>2</v>
          </cell>
        </row>
        <row r="665">
          <cell r="A665" t="str">
            <v>RangeOverrideType사용</v>
          </cell>
          <cell r="B665" t="str">
            <v>RangeOverrideType</v>
          </cell>
          <cell r="C665" t="str">
            <v>사용</v>
          </cell>
          <cell r="D665">
            <v>0</v>
          </cell>
        </row>
        <row r="666">
          <cell r="A666" t="str">
            <v>RangeOverrideType미사용</v>
          </cell>
          <cell r="B666" t="str">
            <v>RangeOverrideType</v>
          </cell>
          <cell r="C666" t="str">
            <v>미사용</v>
          </cell>
          <cell r="D666">
            <v>1</v>
          </cell>
        </row>
        <row r="667">
          <cell r="A667" t="str">
            <v>TriggerType터치</v>
          </cell>
          <cell r="B667" t="str">
            <v>TriggerType</v>
          </cell>
          <cell r="C667" t="str">
            <v>터치</v>
          </cell>
          <cell r="D667">
            <v>0</v>
          </cell>
        </row>
        <row r="668">
          <cell r="A668" t="str">
            <v>TriggerType범위</v>
          </cell>
          <cell r="B668" t="str">
            <v>TriggerType</v>
          </cell>
          <cell r="C668" t="str">
            <v>범위</v>
          </cell>
          <cell r="D668">
            <v>1</v>
          </cell>
        </row>
        <row r="669">
          <cell r="A669" t="str">
            <v>TriggerType탐색</v>
          </cell>
          <cell r="B669" t="str">
            <v>TriggerType</v>
          </cell>
          <cell r="C669" t="str">
            <v>탐색</v>
          </cell>
          <cell r="D669">
            <v>2</v>
          </cell>
        </row>
        <row r="670">
          <cell r="A670" t="str">
            <v>RequiredConditionType없음</v>
          </cell>
          <cell r="B670" t="str">
            <v>RequiredConditionType</v>
          </cell>
          <cell r="C670" t="str">
            <v>없음</v>
          </cell>
          <cell r="D670">
            <v>0</v>
          </cell>
        </row>
        <row r="671">
          <cell r="A671" t="str">
            <v>RequiredConditionType선단 LV</v>
          </cell>
          <cell r="B671" t="str">
            <v>RequiredConditionType</v>
          </cell>
          <cell r="C671" t="str">
            <v>선단 LV</v>
          </cell>
          <cell r="D671">
            <v>1</v>
          </cell>
        </row>
        <row r="672">
          <cell r="A672" t="str">
            <v>RequiredConditionType스킬</v>
          </cell>
          <cell r="B672" t="str">
            <v>RequiredConditionType</v>
          </cell>
          <cell r="C672" t="str">
            <v>스킬</v>
          </cell>
          <cell r="D672">
            <v>2</v>
          </cell>
        </row>
        <row r="673">
          <cell r="A673" t="str">
            <v>RequiredConditionType아이템</v>
          </cell>
          <cell r="B673" t="str">
            <v>RequiredConditionType</v>
          </cell>
          <cell r="C673" t="str">
            <v>아이템</v>
          </cell>
          <cell r="D673">
            <v>3</v>
          </cell>
        </row>
        <row r="674">
          <cell r="A674" t="str">
            <v>RequiredConditionType특정 범위 내 유저 수</v>
          </cell>
          <cell r="B674" t="str">
            <v>RequiredConditionType</v>
          </cell>
          <cell r="C674" t="str">
            <v>특정 범위 내 유저 수</v>
          </cell>
          <cell r="D674">
            <v>4</v>
          </cell>
        </row>
        <row r="675">
          <cell r="A675" t="str">
            <v>DoodadEffectType즉시 효과 발동</v>
          </cell>
          <cell r="B675" t="str">
            <v>DoodadEffectType</v>
          </cell>
          <cell r="C675" t="str">
            <v>즉시 효과 발동</v>
          </cell>
          <cell r="D675">
            <v>0</v>
          </cell>
        </row>
        <row r="676">
          <cell r="A676" t="str">
            <v>DoodadEffectType일정 시간 동안 효과 발동</v>
          </cell>
          <cell r="B676" t="str">
            <v>DoodadEffectType</v>
          </cell>
          <cell r="C676" t="str">
            <v>일정 시간 동안 효과 발동</v>
          </cell>
          <cell r="D676">
            <v>1</v>
          </cell>
        </row>
        <row r="677">
          <cell r="A677" t="str">
            <v>DoodadEffectType일정 시간 경과 후 효과 발동</v>
          </cell>
          <cell r="B677" t="str">
            <v>DoodadEffectType</v>
          </cell>
          <cell r="C677" t="str">
            <v>일정 시간 경과 후 효과 발동</v>
          </cell>
          <cell r="D677">
            <v>2</v>
          </cell>
        </row>
        <row r="678">
          <cell r="A678" t="str">
            <v>DoodadEffectType특정 조건 만족 시 효과 발동</v>
          </cell>
          <cell r="B678" t="str">
            <v>DoodadEffectType</v>
          </cell>
          <cell r="C678" t="str">
            <v>특정 조건 만족 시 효과 발동</v>
          </cell>
          <cell r="D678">
            <v>3</v>
          </cell>
        </row>
        <row r="679">
          <cell r="A679" t="str">
            <v>EventDependencyType없음</v>
          </cell>
          <cell r="B679" t="str">
            <v>EventDependencyType</v>
          </cell>
          <cell r="C679" t="str">
            <v>없음</v>
          </cell>
          <cell r="D679">
            <v>0</v>
          </cell>
        </row>
        <row r="680">
          <cell r="A680" t="str">
            <v>EventDependencyType월드 버프</v>
          </cell>
          <cell r="B680" t="str">
            <v>EventDependencyType</v>
          </cell>
          <cell r="C680" t="str">
            <v>월드 버프</v>
          </cell>
          <cell r="D680">
            <v>1</v>
          </cell>
        </row>
        <row r="681">
          <cell r="A681" t="str">
            <v>EventDependencyType해상 재해</v>
          </cell>
          <cell r="B681" t="str">
            <v>EventDependencyType</v>
          </cell>
          <cell r="C681" t="str">
            <v>해상 재해</v>
          </cell>
          <cell r="D681">
            <v>2</v>
          </cell>
        </row>
        <row r="682">
          <cell r="A682" t="str">
            <v>EventDependencyType퀘스트</v>
          </cell>
          <cell r="B682" t="str">
            <v>EventDependencyType</v>
          </cell>
          <cell r="C682" t="str">
            <v>퀘스트</v>
          </cell>
          <cell r="D682">
            <v>3</v>
          </cell>
        </row>
        <row r="683">
          <cell r="A683" t="str">
            <v>EventDependencyType퀘스트 인젝션</v>
          </cell>
          <cell r="B683" t="str">
            <v>EventDependencyType</v>
          </cell>
          <cell r="C683" t="str">
            <v>퀘스트 인젝션</v>
          </cell>
          <cell r="D683">
            <v>4</v>
          </cell>
        </row>
        <row r="684">
          <cell r="A684" t="str">
            <v>EventDependencyType발견물 발견</v>
          </cell>
          <cell r="B684" t="str">
            <v>EventDependencyType</v>
          </cell>
          <cell r="C684" t="str">
            <v>발견물 발견</v>
          </cell>
          <cell r="D684">
            <v>5</v>
          </cell>
        </row>
        <row r="685">
          <cell r="A685" t="str">
            <v>spawnScope없음</v>
          </cell>
          <cell r="B685" t="str">
            <v>spawnScope</v>
          </cell>
          <cell r="C685" t="str">
            <v>없음</v>
          </cell>
          <cell r="D685">
            <v>0</v>
          </cell>
        </row>
        <row r="686">
          <cell r="A686" t="str">
            <v>spawnScope로컬 랜덤</v>
          </cell>
          <cell r="B686" t="str">
            <v>spawnScope</v>
          </cell>
          <cell r="C686" t="str">
            <v>로컬 랜덤</v>
          </cell>
          <cell r="D686">
            <v>1</v>
          </cell>
        </row>
        <row r="687">
          <cell r="A687" t="str">
            <v>spawnScope로컬 고정</v>
          </cell>
          <cell r="B687" t="str">
            <v>spawnScope</v>
          </cell>
          <cell r="C687" t="str">
            <v>로컬 고정</v>
          </cell>
          <cell r="D687">
            <v>2</v>
          </cell>
        </row>
        <row r="688">
          <cell r="A688" t="str">
            <v>spawnScope에어리어</v>
          </cell>
          <cell r="B688" t="str">
            <v>spawnScope</v>
          </cell>
          <cell r="C688" t="str">
            <v>에어리어</v>
          </cell>
          <cell r="D688">
            <v>3</v>
          </cell>
        </row>
        <row r="689">
          <cell r="A689" t="str">
            <v>ActiveDestroyType즉시</v>
          </cell>
          <cell r="B689" t="str">
            <v>ActiveDestroyType</v>
          </cell>
          <cell r="C689" t="str">
            <v>즉시</v>
          </cell>
          <cell r="D689">
            <v>0</v>
          </cell>
        </row>
        <row r="690">
          <cell r="A690" t="str">
            <v>ActiveDestroyType영구</v>
          </cell>
          <cell r="B690" t="str">
            <v>ActiveDestroyType</v>
          </cell>
          <cell r="C690" t="str">
            <v>영구</v>
          </cell>
          <cell r="D690">
            <v>1</v>
          </cell>
        </row>
        <row r="691">
          <cell r="A691" t="str">
            <v>PassiveDestroyTypeOn</v>
          </cell>
          <cell r="B691" t="str">
            <v>PassiveDestroyType</v>
          </cell>
          <cell r="C691" t="str">
            <v>On</v>
          </cell>
          <cell r="D691">
            <v>0</v>
          </cell>
        </row>
        <row r="692">
          <cell r="A692" t="str">
            <v>PassiveDestroyTypeOff</v>
          </cell>
          <cell r="B692" t="str">
            <v>PassiveDestroyType</v>
          </cell>
          <cell r="C692" t="str">
            <v>Off</v>
          </cell>
          <cell r="D692">
            <v>1</v>
          </cell>
        </row>
        <row r="693">
          <cell r="A693" t="str">
            <v>SeaType평수</v>
          </cell>
          <cell r="B693" t="str">
            <v>SeaType</v>
          </cell>
          <cell r="C693" t="str">
            <v>평수</v>
          </cell>
          <cell r="D693">
            <v>0</v>
          </cell>
        </row>
        <row r="694">
          <cell r="A694" t="str">
            <v>SeaType연해</v>
          </cell>
          <cell r="B694" t="str">
            <v>SeaType</v>
          </cell>
          <cell r="C694" t="str">
            <v>연해</v>
          </cell>
          <cell r="D694">
            <v>1</v>
          </cell>
        </row>
        <row r="695">
          <cell r="A695" t="str">
            <v>SeaType근해</v>
          </cell>
          <cell r="B695" t="str">
            <v>SeaType</v>
          </cell>
          <cell r="C695" t="str">
            <v>근해</v>
          </cell>
          <cell r="D695">
            <v>2</v>
          </cell>
        </row>
        <row r="696">
          <cell r="A696" t="str">
            <v>SeaType원양</v>
          </cell>
          <cell r="B696" t="str">
            <v>SeaType</v>
          </cell>
          <cell r="C696" t="str">
            <v>원양</v>
          </cell>
          <cell r="D696">
            <v>3</v>
          </cell>
        </row>
        <row r="697">
          <cell r="A697" t="str">
            <v>SeaType해적</v>
          </cell>
          <cell r="B697" t="str">
            <v>SeaType</v>
          </cell>
          <cell r="C697" t="str">
            <v>해적</v>
          </cell>
          <cell r="D697">
            <v>4</v>
          </cell>
        </row>
        <row r="698">
          <cell r="A698" t="str">
            <v>SeaType독도</v>
          </cell>
          <cell r="B698" t="str">
            <v>SeaType</v>
          </cell>
          <cell r="C698" t="str">
            <v>독도</v>
          </cell>
          <cell r="D698">
            <v>5</v>
          </cell>
        </row>
        <row r="699">
          <cell r="A699" t="str">
            <v>SeaType강</v>
          </cell>
          <cell r="B699" t="str">
            <v>SeaType</v>
          </cell>
          <cell r="C699" t="str">
            <v>강</v>
          </cell>
          <cell r="D699">
            <v>6</v>
          </cell>
        </row>
        <row r="700">
          <cell r="A700" t="str">
            <v>SeaType북극</v>
          </cell>
          <cell r="B700" t="str">
            <v>SeaType</v>
          </cell>
          <cell r="C700" t="str">
            <v>북극</v>
          </cell>
          <cell r="D700">
            <v>7</v>
          </cell>
        </row>
        <row r="701">
          <cell r="A701" t="str">
            <v>SeaType남극</v>
          </cell>
          <cell r="B701" t="str">
            <v>SeaType</v>
          </cell>
          <cell r="C701" t="str">
            <v>남극</v>
          </cell>
          <cell r="D701">
            <v>8</v>
          </cell>
        </row>
        <row r="702">
          <cell r="A702" t="str">
            <v>regionDisputeType점유불가</v>
          </cell>
          <cell r="B702" t="str">
            <v>regionDisputeType</v>
          </cell>
          <cell r="C702" t="str">
            <v>점유불가</v>
          </cell>
          <cell r="D702">
            <v>0</v>
          </cell>
        </row>
        <row r="703">
          <cell r="A703" t="str">
            <v>regionDisputeType고착해역</v>
          </cell>
          <cell r="B703" t="str">
            <v>regionDisputeType</v>
          </cell>
          <cell r="C703" t="str">
            <v>고착해역</v>
          </cell>
          <cell r="D703">
            <v>1</v>
          </cell>
        </row>
        <row r="704">
          <cell r="A704" t="str">
            <v>regionDisputeType분쟁해역</v>
          </cell>
          <cell r="B704" t="str">
            <v>regionDisputeType</v>
          </cell>
          <cell r="C704" t="str">
            <v>분쟁해역</v>
          </cell>
          <cell r="D704">
            <v>2</v>
          </cell>
        </row>
        <row r="705">
          <cell r="A705" t="str">
            <v>DurationType유한</v>
          </cell>
          <cell r="B705" t="str">
            <v>DurationType</v>
          </cell>
          <cell r="C705" t="str">
            <v>유한</v>
          </cell>
          <cell r="D705">
            <v>0</v>
          </cell>
        </row>
        <row r="706">
          <cell r="A706" t="str">
            <v>DurationType무한</v>
          </cell>
          <cell r="B706" t="str">
            <v>DurationType</v>
          </cell>
          <cell r="C706" t="str">
            <v>무한</v>
          </cell>
          <cell r="D706">
            <v>1</v>
          </cell>
        </row>
        <row r="707">
          <cell r="A707" t="str">
            <v>interactionTypeOn</v>
          </cell>
          <cell r="B707" t="str">
            <v>interactionType</v>
          </cell>
          <cell r="C707" t="str">
            <v>On</v>
          </cell>
          <cell r="D707">
            <v>0</v>
          </cell>
        </row>
        <row r="708">
          <cell r="A708" t="str">
            <v>interactionTypeOff</v>
          </cell>
          <cell r="B708" t="str">
            <v>interactionType</v>
          </cell>
          <cell r="C708" t="str">
            <v>Off</v>
          </cell>
          <cell r="D708">
            <v>1</v>
          </cell>
        </row>
        <row r="709">
          <cell r="A709" t="str">
            <v>oceanNpcType로컬NPC</v>
          </cell>
          <cell r="B709" t="str">
            <v>oceanNpcType</v>
          </cell>
          <cell r="C709" t="str">
            <v>로컬NPC</v>
          </cell>
          <cell r="D709">
            <v>0</v>
          </cell>
        </row>
        <row r="710">
          <cell r="A710" t="str">
            <v>oceanNpcTypeUserNPC</v>
          </cell>
          <cell r="B710" t="str">
            <v>oceanNpcType</v>
          </cell>
          <cell r="C710" t="str">
            <v>UserNPC</v>
          </cell>
          <cell r="D710">
            <v>1</v>
          </cell>
        </row>
        <row r="711">
          <cell r="A711" t="str">
            <v>oceanNpcType엘리트</v>
          </cell>
          <cell r="B711" t="str">
            <v>oceanNpcType</v>
          </cell>
          <cell r="C711" t="str">
            <v>엘리트</v>
          </cell>
          <cell r="D711">
            <v>2</v>
          </cell>
        </row>
        <row r="712">
          <cell r="A712" t="str">
            <v>oceanNpcType퀘스트</v>
          </cell>
          <cell r="B712" t="str">
            <v>oceanNpcType</v>
          </cell>
          <cell r="C712" t="str">
            <v>퀘스트</v>
          </cell>
          <cell r="D712">
            <v>3</v>
          </cell>
        </row>
        <row r="713">
          <cell r="A713" t="str">
            <v>minimapOceanNpcType해적</v>
          </cell>
          <cell r="B713" t="str">
            <v>minimapOceanNpcType</v>
          </cell>
          <cell r="C713" t="str">
            <v>해적</v>
          </cell>
          <cell r="D713">
            <v>0</v>
          </cell>
        </row>
        <row r="714">
          <cell r="A714" t="str">
            <v>minimapOceanNpcTypeNPC</v>
          </cell>
          <cell r="B714" t="str">
            <v>minimapOceanNpcType</v>
          </cell>
          <cell r="C714" t="str">
            <v>NPC</v>
          </cell>
          <cell r="D714">
            <v>1</v>
          </cell>
        </row>
        <row r="715">
          <cell r="A715" t="str">
            <v>minimapOceanNpcType유저</v>
          </cell>
          <cell r="B715" t="str">
            <v>minimapOceanNpcType</v>
          </cell>
          <cell r="C715" t="str">
            <v>유저</v>
          </cell>
          <cell r="D715">
            <v>2</v>
          </cell>
        </row>
        <row r="716">
          <cell r="A716" t="str">
            <v>EventActiveType없음</v>
          </cell>
          <cell r="B716" t="str">
            <v>EventActiveType</v>
          </cell>
          <cell r="C716" t="str">
            <v>없음</v>
          </cell>
          <cell r="D716">
            <v>0</v>
          </cell>
        </row>
        <row r="717">
          <cell r="A717" t="str">
            <v>EventActiveType근접</v>
          </cell>
          <cell r="B717" t="str">
            <v>EventActiveType</v>
          </cell>
          <cell r="C717" t="str">
            <v>근접</v>
          </cell>
          <cell r="D717">
            <v>1</v>
          </cell>
        </row>
        <row r="718">
          <cell r="A718" t="str">
            <v>EventActiveType교섭</v>
          </cell>
          <cell r="B718" t="str">
            <v>EventActiveType</v>
          </cell>
          <cell r="C718" t="str">
            <v>교섭</v>
          </cell>
          <cell r="D718">
            <v>2</v>
          </cell>
        </row>
        <row r="719">
          <cell r="A719" t="str">
            <v>EventActiveType침몰</v>
          </cell>
          <cell r="B719" t="str">
            <v>EventActiveType</v>
          </cell>
          <cell r="C719" t="str">
            <v>침몰</v>
          </cell>
          <cell r="D719">
            <v>3</v>
          </cell>
        </row>
        <row r="720">
          <cell r="A720" t="str">
            <v>ShipCultureType없음</v>
          </cell>
          <cell r="B720" t="str">
            <v>ShipCultureType</v>
          </cell>
          <cell r="C720" t="str">
            <v>없음</v>
          </cell>
          <cell r="D720">
            <v>0</v>
          </cell>
        </row>
        <row r="721">
          <cell r="A721" t="str">
            <v>ShipCultureType서양</v>
          </cell>
          <cell r="B721" t="str">
            <v>ShipCultureType</v>
          </cell>
          <cell r="C721" t="str">
            <v>서양</v>
          </cell>
          <cell r="D721">
            <v>1</v>
          </cell>
        </row>
        <row r="722">
          <cell r="A722" t="str">
            <v>ShipCultureType동양</v>
          </cell>
          <cell r="B722" t="str">
            <v>ShipCultureType</v>
          </cell>
          <cell r="C722" t="str">
            <v>동양</v>
          </cell>
          <cell r="D722">
            <v>2</v>
          </cell>
        </row>
        <row r="723">
          <cell r="A723" t="str">
            <v>MaterialItemType필수</v>
          </cell>
          <cell r="B723" t="str">
            <v>MaterialItemType</v>
          </cell>
          <cell r="C723" t="str">
            <v>필수</v>
          </cell>
          <cell r="D723">
            <v>0</v>
          </cell>
        </row>
        <row r="724">
          <cell r="A724" t="str">
            <v>MaterialItemType선택</v>
          </cell>
          <cell r="B724" t="str">
            <v>MaterialItemType</v>
          </cell>
          <cell r="C724" t="str">
            <v>선택</v>
          </cell>
          <cell r="D724">
            <v>1</v>
          </cell>
        </row>
        <row r="725">
          <cell r="A725" t="str">
            <v>materialType재질</v>
          </cell>
          <cell r="B725" t="str">
            <v>materialType</v>
          </cell>
          <cell r="C725" t="str">
            <v>재질</v>
          </cell>
          <cell r="D725">
            <v>0</v>
          </cell>
        </row>
        <row r="726">
          <cell r="A726" t="str">
            <v>materialType마스트</v>
          </cell>
          <cell r="B726" t="str">
            <v>materialType</v>
          </cell>
          <cell r="C726" t="str">
            <v>마스트</v>
          </cell>
          <cell r="D726">
            <v>1</v>
          </cell>
        </row>
        <row r="727">
          <cell r="A727" t="str">
            <v>materialType로프</v>
          </cell>
          <cell r="B727" t="str">
            <v>materialType</v>
          </cell>
          <cell r="C727" t="str">
            <v>로프</v>
          </cell>
          <cell r="D727">
            <v>2</v>
          </cell>
        </row>
        <row r="728">
          <cell r="A728" t="str">
            <v>materialType포격 위력</v>
          </cell>
          <cell r="B728" t="str">
            <v>materialType</v>
          </cell>
          <cell r="C728" t="str">
            <v>포격 위력</v>
          </cell>
          <cell r="D728">
            <v>3</v>
          </cell>
        </row>
        <row r="729">
          <cell r="A729" t="str">
            <v>materialType특수</v>
          </cell>
          <cell r="B729" t="str">
            <v>materialType</v>
          </cell>
          <cell r="C729" t="str">
            <v>특수</v>
          </cell>
          <cell r="D729">
            <v>4</v>
          </cell>
        </row>
        <row r="730">
          <cell r="A730" t="str">
            <v>oceanNpcNationType동적 국가</v>
          </cell>
          <cell r="B730" t="str">
            <v>oceanNpcNationType</v>
          </cell>
          <cell r="C730" t="str">
            <v>동적 국가</v>
          </cell>
          <cell r="D730">
            <v>0</v>
          </cell>
        </row>
        <row r="731">
          <cell r="A731" t="str">
            <v>oceanNpcNationType고정 국가</v>
          </cell>
          <cell r="B731" t="str">
            <v>oceanNpcNationType</v>
          </cell>
          <cell r="C731" t="str">
            <v>고정 국가</v>
          </cell>
          <cell r="D731">
            <v>1</v>
          </cell>
        </row>
        <row r="732">
          <cell r="A732" t="str">
            <v>oceanNpcOccupyType점령 국가</v>
          </cell>
          <cell r="B732" t="str">
            <v>oceanNpcOccupyType</v>
          </cell>
          <cell r="C732" t="str">
            <v>점령 국가</v>
          </cell>
          <cell r="D732">
            <v>0</v>
          </cell>
        </row>
        <row r="733">
          <cell r="A733" t="str">
            <v>oceanNpcOccupyType비점령 국가</v>
          </cell>
          <cell r="B733" t="str">
            <v>oceanNpcOccupyType</v>
          </cell>
          <cell r="C733" t="str">
            <v>비점령 국가</v>
          </cell>
          <cell r="D733">
            <v>1</v>
          </cell>
        </row>
        <row r="734">
          <cell r="A734" t="str">
            <v>oceanNpcOccupyType해적</v>
          </cell>
          <cell r="B734" t="str">
            <v>oceanNpcOccupyType</v>
          </cell>
          <cell r="C734" t="str">
            <v>해적</v>
          </cell>
          <cell r="D734">
            <v>2</v>
          </cell>
        </row>
        <row r="735">
          <cell r="A735" t="str">
            <v>itemGradeNone</v>
          </cell>
          <cell r="B735" t="str">
            <v>itemGrade</v>
          </cell>
          <cell r="C735" t="str">
            <v>None</v>
          </cell>
          <cell r="D735">
            <v>0</v>
          </cell>
        </row>
        <row r="736">
          <cell r="A736" t="str">
            <v>itemGradeD</v>
          </cell>
          <cell r="B736" t="str">
            <v>itemGrade</v>
          </cell>
          <cell r="C736" t="str">
            <v>D</v>
          </cell>
          <cell r="D736">
            <v>1</v>
          </cell>
        </row>
        <row r="737">
          <cell r="A737" t="str">
            <v>itemGradeC</v>
          </cell>
          <cell r="B737" t="str">
            <v>itemGrade</v>
          </cell>
          <cell r="C737" t="str">
            <v>C</v>
          </cell>
          <cell r="D737">
            <v>2</v>
          </cell>
        </row>
        <row r="738">
          <cell r="A738" t="str">
            <v>itemGradeB</v>
          </cell>
          <cell r="B738" t="str">
            <v>itemGrade</v>
          </cell>
          <cell r="C738" t="str">
            <v>B</v>
          </cell>
          <cell r="D738">
            <v>3</v>
          </cell>
        </row>
        <row r="739">
          <cell r="A739" t="str">
            <v>itemGradeA</v>
          </cell>
          <cell r="B739" t="str">
            <v>itemGrade</v>
          </cell>
          <cell r="C739" t="str">
            <v>A</v>
          </cell>
          <cell r="D739">
            <v>4</v>
          </cell>
        </row>
        <row r="740">
          <cell r="A740" t="str">
            <v>itemGradeS</v>
          </cell>
          <cell r="B740" t="str">
            <v>itemGrade</v>
          </cell>
          <cell r="C740" t="str">
            <v>S</v>
          </cell>
          <cell r="D740">
            <v>5</v>
          </cell>
        </row>
        <row r="741">
          <cell r="A741" t="str">
            <v>ShipGradeD</v>
          </cell>
          <cell r="B741" t="str">
            <v>ShipGrade</v>
          </cell>
          <cell r="C741" t="str">
            <v>D</v>
          </cell>
          <cell r="D741">
            <v>1</v>
          </cell>
        </row>
        <row r="742">
          <cell r="A742" t="str">
            <v>ShipGradeC</v>
          </cell>
          <cell r="B742" t="str">
            <v>ShipGrade</v>
          </cell>
          <cell r="C742" t="str">
            <v>C</v>
          </cell>
          <cell r="D742">
            <v>2</v>
          </cell>
        </row>
        <row r="743">
          <cell r="A743" t="str">
            <v>ShipGradeB</v>
          </cell>
          <cell r="B743" t="str">
            <v>ShipGrade</v>
          </cell>
          <cell r="C743" t="str">
            <v>B</v>
          </cell>
          <cell r="D743">
            <v>3</v>
          </cell>
        </row>
        <row r="744">
          <cell r="A744" t="str">
            <v>ShipGradeA</v>
          </cell>
          <cell r="B744" t="str">
            <v>ShipGrade</v>
          </cell>
          <cell r="C744" t="str">
            <v>A</v>
          </cell>
          <cell r="D744">
            <v>4</v>
          </cell>
        </row>
        <row r="745">
          <cell r="A745" t="str">
            <v>ShipGradeS</v>
          </cell>
          <cell r="B745" t="str">
            <v>ShipGrade</v>
          </cell>
          <cell r="C745" t="str">
            <v>S</v>
          </cell>
          <cell r="D745">
            <v>5</v>
          </cell>
        </row>
        <row r="746">
          <cell r="A746" t="str">
            <v>ShipEquipGradeD</v>
          </cell>
          <cell r="B746" t="str">
            <v>ShipEquipGrade</v>
          </cell>
          <cell r="C746" t="str">
            <v>D</v>
          </cell>
          <cell r="D746">
            <v>0</v>
          </cell>
        </row>
        <row r="747">
          <cell r="A747" t="str">
            <v>ShipEquipGradeC</v>
          </cell>
          <cell r="B747" t="str">
            <v>ShipEquipGrade</v>
          </cell>
          <cell r="C747" t="str">
            <v>C</v>
          </cell>
          <cell r="D747">
            <v>1</v>
          </cell>
        </row>
        <row r="748">
          <cell r="A748" t="str">
            <v>ShipEquipGradeB</v>
          </cell>
          <cell r="B748" t="str">
            <v>ShipEquipGrade</v>
          </cell>
          <cell r="C748" t="str">
            <v>B</v>
          </cell>
          <cell r="D748">
            <v>2</v>
          </cell>
        </row>
        <row r="749">
          <cell r="A749" t="str">
            <v>ShipEquipGradeA</v>
          </cell>
          <cell r="B749" t="str">
            <v>ShipEquipGrade</v>
          </cell>
          <cell r="C749" t="str">
            <v>A</v>
          </cell>
          <cell r="D749">
            <v>3</v>
          </cell>
        </row>
        <row r="750">
          <cell r="A750" t="str">
            <v>ShipEquipGradeS</v>
          </cell>
          <cell r="B750" t="str">
            <v>ShipEquipGrade</v>
          </cell>
          <cell r="C750" t="str">
            <v>S</v>
          </cell>
          <cell r="D750">
            <v>4</v>
          </cell>
        </row>
        <row r="751">
          <cell r="A751" t="str">
            <v>autoFleetTypeOn</v>
          </cell>
          <cell r="B751" t="str">
            <v>autoFleetType</v>
          </cell>
          <cell r="C751" t="str">
            <v>On</v>
          </cell>
          <cell r="D751">
            <v>0</v>
          </cell>
        </row>
        <row r="752">
          <cell r="A752" t="str">
            <v>autoFleetTypeOff</v>
          </cell>
          <cell r="B752" t="str">
            <v>autoFleetType</v>
          </cell>
          <cell r="C752" t="str">
            <v>Off</v>
          </cell>
          <cell r="D752">
            <v>1</v>
          </cell>
        </row>
        <row r="753">
          <cell r="A753" t="str">
            <v>AutoMateLvOn</v>
          </cell>
          <cell r="B753" t="str">
            <v>AutoMateLv</v>
          </cell>
          <cell r="C753" t="str">
            <v>On</v>
          </cell>
          <cell r="D753">
            <v>0</v>
          </cell>
        </row>
        <row r="754">
          <cell r="A754" t="str">
            <v>AutoMateLvOff</v>
          </cell>
          <cell r="B754" t="str">
            <v>AutoMateLv</v>
          </cell>
          <cell r="C754" t="str">
            <v>Off</v>
          </cell>
          <cell r="D754">
            <v>1</v>
          </cell>
        </row>
        <row r="755">
          <cell r="A755" t="str">
            <v>AutoMateOn</v>
          </cell>
          <cell r="B755" t="str">
            <v>AutoMate</v>
          </cell>
          <cell r="C755" t="str">
            <v>On</v>
          </cell>
          <cell r="D755">
            <v>0</v>
          </cell>
        </row>
        <row r="756">
          <cell r="A756" t="str">
            <v>AutoMateOff</v>
          </cell>
          <cell r="B756" t="str">
            <v>AutoMate</v>
          </cell>
          <cell r="C756" t="str">
            <v>Off</v>
          </cell>
          <cell r="D756">
            <v>1</v>
          </cell>
        </row>
        <row r="757">
          <cell r="A757" t="str">
            <v>RadiusType없음</v>
          </cell>
          <cell r="B757" t="str">
            <v>RadiusType</v>
          </cell>
          <cell r="C757" t="str">
            <v>없음</v>
          </cell>
          <cell r="D757">
            <v>0</v>
          </cell>
        </row>
        <row r="758">
          <cell r="A758" t="str">
            <v>RadiusType원형</v>
          </cell>
          <cell r="B758" t="str">
            <v>RadiusType</v>
          </cell>
          <cell r="C758" t="str">
            <v>원형</v>
          </cell>
          <cell r="D758">
            <v>1</v>
          </cell>
        </row>
        <row r="759">
          <cell r="A759" t="str">
            <v>RadiusType정사각형</v>
          </cell>
          <cell r="B759" t="str">
            <v>RadiusType</v>
          </cell>
          <cell r="C759" t="str">
            <v>정사각형</v>
          </cell>
          <cell r="D759">
            <v>2</v>
          </cell>
        </row>
        <row r="760">
          <cell r="A760" t="str">
            <v>RadiusType리전</v>
          </cell>
          <cell r="B760" t="str">
            <v>RadiusType</v>
          </cell>
          <cell r="C760" t="str">
            <v>리전</v>
          </cell>
          <cell r="D760">
            <v>3</v>
          </cell>
        </row>
        <row r="761">
          <cell r="A761" t="str">
            <v>protectionOccurCondition없음</v>
          </cell>
          <cell r="B761" t="str">
            <v>protectionOccurCondition</v>
          </cell>
          <cell r="C761" t="str">
            <v>없음</v>
          </cell>
          <cell r="D761">
            <v>0</v>
          </cell>
        </row>
        <row r="762">
          <cell r="A762" t="str">
            <v>protectionOccurCondition파도 높이</v>
          </cell>
          <cell r="B762" t="str">
            <v>protectionOccurCondition</v>
          </cell>
          <cell r="C762" t="str">
            <v>파도 높이</v>
          </cell>
          <cell r="D762">
            <v>1</v>
          </cell>
        </row>
        <row r="763">
          <cell r="A763" t="str">
            <v>protectionOccurCondition날씨</v>
          </cell>
          <cell r="B763" t="str">
            <v>protectionOccurCondition</v>
          </cell>
          <cell r="C763" t="str">
            <v>날씨</v>
          </cell>
          <cell r="D763">
            <v>2</v>
          </cell>
        </row>
        <row r="764">
          <cell r="A764" t="str">
            <v>protectionOccurCondition바람 속도</v>
          </cell>
          <cell r="B764" t="str">
            <v>protectionOccurCondition</v>
          </cell>
          <cell r="C764" t="str">
            <v>바람 속도</v>
          </cell>
          <cell r="D764">
            <v>3</v>
          </cell>
        </row>
        <row r="765">
          <cell r="A765" t="str">
            <v>protectionOccurCondition특정 위치</v>
          </cell>
          <cell r="B765" t="str">
            <v>protectionOccurCondition</v>
          </cell>
          <cell r="C765" t="str">
            <v>특정 위치</v>
          </cell>
          <cell r="D765">
            <v>4</v>
          </cell>
        </row>
        <row r="766">
          <cell r="A766" t="str">
            <v>oceanDisasterOccurCondition없음</v>
          </cell>
          <cell r="B766" t="str">
            <v>oceanDisasterOccurCondition</v>
          </cell>
          <cell r="C766" t="str">
            <v>없음</v>
          </cell>
          <cell r="D766">
            <v>0</v>
          </cell>
        </row>
        <row r="767">
          <cell r="A767" t="str">
            <v>oceanDisasterOccurCondition기함 내구도</v>
          </cell>
          <cell r="B767" t="str">
            <v>oceanDisasterOccurCondition</v>
          </cell>
          <cell r="C767" t="str">
            <v>기함 내구도</v>
          </cell>
          <cell r="D767">
            <v>1</v>
          </cell>
        </row>
        <row r="768">
          <cell r="A768" t="str">
            <v>oceanDisasterOccurCondition기함 선원 수</v>
          </cell>
          <cell r="B768" t="str">
            <v>oceanDisasterOccurCondition</v>
          </cell>
          <cell r="C768" t="str">
            <v>기함 선원 수</v>
          </cell>
          <cell r="D768">
            <v>2</v>
          </cell>
        </row>
        <row r="769">
          <cell r="A769" t="str">
            <v>oceanDisasterOccurCondition파생 재해</v>
          </cell>
          <cell r="B769" t="str">
            <v>oceanDisasterOccurCondition</v>
          </cell>
          <cell r="C769" t="str">
            <v>파생 재해</v>
          </cell>
          <cell r="D769">
            <v>3</v>
          </cell>
        </row>
        <row r="770">
          <cell r="A770" t="str">
            <v>oceanDisasterOccurCondition파도 높이</v>
          </cell>
          <cell r="B770" t="str">
            <v>oceanDisasterOccurCondition</v>
          </cell>
          <cell r="C770" t="str">
            <v>파도 높이</v>
          </cell>
          <cell r="D770">
            <v>4</v>
          </cell>
        </row>
        <row r="771">
          <cell r="A771" t="str">
            <v>oceanDisasterOccurCondition날씨</v>
          </cell>
          <cell r="B771" t="str">
            <v>oceanDisasterOccurCondition</v>
          </cell>
          <cell r="C771" t="str">
            <v>날씨</v>
          </cell>
          <cell r="D771">
            <v>5</v>
          </cell>
        </row>
        <row r="772">
          <cell r="A772" t="str">
            <v>oceanDisasterOccurCondition바람 속도</v>
          </cell>
          <cell r="B772" t="str">
            <v>oceanDisasterOccurCondition</v>
          </cell>
          <cell r="C772" t="str">
            <v>바람 속도</v>
          </cell>
          <cell r="D772">
            <v>6</v>
          </cell>
        </row>
        <row r="773">
          <cell r="A773" t="str">
            <v>oceanDisasterOccurCondition특정 위치</v>
          </cell>
          <cell r="B773" t="str">
            <v>oceanDisasterOccurCondition</v>
          </cell>
          <cell r="C773" t="str">
            <v>특정 위치</v>
          </cell>
          <cell r="D773">
            <v>7</v>
          </cell>
        </row>
        <row r="774">
          <cell r="A774" t="str">
            <v>oceanDisasterOccurCondition물</v>
          </cell>
          <cell r="B774" t="str">
            <v>oceanDisasterOccurCondition</v>
          </cell>
          <cell r="C774" t="str">
            <v>물</v>
          </cell>
          <cell r="D774">
            <v>8</v>
          </cell>
        </row>
        <row r="775">
          <cell r="A775" t="str">
            <v>oceanDisasterOccurCondition식량</v>
          </cell>
          <cell r="B775" t="str">
            <v>oceanDisasterOccurCondition</v>
          </cell>
          <cell r="C775" t="str">
            <v>식량</v>
          </cell>
          <cell r="D775">
            <v>9</v>
          </cell>
        </row>
        <row r="776">
          <cell r="A776" t="str">
            <v>oceanDoodadOccurType없음</v>
          </cell>
          <cell r="B776" t="str">
            <v>oceanDoodadOccurType</v>
          </cell>
          <cell r="C776" t="str">
            <v>없음</v>
          </cell>
          <cell r="D776">
            <v>0</v>
          </cell>
        </row>
        <row r="777">
          <cell r="A777" t="str">
            <v>oceanDoodadOccurType기함 내구도</v>
          </cell>
          <cell r="B777" t="str">
            <v>oceanDoodadOccurType</v>
          </cell>
          <cell r="C777" t="str">
            <v>기함 내구도</v>
          </cell>
          <cell r="D777">
            <v>1</v>
          </cell>
        </row>
        <row r="778">
          <cell r="A778" t="str">
            <v>oceanDoodadOccurType기함 선원 수</v>
          </cell>
          <cell r="B778" t="str">
            <v>oceanDoodadOccurType</v>
          </cell>
          <cell r="C778" t="str">
            <v>기함 선원 수</v>
          </cell>
          <cell r="D778">
            <v>2</v>
          </cell>
        </row>
        <row r="779">
          <cell r="A779" t="str">
            <v>oceanDoodadOccurType기함 선원 수</v>
          </cell>
          <cell r="B779" t="str">
            <v>oceanDoodadOccurType</v>
          </cell>
          <cell r="C779" t="str">
            <v>기함 선원 수</v>
          </cell>
          <cell r="D779">
            <v>3</v>
          </cell>
        </row>
        <row r="780">
          <cell r="A780" t="str">
            <v>oceanDoodadOccurType날씨</v>
          </cell>
          <cell r="B780" t="str">
            <v>oceanDoodadOccurType</v>
          </cell>
          <cell r="C780" t="str">
            <v>날씨</v>
          </cell>
          <cell r="D780">
            <v>4</v>
          </cell>
        </row>
        <row r="781">
          <cell r="A781" t="str">
            <v>oceanDoodadOccurType바람 속도</v>
          </cell>
          <cell r="B781" t="str">
            <v>oceanDoodadOccurType</v>
          </cell>
          <cell r="C781" t="str">
            <v>바람 속도</v>
          </cell>
          <cell r="D781">
            <v>5</v>
          </cell>
        </row>
        <row r="782">
          <cell r="A782" t="str">
            <v>oceanDoodadOccurType리전</v>
          </cell>
          <cell r="B782" t="str">
            <v>oceanDoodadOccurType</v>
          </cell>
          <cell r="C782" t="str">
            <v>리전</v>
          </cell>
          <cell r="D782">
            <v>6</v>
          </cell>
        </row>
        <row r="783">
          <cell r="A783" t="str">
            <v>oceanDoodadOccurType물</v>
          </cell>
          <cell r="B783" t="str">
            <v>oceanDoodadOccurType</v>
          </cell>
          <cell r="C783" t="str">
            <v>물</v>
          </cell>
          <cell r="D783">
            <v>7</v>
          </cell>
        </row>
        <row r="784">
          <cell r="A784" t="str">
            <v>oceanDoodadOccurType식량</v>
          </cell>
          <cell r="B784" t="str">
            <v>oceanDoodadOccurType</v>
          </cell>
          <cell r="C784" t="str">
            <v>식량</v>
          </cell>
          <cell r="D784">
            <v>8</v>
          </cell>
        </row>
        <row r="785">
          <cell r="A785" t="str">
            <v>WorldSkillType없음</v>
          </cell>
          <cell r="B785" t="str">
            <v>WorldSkillType</v>
          </cell>
          <cell r="C785" t="str">
            <v>없음</v>
          </cell>
          <cell r="D785">
            <v>0</v>
          </cell>
        </row>
        <row r="786">
          <cell r="A786" t="str">
            <v>WorldSkillType항해</v>
          </cell>
          <cell r="B786" t="str">
            <v>WorldSkillType</v>
          </cell>
          <cell r="C786" t="str">
            <v>항해</v>
          </cell>
          <cell r="D786">
            <v>1</v>
          </cell>
        </row>
        <row r="787">
          <cell r="A787" t="str">
            <v>WorldSkillType상태이상</v>
          </cell>
          <cell r="B787" t="str">
            <v>WorldSkillType</v>
          </cell>
          <cell r="C787" t="str">
            <v>상태이상</v>
          </cell>
          <cell r="D787">
            <v>2</v>
          </cell>
        </row>
        <row r="788">
          <cell r="A788" t="str">
            <v>WorldSkillType탐험</v>
          </cell>
          <cell r="B788" t="str">
            <v>WorldSkillType</v>
          </cell>
          <cell r="C788" t="str">
            <v>탐험</v>
          </cell>
          <cell r="D788">
            <v>3</v>
          </cell>
        </row>
        <row r="789">
          <cell r="A789" t="str">
            <v>WorldSkilllCostType없음</v>
          </cell>
          <cell r="B789" t="str">
            <v>WorldSkilllCostType</v>
          </cell>
          <cell r="C789" t="str">
            <v>없음</v>
          </cell>
          <cell r="D789">
            <v>0</v>
          </cell>
        </row>
        <row r="790">
          <cell r="A790" t="str">
            <v>WorldSkilllCostType행동력</v>
          </cell>
          <cell r="B790" t="str">
            <v>WorldSkilllCostType</v>
          </cell>
          <cell r="C790" t="str">
            <v>행동력</v>
          </cell>
          <cell r="D790">
            <v>1</v>
          </cell>
        </row>
        <row r="791">
          <cell r="A791" t="str">
            <v>WorldSkilllCostType자재</v>
          </cell>
          <cell r="B791" t="str">
            <v>WorldSkilllCostType</v>
          </cell>
          <cell r="C791" t="str">
            <v>자재</v>
          </cell>
          <cell r="D791">
            <v>2</v>
          </cell>
        </row>
        <row r="792">
          <cell r="A792" t="str">
            <v>WorldSkilllCostType물</v>
          </cell>
          <cell r="B792" t="str">
            <v>WorldSkilllCostType</v>
          </cell>
          <cell r="C792" t="str">
            <v>물</v>
          </cell>
          <cell r="D792">
            <v>3</v>
          </cell>
        </row>
        <row r="793">
          <cell r="A793" t="str">
            <v>WorldSkilllTargetType없음</v>
          </cell>
          <cell r="B793" t="str">
            <v>WorldSkilllTargetType</v>
          </cell>
          <cell r="C793" t="str">
            <v>없음</v>
          </cell>
          <cell r="D793">
            <v>0</v>
          </cell>
        </row>
        <row r="794">
          <cell r="A794" t="str">
            <v>WorldSkilllTargetType선박 (자신)</v>
          </cell>
          <cell r="B794" t="str">
            <v>WorldSkilllTargetType</v>
          </cell>
          <cell r="C794" t="str">
            <v>선박 (자신)</v>
          </cell>
          <cell r="D794">
            <v>1</v>
          </cell>
        </row>
        <row r="795">
          <cell r="A795" t="str">
            <v>WorldSkilllTargetType선박 (대상)</v>
          </cell>
          <cell r="B795" t="str">
            <v>WorldSkilllTargetType</v>
          </cell>
          <cell r="C795" t="str">
            <v>선박 (대상)</v>
          </cell>
          <cell r="D795">
            <v>2</v>
          </cell>
        </row>
        <row r="796">
          <cell r="A796" t="str">
            <v>WorldSkilllTargetType함대</v>
          </cell>
          <cell r="B796" t="str">
            <v>WorldSkilllTargetType</v>
          </cell>
          <cell r="C796" t="str">
            <v>함대</v>
          </cell>
          <cell r="D796">
            <v>3</v>
          </cell>
        </row>
        <row r="797">
          <cell r="A797" t="str">
            <v>WorldSkilllTargetType선단</v>
          </cell>
          <cell r="B797" t="str">
            <v>WorldSkilllTargetType</v>
          </cell>
          <cell r="C797" t="str">
            <v>선단</v>
          </cell>
          <cell r="D797">
            <v>4</v>
          </cell>
        </row>
        <row r="798">
          <cell r="A798" t="str">
            <v>WorldSkilllAccuType상대</v>
          </cell>
          <cell r="B798" t="str">
            <v>WorldSkilllAccuType</v>
          </cell>
          <cell r="C798" t="str">
            <v>상대</v>
          </cell>
          <cell r="D798">
            <v>1</v>
          </cell>
        </row>
        <row r="799">
          <cell r="A799" t="str">
            <v>WorldSkilllAccuType절대</v>
          </cell>
          <cell r="B799" t="str">
            <v>WorldSkilllAccuType</v>
          </cell>
          <cell r="C799" t="str">
            <v>절대</v>
          </cell>
          <cell r="D799">
            <v>2</v>
          </cell>
        </row>
        <row r="800">
          <cell r="A800" t="str">
            <v>personalityType적극0</v>
          </cell>
          <cell r="B800" t="str">
            <v>personalityType</v>
          </cell>
          <cell r="C800" t="str">
            <v>적극0</v>
          </cell>
          <cell r="D800">
            <v>1</v>
          </cell>
        </row>
        <row r="801">
          <cell r="A801" t="str">
            <v>personalityType강대0</v>
          </cell>
          <cell r="B801" t="str">
            <v>personalityType</v>
          </cell>
          <cell r="C801" t="str">
            <v>강대0</v>
          </cell>
          <cell r="D801">
            <v>2</v>
          </cell>
        </row>
        <row r="802">
          <cell r="A802" t="str">
            <v>personalityType소심0</v>
          </cell>
          <cell r="B802" t="str">
            <v>personalityType</v>
          </cell>
          <cell r="C802" t="str">
            <v>소심0</v>
          </cell>
          <cell r="D802">
            <v>3</v>
          </cell>
        </row>
        <row r="803">
          <cell r="A803" t="str">
            <v>personalityType신중0</v>
          </cell>
          <cell r="B803" t="str">
            <v>personalityType</v>
          </cell>
          <cell r="C803" t="str">
            <v>신중0</v>
          </cell>
          <cell r="D803">
            <v>4</v>
          </cell>
        </row>
        <row r="804">
          <cell r="A804" t="str">
            <v>personalityType괴팍0</v>
          </cell>
          <cell r="B804" t="str">
            <v>personalityType</v>
          </cell>
          <cell r="C804" t="str">
            <v>괴팍0</v>
          </cell>
          <cell r="D804">
            <v>5</v>
          </cell>
        </row>
        <row r="805">
          <cell r="A805" t="str">
            <v>personalityType적극1</v>
          </cell>
          <cell r="B805" t="str">
            <v>personalityType</v>
          </cell>
          <cell r="C805" t="str">
            <v>적극1</v>
          </cell>
          <cell r="D805">
            <v>6</v>
          </cell>
        </row>
        <row r="806">
          <cell r="A806" t="str">
            <v>personalityType강대1</v>
          </cell>
          <cell r="B806" t="str">
            <v>personalityType</v>
          </cell>
          <cell r="C806" t="str">
            <v>강대1</v>
          </cell>
          <cell r="D806">
            <v>7</v>
          </cell>
        </row>
        <row r="807">
          <cell r="A807" t="str">
            <v>personalityType소심1</v>
          </cell>
          <cell r="B807" t="str">
            <v>personalityType</v>
          </cell>
          <cell r="C807" t="str">
            <v>소심1</v>
          </cell>
          <cell r="D807">
            <v>8</v>
          </cell>
        </row>
        <row r="808">
          <cell r="A808" t="str">
            <v>personalityType신중1</v>
          </cell>
          <cell r="B808" t="str">
            <v>personalityType</v>
          </cell>
          <cell r="C808" t="str">
            <v>신중1</v>
          </cell>
          <cell r="D808">
            <v>9</v>
          </cell>
        </row>
        <row r="809">
          <cell r="A809" t="str">
            <v>personalityType괴팍1</v>
          </cell>
          <cell r="B809" t="str">
            <v>personalityType</v>
          </cell>
          <cell r="C809" t="str">
            <v>괴팍1</v>
          </cell>
          <cell r="D809">
            <v>10</v>
          </cell>
        </row>
        <row r="810">
          <cell r="A810" t="str">
            <v>personalityType적극2</v>
          </cell>
          <cell r="B810" t="str">
            <v>personalityType</v>
          </cell>
          <cell r="C810" t="str">
            <v>적극2</v>
          </cell>
          <cell r="D810">
            <v>11</v>
          </cell>
        </row>
        <row r="811">
          <cell r="A811" t="str">
            <v>personalityType적극0 엘리트</v>
          </cell>
          <cell r="B811" t="str">
            <v>personalityType</v>
          </cell>
          <cell r="C811" t="str">
            <v>적극0 엘리트</v>
          </cell>
          <cell r="D811">
            <v>101</v>
          </cell>
        </row>
        <row r="812">
          <cell r="A812" t="str">
            <v>personalityType강대0 엘리트</v>
          </cell>
          <cell r="B812" t="str">
            <v>personalityType</v>
          </cell>
          <cell r="C812" t="str">
            <v>강대0 엘리트</v>
          </cell>
          <cell r="D812">
            <v>102</v>
          </cell>
        </row>
        <row r="813">
          <cell r="A813" t="str">
            <v>personalityType소심0 엘리트</v>
          </cell>
          <cell r="B813" t="str">
            <v>personalityType</v>
          </cell>
          <cell r="C813" t="str">
            <v>소심0 엘리트</v>
          </cell>
          <cell r="D813">
            <v>103</v>
          </cell>
        </row>
        <row r="814">
          <cell r="A814" t="str">
            <v>personalityType신중0 엘리트</v>
          </cell>
          <cell r="B814" t="str">
            <v>personalityType</v>
          </cell>
          <cell r="C814" t="str">
            <v>신중0 엘리트</v>
          </cell>
          <cell r="D814">
            <v>104</v>
          </cell>
        </row>
        <row r="815">
          <cell r="A815" t="str">
            <v>personalityType괴팍0 엘리트</v>
          </cell>
          <cell r="B815" t="str">
            <v>personalityType</v>
          </cell>
          <cell r="C815" t="str">
            <v>괴팍0 엘리트</v>
          </cell>
          <cell r="D815">
            <v>105</v>
          </cell>
        </row>
        <row r="816">
          <cell r="A816" t="str">
            <v>personalityType적극1 엘리트</v>
          </cell>
          <cell r="B816" t="str">
            <v>personalityType</v>
          </cell>
          <cell r="C816" t="str">
            <v>적극1 엘리트</v>
          </cell>
          <cell r="D816">
            <v>106</v>
          </cell>
        </row>
        <row r="817">
          <cell r="A817" t="str">
            <v>personalityType강대1 엘리트</v>
          </cell>
          <cell r="B817" t="str">
            <v>personalityType</v>
          </cell>
          <cell r="C817" t="str">
            <v>강대1 엘리트</v>
          </cell>
          <cell r="D817">
            <v>107</v>
          </cell>
        </row>
        <row r="818">
          <cell r="A818" t="str">
            <v>personalityType소심1 엘리트</v>
          </cell>
          <cell r="B818" t="str">
            <v>personalityType</v>
          </cell>
          <cell r="C818" t="str">
            <v>소심1 엘리트</v>
          </cell>
          <cell r="D818">
            <v>108</v>
          </cell>
        </row>
        <row r="819">
          <cell r="A819" t="str">
            <v>personalityType신중1 엘리트</v>
          </cell>
          <cell r="B819" t="str">
            <v>personalityType</v>
          </cell>
          <cell r="C819" t="str">
            <v>신중1 엘리트</v>
          </cell>
          <cell r="D819">
            <v>109</v>
          </cell>
        </row>
        <row r="820">
          <cell r="A820" t="str">
            <v>personalityType괴팍1 엘리트</v>
          </cell>
          <cell r="B820" t="str">
            <v>personalityType</v>
          </cell>
          <cell r="C820" t="str">
            <v>괴팍1 엘리트</v>
          </cell>
          <cell r="D820">
            <v>110</v>
          </cell>
        </row>
        <row r="821">
          <cell r="A821" t="str">
            <v>personalityType적극2 엘리트</v>
          </cell>
          <cell r="B821" t="str">
            <v>personalityType</v>
          </cell>
          <cell r="C821" t="str">
            <v>적극2 엘리트</v>
          </cell>
          <cell r="D821">
            <v>111</v>
          </cell>
        </row>
        <row r="822">
          <cell r="A822" t="str">
            <v>personalityType토벌_에드워드티치</v>
          </cell>
          <cell r="B822" t="str">
            <v>personalityType</v>
          </cell>
          <cell r="C822" t="str">
            <v>토벌_에드워드티치</v>
          </cell>
          <cell r="D822">
            <v>201</v>
          </cell>
        </row>
        <row r="823">
          <cell r="A823" t="str">
            <v>fleetTriggerType가호</v>
          </cell>
          <cell r="B823" t="str">
            <v>fleetTriggerType</v>
          </cell>
          <cell r="C823" t="str">
            <v>가호</v>
          </cell>
          <cell r="D823">
            <v>1</v>
          </cell>
        </row>
        <row r="824">
          <cell r="A824" t="str">
            <v>fleetTriggerType날씨</v>
          </cell>
          <cell r="B824" t="str">
            <v>fleetTriggerType</v>
          </cell>
          <cell r="C824" t="str">
            <v>날씨</v>
          </cell>
          <cell r="D824">
            <v>2</v>
          </cell>
        </row>
        <row r="825">
          <cell r="A825" t="str">
            <v>shipTriggerType재해</v>
          </cell>
          <cell r="B825" t="str">
            <v>shipTriggerType</v>
          </cell>
          <cell r="C825" t="str">
            <v>재해</v>
          </cell>
          <cell r="D825">
            <v>1</v>
          </cell>
        </row>
        <row r="826">
          <cell r="A826" t="str">
            <v>shipTriggerType선박 상태이상</v>
          </cell>
          <cell r="B826" t="str">
            <v>shipTriggerType</v>
          </cell>
          <cell r="C826" t="str">
            <v>선박 상태이상</v>
          </cell>
          <cell r="D826">
            <v>2</v>
          </cell>
        </row>
        <row r="827">
          <cell r="A827" t="str">
            <v>useTriggerFleetTiming항해 중</v>
          </cell>
          <cell r="B827" t="str">
            <v>useTriggerFleetTiming</v>
          </cell>
          <cell r="C827" t="str">
            <v>항해 중</v>
          </cell>
          <cell r="D827">
            <v>1</v>
          </cell>
        </row>
        <row r="828">
          <cell r="A828" t="str">
            <v>useTriggerFleetTiming항해 불능</v>
          </cell>
          <cell r="B828" t="str">
            <v>useTriggerFleetTiming</v>
          </cell>
          <cell r="C828" t="str">
            <v>항해 불능</v>
          </cell>
          <cell r="D828">
            <v>2</v>
          </cell>
        </row>
        <row r="829">
          <cell r="A829" t="str">
            <v>useTriggerShipTiming항해 중</v>
          </cell>
          <cell r="B829" t="str">
            <v>useTriggerShipTiming</v>
          </cell>
          <cell r="C829" t="str">
            <v>항해 중</v>
          </cell>
          <cell r="D829">
            <v>1</v>
          </cell>
        </row>
        <row r="830">
          <cell r="A830" t="str">
            <v>useTriggerShipTiming침몰</v>
          </cell>
          <cell r="B830" t="str">
            <v>useTriggerShipTiming</v>
          </cell>
          <cell r="C830" t="str">
            <v>침몰</v>
          </cell>
          <cell r="D830">
            <v>2</v>
          </cell>
        </row>
        <row r="831">
          <cell r="A831" t="str">
            <v>EncounterSpeakerType공격자 제독</v>
          </cell>
          <cell r="B831" t="str">
            <v>EncounterSpeakerType</v>
          </cell>
          <cell r="C831" t="str">
            <v>공격자 제독</v>
          </cell>
          <cell r="D831">
            <v>1</v>
          </cell>
        </row>
        <row r="832">
          <cell r="A832" t="str">
            <v>EncounterSpeakerType방어자 제독</v>
          </cell>
          <cell r="B832" t="str">
            <v>EncounterSpeakerType</v>
          </cell>
          <cell r="C832" t="str">
            <v>방어자 제독</v>
          </cell>
          <cell r="D832">
            <v>2</v>
          </cell>
        </row>
        <row r="833">
          <cell r="A833" t="str">
            <v>EncounterSpeakerType공격자 부관</v>
          </cell>
          <cell r="B833" t="str">
            <v>EncounterSpeakerType</v>
          </cell>
          <cell r="C833" t="str">
            <v>공격자 부관</v>
          </cell>
          <cell r="D833">
            <v>3</v>
          </cell>
        </row>
        <row r="834">
          <cell r="A834" t="str">
            <v>EncounterSpeakerType방어자 부관</v>
          </cell>
          <cell r="B834" t="str">
            <v>EncounterSpeakerType</v>
          </cell>
          <cell r="C834" t="str">
            <v>방어자 부관</v>
          </cell>
          <cell r="D834">
            <v>4</v>
          </cell>
        </row>
        <row r="835">
          <cell r="A835" t="str">
            <v>EncounterFlowType시작(공)</v>
          </cell>
          <cell r="B835" t="str">
            <v>EncounterFlowType</v>
          </cell>
          <cell r="C835" t="str">
            <v>시작(공)</v>
          </cell>
          <cell r="D835">
            <v>1</v>
          </cell>
        </row>
        <row r="836">
          <cell r="A836" t="str">
            <v>EncounterFlowType시작(방)</v>
          </cell>
          <cell r="B836" t="str">
            <v>EncounterFlowType</v>
          </cell>
          <cell r="C836" t="str">
            <v>시작(방)</v>
          </cell>
          <cell r="D836">
            <v>2</v>
          </cell>
        </row>
        <row r="837">
          <cell r="A837" t="str">
            <v>EncounterFlowType시작(부)</v>
          </cell>
          <cell r="B837" t="str">
            <v>EncounterFlowType</v>
          </cell>
          <cell r="C837" t="str">
            <v>시작(부)</v>
          </cell>
          <cell r="D837">
            <v>3</v>
          </cell>
        </row>
        <row r="838">
          <cell r="A838" t="str">
            <v>EncounterFlowType교전 선택</v>
          </cell>
          <cell r="B838" t="str">
            <v>EncounterFlowType</v>
          </cell>
          <cell r="C838" t="str">
            <v>교전 선택</v>
          </cell>
          <cell r="D838">
            <v>4</v>
          </cell>
        </row>
        <row r="839">
          <cell r="A839" t="str">
            <v>EncounterFlowType도망 선택(확률 높음)</v>
          </cell>
          <cell r="B839" t="str">
            <v>EncounterFlowType</v>
          </cell>
          <cell r="C839" t="str">
            <v>도망 선택(확률 높음)</v>
          </cell>
          <cell r="D839">
            <v>5</v>
          </cell>
        </row>
        <row r="840">
          <cell r="A840" t="str">
            <v>EncounterFlowType도망 선택(확률 중간)</v>
          </cell>
          <cell r="B840" t="str">
            <v>EncounterFlowType</v>
          </cell>
          <cell r="C840" t="str">
            <v>도망 선택(확률 중간)</v>
          </cell>
          <cell r="D840">
            <v>6</v>
          </cell>
        </row>
        <row r="841">
          <cell r="A841" t="str">
            <v>EncounterFlowType도망 선택(확률 낮음)</v>
          </cell>
          <cell r="B841" t="str">
            <v>EncounterFlowType</v>
          </cell>
          <cell r="C841" t="str">
            <v>도망 선택(확률 낮음)</v>
          </cell>
          <cell r="D841">
            <v>7</v>
          </cell>
        </row>
        <row r="842">
          <cell r="A842" t="str">
            <v>EncounterFlowType항복 선택</v>
          </cell>
          <cell r="B842" t="str">
            <v>EncounterFlowType</v>
          </cell>
          <cell r="C842" t="str">
            <v>항복 선택</v>
          </cell>
          <cell r="D842">
            <v>8</v>
          </cell>
        </row>
        <row r="843">
          <cell r="A843" t="str">
            <v>EncounterFlowType교섭 선택(확률 높음)</v>
          </cell>
          <cell r="B843" t="str">
            <v>EncounterFlowType</v>
          </cell>
          <cell r="C843" t="str">
            <v>교섭 선택(확률 높음)</v>
          </cell>
          <cell r="D843">
            <v>9</v>
          </cell>
        </row>
        <row r="844">
          <cell r="A844" t="str">
            <v>EncounterFlowType교섭 선택(확률 중간)</v>
          </cell>
          <cell r="B844" t="str">
            <v>EncounterFlowType</v>
          </cell>
          <cell r="C844" t="str">
            <v>교섭 선택(확률 중간)</v>
          </cell>
          <cell r="D844">
            <v>10</v>
          </cell>
        </row>
        <row r="845">
          <cell r="A845" t="str">
            <v>EncounterFlowType교섭 선택(확률 낮음)</v>
          </cell>
          <cell r="B845" t="str">
            <v>EncounterFlowType</v>
          </cell>
          <cell r="C845" t="str">
            <v>교섭 선택(확률 낮음)</v>
          </cell>
          <cell r="D845">
            <v>11</v>
          </cell>
        </row>
        <row r="846">
          <cell r="A846" t="str">
            <v>EncounterFlowType교전 시도</v>
          </cell>
          <cell r="B846" t="str">
            <v>EncounterFlowType</v>
          </cell>
          <cell r="C846" t="str">
            <v>교전 시도</v>
          </cell>
          <cell r="D846">
            <v>12</v>
          </cell>
        </row>
        <row r="847">
          <cell r="A847" t="str">
            <v>EncounterFlowType도망 시도</v>
          </cell>
          <cell r="B847" t="str">
            <v>EncounterFlowType</v>
          </cell>
          <cell r="C847" t="str">
            <v>도망 시도</v>
          </cell>
          <cell r="D847">
            <v>13</v>
          </cell>
        </row>
        <row r="848">
          <cell r="A848" t="str">
            <v>EncounterFlowType항복 시도</v>
          </cell>
          <cell r="B848" t="str">
            <v>EncounterFlowType</v>
          </cell>
          <cell r="C848" t="str">
            <v>항복 시도</v>
          </cell>
          <cell r="D848">
            <v>14</v>
          </cell>
        </row>
        <row r="849">
          <cell r="A849" t="str">
            <v>EncounterFlowType교섭 시도</v>
          </cell>
          <cell r="B849" t="str">
            <v>EncounterFlowType</v>
          </cell>
          <cell r="C849" t="str">
            <v>교섭 시도</v>
          </cell>
          <cell r="D849">
            <v>15</v>
          </cell>
        </row>
        <row r="850">
          <cell r="A850" t="str">
            <v>EncounterFlowType교전 발생</v>
          </cell>
          <cell r="B850" t="str">
            <v>EncounterFlowType</v>
          </cell>
          <cell r="C850" t="str">
            <v>교전 발생</v>
          </cell>
          <cell r="D850">
            <v>16</v>
          </cell>
        </row>
        <row r="851">
          <cell r="A851" t="str">
            <v>EncounterFlowType도망 성공</v>
          </cell>
          <cell r="B851" t="str">
            <v>EncounterFlowType</v>
          </cell>
          <cell r="C851" t="str">
            <v>도망 성공</v>
          </cell>
          <cell r="D851">
            <v>17</v>
          </cell>
        </row>
        <row r="852">
          <cell r="A852" t="str">
            <v>EncounterFlowType도망 실패</v>
          </cell>
          <cell r="B852" t="str">
            <v>EncounterFlowType</v>
          </cell>
          <cell r="C852" t="str">
            <v>도망 실패</v>
          </cell>
          <cell r="D852">
            <v>18</v>
          </cell>
        </row>
        <row r="853">
          <cell r="A853" t="str">
            <v>EncounterFlowType추격 안함</v>
          </cell>
          <cell r="B853" t="str">
            <v>EncounterFlowType</v>
          </cell>
          <cell r="C853" t="str">
            <v>추격 안함</v>
          </cell>
          <cell r="D853">
            <v>19</v>
          </cell>
        </row>
        <row r="854">
          <cell r="A854" t="str">
            <v>EncounterFlowType항복 수락</v>
          </cell>
          <cell r="B854" t="str">
            <v>EncounterFlowType</v>
          </cell>
          <cell r="C854" t="str">
            <v>항복 수락</v>
          </cell>
          <cell r="D854">
            <v>20</v>
          </cell>
        </row>
        <row r="855">
          <cell r="A855" t="str">
            <v>EncounterFlowType항복 거절</v>
          </cell>
          <cell r="B855" t="str">
            <v>EncounterFlowType</v>
          </cell>
          <cell r="C855" t="str">
            <v>항복 거절</v>
          </cell>
          <cell r="D855">
            <v>21</v>
          </cell>
        </row>
        <row r="856">
          <cell r="A856" t="str">
            <v>EncounterFlowType교섭 수락</v>
          </cell>
          <cell r="B856" t="str">
            <v>EncounterFlowType</v>
          </cell>
          <cell r="C856" t="str">
            <v>교섭 수락</v>
          </cell>
          <cell r="D856">
            <v>22</v>
          </cell>
        </row>
        <row r="857">
          <cell r="A857" t="str">
            <v>EncounterFlowType교섭 거절</v>
          </cell>
          <cell r="B857" t="str">
            <v>EncounterFlowType</v>
          </cell>
          <cell r="C857" t="str">
            <v>교섭 거절</v>
          </cell>
          <cell r="D857">
            <v>23</v>
          </cell>
        </row>
        <row r="858">
          <cell r="A858" t="str">
            <v>partsType평사포</v>
          </cell>
          <cell r="B858" t="str">
            <v>partsType</v>
          </cell>
          <cell r="C858" t="str">
            <v>평사포</v>
          </cell>
          <cell r="D858">
            <v>1</v>
          </cell>
        </row>
        <row r="859">
          <cell r="A859" t="str">
            <v>partsType곡사포</v>
          </cell>
          <cell r="B859" t="str">
            <v>partsType</v>
          </cell>
          <cell r="C859" t="str">
            <v>곡사포</v>
          </cell>
          <cell r="D859">
            <v>2</v>
          </cell>
        </row>
        <row r="860">
          <cell r="A860" t="str">
            <v>partsType박격포</v>
          </cell>
          <cell r="B860" t="str">
            <v>partsType</v>
          </cell>
          <cell r="C860" t="str">
            <v>박격포</v>
          </cell>
          <cell r="D860">
            <v>3</v>
          </cell>
        </row>
        <row r="861">
          <cell r="A861" t="str">
            <v>itemType소모</v>
          </cell>
          <cell r="B861" t="str">
            <v>itemType</v>
          </cell>
          <cell r="C861" t="str">
            <v>소모</v>
          </cell>
          <cell r="D861">
            <v>1</v>
          </cell>
        </row>
        <row r="862">
          <cell r="A862" t="str">
            <v>itemType재료</v>
          </cell>
          <cell r="B862" t="str">
            <v>itemType</v>
          </cell>
          <cell r="C862" t="str">
            <v>재료</v>
          </cell>
          <cell r="D862">
            <v>2</v>
          </cell>
        </row>
        <row r="863">
          <cell r="A863" t="str">
            <v>itemType도면</v>
          </cell>
          <cell r="B863" t="str">
            <v>itemType</v>
          </cell>
          <cell r="C863" t="str">
            <v>도면</v>
          </cell>
          <cell r="D863">
            <v>3</v>
          </cell>
        </row>
        <row r="864">
          <cell r="A864" t="str">
            <v>itemType계약서</v>
          </cell>
          <cell r="B864" t="str">
            <v>itemType</v>
          </cell>
          <cell r="C864" t="str">
            <v>계약서</v>
          </cell>
          <cell r="D864">
            <v>4</v>
          </cell>
        </row>
        <row r="865">
          <cell r="A865" t="str">
            <v>itemType자원</v>
          </cell>
          <cell r="B865" t="str">
            <v>itemType</v>
          </cell>
          <cell r="C865" t="str">
            <v>자원</v>
          </cell>
          <cell r="D865">
            <v>5</v>
          </cell>
        </row>
        <row r="866">
          <cell r="A866" t="str">
            <v>itemType기타</v>
          </cell>
          <cell r="B866" t="str">
            <v>itemType</v>
          </cell>
          <cell r="C866" t="str">
            <v>기타</v>
          </cell>
          <cell r="D866">
            <v>6</v>
          </cell>
        </row>
        <row r="867">
          <cell r="A867" t="str">
            <v>itemType의뢰서</v>
          </cell>
          <cell r="B867" t="str">
            <v>itemType</v>
          </cell>
          <cell r="C867" t="str">
            <v>의뢰서</v>
          </cell>
          <cell r="D867">
            <v>7</v>
          </cell>
        </row>
        <row r="868">
          <cell r="A868" t="str">
            <v>itemType낚싯대</v>
          </cell>
          <cell r="B868" t="str">
            <v>itemType</v>
          </cell>
          <cell r="C868" t="str">
            <v>낚싯대</v>
          </cell>
          <cell r="D868">
            <v>8</v>
          </cell>
        </row>
        <row r="869">
          <cell r="A869" t="str">
            <v>itemType떡밥</v>
          </cell>
          <cell r="B869" t="str">
            <v>itemType</v>
          </cell>
          <cell r="C869" t="str">
            <v>떡밥</v>
          </cell>
          <cell r="D869">
            <v>9</v>
          </cell>
        </row>
        <row r="870">
          <cell r="A870" t="str">
            <v>itemType특수 자원</v>
          </cell>
          <cell r="B870" t="str">
            <v>itemType</v>
          </cell>
          <cell r="C870" t="str">
            <v>특수 자원</v>
          </cell>
          <cell r="D870">
            <v>10</v>
          </cell>
        </row>
        <row r="871">
          <cell r="A871" t="str">
            <v>itemType인양</v>
          </cell>
          <cell r="B871" t="str">
            <v>itemType</v>
          </cell>
          <cell r="C871" t="str">
            <v>인양</v>
          </cell>
          <cell r="D871">
            <v>11</v>
          </cell>
        </row>
        <row r="872">
          <cell r="A872" t="str">
            <v>itemType예항</v>
          </cell>
          <cell r="B872" t="str">
            <v>itemType</v>
          </cell>
          <cell r="C872" t="str">
            <v>예항</v>
          </cell>
          <cell r="D872">
            <v>12</v>
          </cell>
        </row>
        <row r="873">
          <cell r="A873" t="str">
            <v>itemType임무</v>
          </cell>
          <cell r="B873" t="str">
            <v>itemType</v>
          </cell>
          <cell r="C873" t="str">
            <v>임무</v>
          </cell>
          <cell r="D873">
            <v>13</v>
          </cell>
        </row>
        <row r="874">
          <cell r="A874" t="str">
            <v>itemType퀘스트</v>
          </cell>
          <cell r="B874" t="str">
            <v>itemType</v>
          </cell>
          <cell r="C874" t="str">
            <v>퀘스트</v>
          </cell>
          <cell r="D874">
            <v>14</v>
          </cell>
        </row>
        <row r="875">
          <cell r="A875" t="str">
            <v>itemType탐색</v>
          </cell>
          <cell r="B875" t="str">
            <v>itemType</v>
          </cell>
          <cell r="C875" t="str">
            <v>탐색</v>
          </cell>
          <cell r="D875">
            <v>15</v>
          </cell>
        </row>
        <row r="876">
          <cell r="A876" t="str">
            <v>itemType육지 탐험</v>
          </cell>
          <cell r="B876" t="str">
            <v>itemType</v>
          </cell>
          <cell r="C876" t="str">
            <v>육지 탐험</v>
          </cell>
          <cell r="D876">
            <v>16</v>
          </cell>
        </row>
        <row r="877">
          <cell r="A877" t="str">
            <v>itemType모험 도구</v>
          </cell>
          <cell r="B877" t="str">
            <v>itemType</v>
          </cell>
          <cell r="C877" t="str">
            <v>모험 도구</v>
          </cell>
          <cell r="D877">
            <v>17</v>
          </cell>
        </row>
        <row r="878">
          <cell r="A878" t="str">
            <v>itemType대표 아이콘</v>
          </cell>
          <cell r="B878" t="str">
            <v>itemType</v>
          </cell>
          <cell r="C878" t="str">
            <v>대표 아이콘</v>
          </cell>
          <cell r="D878">
            <v>18</v>
          </cell>
        </row>
        <row r="879">
          <cell r="A879" t="str">
            <v>pieceType없음</v>
          </cell>
          <cell r="B879" t="str">
            <v>pieceType</v>
          </cell>
          <cell r="C879" t="str">
            <v>없음</v>
          </cell>
          <cell r="D879">
            <v>0</v>
          </cell>
        </row>
        <row r="880">
          <cell r="A880" t="str">
            <v>pieceType계약서</v>
          </cell>
          <cell r="B880" t="str">
            <v>pieceType</v>
          </cell>
          <cell r="C880" t="str">
            <v>계약서</v>
          </cell>
          <cell r="D880">
            <v>1</v>
          </cell>
        </row>
        <row r="881">
          <cell r="A881" t="str">
            <v>pieceType도면</v>
          </cell>
          <cell r="B881" t="str">
            <v>pieceType</v>
          </cell>
          <cell r="C881" t="str">
            <v>도면</v>
          </cell>
          <cell r="D881">
            <v>2</v>
          </cell>
        </row>
        <row r="882">
          <cell r="A882" t="str">
            <v>swapType없음</v>
          </cell>
          <cell r="B882" t="str">
            <v>swapType</v>
          </cell>
          <cell r="C882" t="str">
            <v>없음</v>
          </cell>
          <cell r="D882">
            <v>0</v>
          </cell>
        </row>
        <row r="883">
          <cell r="A883" t="str">
            <v>swapType다면계약</v>
          </cell>
          <cell r="B883" t="str">
            <v>swapType</v>
          </cell>
          <cell r="C883" t="str">
            <v>다면계약</v>
          </cell>
          <cell r="D883">
            <v>1</v>
          </cell>
        </row>
        <row r="884">
          <cell r="A884" t="str">
            <v>swapType고급계약</v>
          </cell>
          <cell r="B884" t="str">
            <v>swapType</v>
          </cell>
          <cell r="C884" t="str">
            <v>고급계약</v>
          </cell>
          <cell r="D884">
            <v>2</v>
          </cell>
        </row>
        <row r="885">
          <cell r="A885" t="str">
            <v>itemFilterType소모</v>
          </cell>
          <cell r="B885" t="str">
            <v>itemFilterType</v>
          </cell>
          <cell r="C885" t="str">
            <v>소모</v>
          </cell>
          <cell r="D885">
            <v>1</v>
          </cell>
        </row>
        <row r="886">
          <cell r="A886" t="str">
            <v>itemFilterType재료</v>
          </cell>
          <cell r="B886" t="str">
            <v>itemFilterType</v>
          </cell>
          <cell r="C886" t="str">
            <v>재료</v>
          </cell>
          <cell r="D886">
            <v>2</v>
          </cell>
        </row>
        <row r="887">
          <cell r="A887" t="str">
            <v>itemFilterType도면</v>
          </cell>
          <cell r="B887" t="str">
            <v>itemFilterType</v>
          </cell>
          <cell r="C887" t="str">
            <v>도면</v>
          </cell>
          <cell r="D887">
            <v>3</v>
          </cell>
        </row>
        <row r="888">
          <cell r="A888" t="str">
            <v>itemFilterType계약서</v>
          </cell>
          <cell r="B888" t="str">
            <v>itemFilterType</v>
          </cell>
          <cell r="C888" t="str">
            <v>계약서</v>
          </cell>
          <cell r="D888">
            <v>4</v>
          </cell>
        </row>
        <row r="889">
          <cell r="A889" t="str">
            <v>itemFilterType자원</v>
          </cell>
          <cell r="B889" t="str">
            <v>itemFilterType</v>
          </cell>
          <cell r="C889" t="str">
            <v>자원</v>
          </cell>
          <cell r="D889">
            <v>5</v>
          </cell>
        </row>
        <row r="890">
          <cell r="A890" t="str">
            <v>itemFilterType기타</v>
          </cell>
          <cell r="B890" t="str">
            <v>itemFilterType</v>
          </cell>
          <cell r="C890" t="str">
            <v>기타</v>
          </cell>
          <cell r="D890">
            <v>6</v>
          </cell>
        </row>
        <row r="891">
          <cell r="A891" t="str">
            <v>itemFilterType모험 도구</v>
          </cell>
          <cell r="B891" t="str">
            <v>itemFilterType</v>
          </cell>
          <cell r="C891" t="str">
            <v>모험 도구</v>
          </cell>
          <cell r="D891">
            <v>7</v>
          </cell>
        </row>
        <row r="892">
          <cell r="A892" t="str">
            <v>mateSearchingRule선장 제외 랜덤</v>
          </cell>
          <cell r="B892" t="str">
            <v>mateSearchingRule</v>
          </cell>
          <cell r="C892" t="str">
            <v>선장 제외 랜덤</v>
          </cell>
          <cell r="D892">
            <v>1</v>
          </cell>
        </row>
        <row r="893">
          <cell r="A893" t="str">
            <v>mateSearchingRule전체 랜덤</v>
          </cell>
          <cell r="B893" t="str">
            <v>mateSearchingRule</v>
          </cell>
          <cell r="C893" t="str">
            <v>전체 랜덤</v>
          </cell>
          <cell r="D893">
            <v>2</v>
          </cell>
        </row>
        <row r="894">
          <cell r="A894" t="str">
            <v>mateSearchingRule대사 패스</v>
          </cell>
          <cell r="B894" t="str">
            <v>mateSearchingRule</v>
          </cell>
          <cell r="C894" t="str">
            <v>대사 패스</v>
          </cell>
          <cell r="D894">
            <v>3</v>
          </cell>
        </row>
        <row r="895">
          <cell r="A895" t="str">
            <v>termsType누적</v>
          </cell>
          <cell r="B895" t="str">
            <v>termsType</v>
          </cell>
          <cell r="C895" t="str">
            <v>누적</v>
          </cell>
          <cell r="D895">
            <v>1</v>
          </cell>
        </row>
        <row r="896">
          <cell r="A896" t="str">
            <v>termsType현재 상태</v>
          </cell>
          <cell r="B896" t="str">
            <v>termsType</v>
          </cell>
          <cell r="C896" t="str">
            <v>현재 상태</v>
          </cell>
          <cell r="D896">
            <v>2</v>
          </cell>
        </row>
        <row r="897">
          <cell r="A897" t="str">
            <v>descFormatTypeCount</v>
          </cell>
          <cell r="B897" t="str">
            <v>descFormatType</v>
          </cell>
          <cell r="C897" t="str">
            <v>Count</v>
          </cell>
          <cell r="D897">
            <v>1</v>
          </cell>
        </row>
        <row r="898">
          <cell r="A898" t="str">
            <v>descFormatTypeCms</v>
          </cell>
          <cell r="B898" t="str">
            <v>descFormatType</v>
          </cell>
          <cell r="C898" t="str">
            <v>Cms</v>
          </cell>
          <cell r="D898">
            <v>2</v>
          </cell>
        </row>
        <row r="899">
          <cell r="A899" t="str">
            <v>descFormatTypeEnum</v>
          </cell>
          <cell r="B899" t="str">
            <v>descFormatType</v>
          </cell>
          <cell r="C899" t="str">
            <v>Enum</v>
          </cell>
          <cell r="D899">
            <v>3</v>
          </cell>
        </row>
        <row r="900">
          <cell r="A900" t="str">
            <v>descFormatTypeString</v>
          </cell>
          <cell r="B900" t="str">
            <v>descFormatType</v>
          </cell>
          <cell r="C900" t="str">
            <v>String</v>
          </cell>
          <cell r="D900">
            <v>4</v>
          </cell>
        </row>
        <row r="901">
          <cell r="A901" t="str">
            <v>timeUnitSecond</v>
          </cell>
          <cell r="B901" t="str">
            <v>timeUnit</v>
          </cell>
          <cell r="C901" t="str">
            <v>Second</v>
          </cell>
          <cell r="D901">
            <v>0</v>
          </cell>
        </row>
        <row r="902">
          <cell r="A902" t="str">
            <v>timeUnitMinute</v>
          </cell>
          <cell r="B902" t="str">
            <v>timeUnit</v>
          </cell>
          <cell r="C902" t="str">
            <v>Minute</v>
          </cell>
          <cell r="D902">
            <v>1</v>
          </cell>
        </row>
        <row r="903">
          <cell r="A903" t="str">
            <v>timeUnitTime</v>
          </cell>
          <cell r="B903" t="str">
            <v>timeUnit</v>
          </cell>
          <cell r="C903" t="str">
            <v>Time</v>
          </cell>
          <cell r="D903">
            <v>2</v>
          </cell>
        </row>
        <row r="904">
          <cell r="A904" t="str">
            <v>timeUnitDay</v>
          </cell>
          <cell r="B904" t="str">
            <v>timeUnit</v>
          </cell>
          <cell r="C904" t="str">
            <v>Day</v>
          </cell>
          <cell r="D904">
            <v>3</v>
          </cell>
        </row>
        <row r="905">
          <cell r="A905" t="str">
            <v>timeUnitWeek</v>
          </cell>
          <cell r="B905" t="str">
            <v>timeUnit</v>
          </cell>
          <cell r="C905" t="str">
            <v>Week</v>
          </cell>
          <cell r="D905">
            <v>4</v>
          </cell>
        </row>
        <row r="906">
          <cell r="A906" t="str">
            <v>timeUnitMonth</v>
          </cell>
          <cell r="B906" t="str">
            <v>timeUnit</v>
          </cell>
          <cell r="C906" t="str">
            <v>Month</v>
          </cell>
          <cell r="D906">
            <v>5</v>
          </cell>
        </row>
        <row r="907">
          <cell r="A907" t="str">
            <v>timeUnitYear</v>
          </cell>
          <cell r="B907" t="str">
            <v>timeUnit</v>
          </cell>
          <cell r="C907" t="str">
            <v>Year</v>
          </cell>
          <cell r="D907">
            <v>6</v>
          </cell>
        </row>
        <row r="908">
          <cell r="A908" t="str">
            <v>pieceGrade없음</v>
          </cell>
          <cell r="B908" t="str">
            <v>pieceGrade</v>
          </cell>
          <cell r="C908" t="str">
            <v>없음</v>
          </cell>
          <cell r="D908">
            <v>0</v>
          </cell>
        </row>
        <row r="909">
          <cell r="A909" t="str">
            <v>pieceGradeD</v>
          </cell>
          <cell r="B909" t="str">
            <v>pieceGrade</v>
          </cell>
          <cell r="C909" t="str">
            <v>D</v>
          </cell>
          <cell r="D909">
            <v>1</v>
          </cell>
        </row>
        <row r="910">
          <cell r="A910" t="str">
            <v>pieceGradeC</v>
          </cell>
          <cell r="B910" t="str">
            <v>pieceGrade</v>
          </cell>
          <cell r="C910" t="str">
            <v>C</v>
          </cell>
          <cell r="D910">
            <v>2</v>
          </cell>
        </row>
        <row r="911">
          <cell r="A911" t="str">
            <v>pieceGradeB</v>
          </cell>
          <cell r="B911" t="str">
            <v>pieceGrade</v>
          </cell>
          <cell r="C911" t="str">
            <v>B</v>
          </cell>
          <cell r="D911">
            <v>3</v>
          </cell>
        </row>
        <row r="912">
          <cell r="A912" t="str">
            <v>pieceGradeA</v>
          </cell>
          <cell r="B912" t="str">
            <v>pieceGrade</v>
          </cell>
          <cell r="C912" t="str">
            <v>A</v>
          </cell>
          <cell r="D912">
            <v>4</v>
          </cell>
        </row>
        <row r="913">
          <cell r="A913" t="str">
            <v>pieceGradeS</v>
          </cell>
          <cell r="B913" t="str">
            <v>pieceGrade</v>
          </cell>
          <cell r="C913" t="str">
            <v>S</v>
          </cell>
          <cell r="D913">
            <v>5</v>
          </cell>
        </row>
        <row r="914">
          <cell r="A914" t="str">
            <v>mateGrade없음</v>
          </cell>
          <cell r="B914" t="str">
            <v>mateGrade</v>
          </cell>
          <cell r="C914" t="str">
            <v>없음</v>
          </cell>
          <cell r="D914">
            <v>0</v>
          </cell>
        </row>
        <row r="915">
          <cell r="A915" t="str">
            <v>mateGradeC</v>
          </cell>
          <cell r="B915" t="str">
            <v>mateGrade</v>
          </cell>
          <cell r="C915" t="str">
            <v>C</v>
          </cell>
          <cell r="D915">
            <v>1</v>
          </cell>
        </row>
        <row r="916">
          <cell r="A916" t="str">
            <v>mateGradeB</v>
          </cell>
          <cell r="B916" t="str">
            <v>mateGrade</v>
          </cell>
          <cell r="C916" t="str">
            <v>B</v>
          </cell>
          <cell r="D916">
            <v>2</v>
          </cell>
        </row>
        <row r="917">
          <cell r="A917" t="str">
            <v>mateGradeA</v>
          </cell>
          <cell r="B917" t="str">
            <v>mateGrade</v>
          </cell>
          <cell r="C917" t="str">
            <v>A</v>
          </cell>
          <cell r="D917">
            <v>3</v>
          </cell>
        </row>
        <row r="918">
          <cell r="A918" t="str">
            <v>mateGradeS</v>
          </cell>
          <cell r="B918" t="str">
            <v>mateGrade</v>
          </cell>
          <cell r="C918" t="str">
            <v>S</v>
          </cell>
          <cell r="D918">
            <v>4</v>
          </cell>
        </row>
        <row r="919">
          <cell r="A919" t="str">
            <v>admiralGroup공통</v>
          </cell>
          <cell r="B919" t="str">
            <v>admiralGroup</v>
          </cell>
          <cell r="C919" t="str">
            <v>공통</v>
          </cell>
          <cell r="D919">
            <v>0</v>
          </cell>
        </row>
        <row r="920">
          <cell r="A920" t="str">
            <v>admiralGroup대항해시대2</v>
          </cell>
          <cell r="B920" t="str">
            <v>admiralGroup</v>
          </cell>
          <cell r="C920" t="str">
            <v>대항해시대2</v>
          </cell>
          <cell r="D920">
            <v>1</v>
          </cell>
        </row>
        <row r="921">
          <cell r="A921" t="str">
            <v>admiralGroup대항해시대2외전</v>
          </cell>
          <cell r="B921" t="str">
            <v>admiralGroup</v>
          </cell>
          <cell r="C921" t="str">
            <v>대항해시대2외전</v>
          </cell>
          <cell r="D921">
            <v>2</v>
          </cell>
        </row>
        <row r="922">
          <cell r="A922" t="str">
            <v>admiralGroup오리지널</v>
          </cell>
          <cell r="B922" t="str">
            <v>admiralGroup</v>
          </cell>
          <cell r="C922" t="str">
            <v>오리지널</v>
          </cell>
          <cell r="D922">
            <v>3</v>
          </cell>
        </row>
        <row r="923">
          <cell r="A923" t="str">
            <v>dialogueTypeCycle</v>
          </cell>
          <cell r="B923" t="str">
            <v>dialogueType</v>
          </cell>
          <cell r="C923" t="str">
            <v>Cycle</v>
          </cell>
          <cell r="D923">
            <v>1</v>
          </cell>
        </row>
        <row r="924">
          <cell r="A924" t="str">
            <v>dialogueTypeRandom</v>
          </cell>
          <cell r="B924" t="str">
            <v>dialogueType</v>
          </cell>
          <cell r="C924" t="str">
            <v>Random</v>
          </cell>
          <cell r="D924">
            <v>2</v>
          </cell>
        </row>
        <row r="925">
          <cell r="A925" t="str">
            <v>cameraTypeFree</v>
          </cell>
          <cell r="B925" t="str">
            <v>cameraType</v>
          </cell>
          <cell r="C925" t="str">
            <v>Free</v>
          </cell>
          <cell r="D925">
            <v>1</v>
          </cell>
        </row>
        <row r="926">
          <cell r="A926" t="str">
            <v>cameraTypeTracking</v>
          </cell>
          <cell r="B926" t="str">
            <v>cameraType</v>
          </cell>
          <cell r="C926" t="str">
            <v>Tracking</v>
          </cell>
          <cell r="D926">
            <v>2</v>
          </cell>
        </row>
        <row r="927">
          <cell r="A927" t="str">
            <v>cameraTypeNorth</v>
          </cell>
          <cell r="B927" t="str">
            <v>cameraType</v>
          </cell>
          <cell r="C927" t="str">
            <v>North</v>
          </cell>
          <cell r="D927">
            <v>3</v>
          </cell>
        </row>
        <row r="928">
          <cell r="A928" t="str">
            <v>cameraTypeSouth</v>
          </cell>
          <cell r="B928" t="str">
            <v>cameraType</v>
          </cell>
          <cell r="C928" t="str">
            <v>South</v>
          </cell>
          <cell r="D928">
            <v>4</v>
          </cell>
        </row>
        <row r="929">
          <cell r="A929" t="str">
            <v>cameraTypeWest</v>
          </cell>
          <cell r="B929" t="str">
            <v>cameraType</v>
          </cell>
          <cell r="C929" t="str">
            <v>West</v>
          </cell>
          <cell r="D929">
            <v>5</v>
          </cell>
        </row>
        <row r="930">
          <cell r="A930" t="str">
            <v>cameraTypeEast</v>
          </cell>
          <cell r="B930" t="str">
            <v>cameraType</v>
          </cell>
          <cell r="C930" t="str">
            <v>East</v>
          </cell>
          <cell r="D930">
            <v>6</v>
          </cell>
        </row>
        <row r="931">
          <cell r="A931" t="str">
            <v>royalTitleNameType포르투갈</v>
          </cell>
          <cell r="B931" t="str">
            <v>royalTitleNameType</v>
          </cell>
          <cell r="C931" t="str">
            <v>포르투갈</v>
          </cell>
          <cell r="D931">
            <v>0</v>
          </cell>
        </row>
        <row r="932">
          <cell r="A932" t="str">
            <v>royalTitleNameType에스파냐</v>
          </cell>
          <cell r="B932" t="str">
            <v>royalTitleNameType</v>
          </cell>
          <cell r="C932" t="str">
            <v>에스파냐</v>
          </cell>
          <cell r="D932">
            <v>1</v>
          </cell>
        </row>
        <row r="933">
          <cell r="A933" t="str">
            <v>royalTitleNameType잉글랜드</v>
          </cell>
          <cell r="B933" t="str">
            <v>royalTitleNameType</v>
          </cell>
          <cell r="C933" t="str">
            <v>잉글랜드</v>
          </cell>
          <cell r="D933">
            <v>2</v>
          </cell>
        </row>
        <row r="934">
          <cell r="A934" t="str">
            <v>royalTitleNameType네덜란드</v>
          </cell>
          <cell r="B934" t="str">
            <v>royalTitleNameType</v>
          </cell>
          <cell r="C934" t="str">
            <v>네덜란드</v>
          </cell>
          <cell r="D934">
            <v>3</v>
          </cell>
        </row>
        <row r="935">
          <cell r="A935" t="str">
            <v>royalTitleNameType프랑스</v>
          </cell>
          <cell r="B935" t="str">
            <v>royalTitleNameType</v>
          </cell>
          <cell r="C935" t="str">
            <v>프랑스</v>
          </cell>
          <cell r="D935">
            <v>4</v>
          </cell>
        </row>
        <row r="936">
          <cell r="A936" t="str">
            <v>royalTitleNameType이탈리아</v>
          </cell>
          <cell r="B936" t="str">
            <v>royalTitleNameType</v>
          </cell>
          <cell r="C936" t="str">
            <v>이탈리아</v>
          </cell>
          <cell r="D936">
            <v>5</v>
          </cell>
        </row>
        <row r="937">
          <cell r="A937" t="str">
            <v>royalTitleNameType오스만</v>
          </cell>
          <cell r="B937" t="str">
            <v>royalTitleNameType</v>
          </cell>
          <cell r="C937" t="str">
            <v>오스만</v>
          </cell>
          <cell r="D937">
            <v>6</v>
          </cell>
        </row>
        <row r="938">
          <cell r="A938" t="str">
            <v>royalTitleNameType일본</v>
          </cell>
          <cell r="B938" t="str">
            <v>royalTitleNameType</v>
          </cell>
          <cell r="C938" t="str">
            <v>일본</v>
          </cell>
          <cell r="D938">
            <v>7</v>
          </cell>
        </row>
        <row r="939">
          <cell r="A939" t="str">
            <v>royalTitleNameType한국</v>
          </cell>
          <cell r="B939" t="str">
            <v>royalTitleNameType</v>
          </cell>
          <cell r="C939" t="str">
            <v>한국</v>
          </cell>
          <cell r="D939">
            <v>8</v>
          </cell>
        </row>
        <row r="940">
          <cell r="A940" t="str">
            <v>royalTitleNameType중국</v>
          </cell>
          <cell r="B940" t="str">
            <v>royalTitleNameType</v>
          </cell>
          <cell r="C940" t="str">
            <v>중국</v>
          </cell>
          <cell r="D940">
            <v>9</v>
          </cell>
        </row>
        <row r="941">
          <cell r="A941" t="str">
            <v>disguiseType이슬람</v>
          </cell>
          <cell r="B941" t="str">
            <v>disguiseType</v>
          </cell>
          <cell r="C941" t="str">
            <v>이슬람</v>
          </cell>
          <cell r="D941">
            <v>1</v>
          </cell>
        </row>
        <row r="942">
          <cell r="A942" t="str">
            <v>disguiseType지중해</v>
          </cell>
          <cell r="B942" t="str">
            <v>disguiseType</v>
          </cell>
          <cell r="C942" t="str">
            <v>지중해</v>
          </cell>
          <cell r="D942">
            <v>2</v>
          </cell>
        </row>
        <row r="943">
          <cell r="A943" t="str">
            <v>disguiseType개척지</v>
          </cell>
          <cell r="B943" t="str">
            <v>disguiseType</v>
          </cell>
          <cell r="C943" t="str">
            <v>개척지</v>
          </cell>
          <cell r="D943">
            <v>3</v>
          </cell>
        </row>
        <row r="944">
          <cell r="A944" t="str">
            <v>disguiseType동남아</v>
          </cell>
          <cell r="B944" t="str">
            <v>disguiseType</v>
          </cell>
          <cell r="C944" t="str">
            <v>동남아</v>
          </cell>
          <cell r="D944">
            <v>4</v>
          </cell>
        </row>
        <row r="945">
          <cell r="A945" t="str">
            <v>disguiseType원주민</v>
          </cell>
          <cell r="B945" t="str">
            <v>disguiseType</v>
          </cell>
          <cell r="C945" t="str">
            <v>원주민</v>
          </cell>
          <cell r="D945">
            <v>5</v>
          </cell>
        </row>
        <row r="946">
          <cell r="A946" t="str">
            <v>disguiseType중국</v>
          </cell>
          <cell r="B946" t="str">
            <v>disguiseType</v>
          </cell>
          <cell r="C946" t="str">
            <v>중국</v>
          </cell>
          <cell r="D946">
            <v>6</v>
          </cell>
        </row>
        <row r="947">
          <cell r="A947" t="str">
            <v>disguiseType인도</v>
          </cell>
          <cell r="B947" t="str">
            <v>disguiseType</v>
          </cell>
          <cell r="C947" t="str">
            <v>인도</v>
          </cell>
          <cell r="D947">
            <v>7</v>
          </cell>
        </row>
        <row r="948">
          <cell r="A948" t="str">
            <v>disguiseType북해</v>
          </cell>
          <cell r="B948" t="str">
            <v>disguiseType</v>
          </cell>
          <cell r="C948" t="str">
            <v>북해</v>
          </cell>
          <cell r="D948">
            <v>8</v>
          </cell>
        </row>
        <row r="949">
          <cell r="A949" t="str">
            <v>disguiseType아메리카 원주민</v>
          </cell>
          <cell r="B949" t="str">
            <v>disguiseType</v>
          </cell>
          <cell r="C949" t="str">
            <v>아메리카 원주민</v>
          </cell>
          <cell r="D949">
            <v>9</v>
          </cell>
        </row>
        <row r="950">
          <cell r="A950" t="str">
            <v>disguiseType조선</v>
          </cell>
          <cell r="B950" t="str">
            <v>disguiseType</v>
          </cell>
          <cell r="C950" t="str">
            <v>조선</v>
          </cell>
          <cell r="D950">
            <v>10</v>
          </cell>
        </row>
        <row r="951">
          <cell r="A951" t="str">
            <v>disguiseType일본</v>
          </cell>
          <cell r="B951" t="str">
            <v>disguiseType</v>
          </cell>
          <cell r="C951" t="str">
            <v>일본</v>
          </cell>
          <cell r="D951">
            <v>11</v>
          </cell>
        </row>
        <row r="952">
          <cell r="A952" t="str">
            <v>religionType무교</v>
          </cell>
          <cell r="B952" t="str">
            <v>religionType</v>
          </cell>
          <cell r="C952" t="str">
            <v>무교</v>
          </cell>
          <cell r="D952">
            <v>0</v>
          </cell>
        </row>
        <row r="953">
          <cell r="A953" t="str">
            <v>religionType기독교</v>
          </cell>
          <cell r="B953" t="str">
            <v>religionType</v>
          </cell>
          <cell r="C953" t="str">
            <v>기독교</v>
          </cell>
          <cell r="D953">
            <v>1</v>
          </cell>
        </row>
        <row r="954">
          <cell r="A954" t="str">
            <v>religionType이슬람</v>
          </cell>
          <cell r="B954" t="str">
            <v>religionType</v>
          </cell>
          <cell r="C954" t="str">
            <v>이슬람</v>
          </cell>
          <cell r="D954">
            <v>2</v>
          </cell>
        </row>
        <row r="955">
          <cell r="A955" t="str">
            <v>religionType힌두교</v>
          </cell>
          <cell r="B955" t="str">
            <v>religionType</v>
          </cell>
          <cell r="C955" t="str">
            <v>힌두교</v>
          </cell>
          <cell r="D955">
            <v>3</v>
          </cell>
        </row>
        <row r="956">
          <cell r="A956" t="str">
            <v>religionType불교</v>
          </cell>
          <cell r="B956" t="str">
            <v>religionType</v>
          </cell>
          <cell r="C956" t="str">
            <v>불교</v>
          </cell>
          <cell r="D956">
            <v>4</v>
          </cell>
        </row>
        <row r="957">
          <cell r="A957" t="str">
            <v>religionBuffType기도</v>
          </cell>
          <cell r="B957" t="str">
            <v>religionBuffType</v>
          </cell>
          <cell r="C957" t="str">
            <v>기도</v>
          </cell>
          <cell r="D957">
            <v>1</v>
          </cell>
        </row>
        <row r="958">
          <cell r="A958" t="str">
            <v>religionBuffType기부</v>
          </cell>
          <cell r="B958" t="str">
            <v>religionBuffType</v>
          </cell>
          <cell r="C958" t="str">
            <v>기부</v>
          </cell>
          <cell r="D958">
            <v>2</v>
          </cell>
        </row>
        <row r="959">
          <cell r="A959" t="str">
            <v>mailType일반 우편</v>
          </cell>
          <cell r="B959" t="str">
            <v>mailType</v>
          </cell>
          <cell r="C959" t="str">
            <v>일반 우편</v>
          </cell>
          <cell r="D959">
            <v>0</v>
          </cell>
        </row>
        <row r="960">
          <cell r="A960" t="str">
            <v>mailType캐쉬 우편</v>
          </cell>
          <cell r="B960" t="str">
            <v>mailType</v>
          </cell>
          <cell r="C960" t="str">
            <v>캐쉬 우편</v>
          </cell>
          <cell r="D960">
            <v>1</v>
          </cell>
        </row>
        <row r="961">
          <cell r="A961" t="str">
            <v>mailType운영 우편</v>
          </cell>
          <cell r="B961" t="str">
            <v>mailType</v>
          </cell>
          <cell r="C961" t="str">
            <v>운영 우편</v>
          </cell>
          <cell r="D961">
            <v>2</v>
          </cell>
        </row>
        <row r="962">
          <cell r="A962" t="str">
            <v>mailType상회 우편</v>
          </cell>
          <cell r="B962" t="str">
            <v>mailType</v>
          </cell>
          <cell r="C962" t="str">
            <v>상회 우편</v>
          </cell>
          <cell r="D962">
            <v>3</v>
          </cell>
        </row>
        <row r="963">
          <cell r="A963" t="str">
            <v>mailNotiType일반 우편</v>
          </cell>
          <cell r="B963" t="str">
            <v>mailNotiType</v>
          </cell>
          <cell r="C963" t="str">
            <v>일반 우편</v>
          </cell>
          <cell r="D963">
            <v>0</v>
          </cell>
        </row>
        <row r="964">
          <cell r="A964" t="str">
            <v>mailNotiType중요 우편</v>
          </cell>
          <cell r="B964" t="str">
            <v>mailNotiType</v>
          </cell>
          <cell r="C964" t="str">
            <v>중요 우편</v>
          </cell>
          <cell r="D964">
            <v>1</v>
          </cell>
        </row>
        <row r="965">
          <cell r="A965" t="str">
            <v>WorldTargetType선단</v>
          </cell>
          <cell r="B965" t="str">
            <v>WorldTargetType</v>
          </cell>
          <cell r="C965" t="str">
            <v>선단</v>
          </cell>
          <cell r="D965">
            <v>1</v>
          </cell>
        </row>
        <row r="966">
          <cell r="A966" t="str">
            <v>WorldTargetType함대</v>
          </cell>
          <cell r="B966" t="str">
            <v>WorldTargetType</v>
          </cell>
          <cell r="C966" t="str">
            <v>함대</v>
          </cell>
          <cell r="D966">
            <v>2</v>
          </cell>
        </row>
        <row r="967">
          <cell r="A967" t="str">
            <v>WorldTargetType선박</v>
          </cell>
          <cell r="B967" t="str">
            <v>WorldTargetType</v>
          </cell>
          <cell r="C967" t="str">
            <v>선박</v>
          </cell>
          <cell r="D967">
            <v>3</v>
          </cell>
        </row>
        <row r="968">
          <cell r="A968" t="str">
            <v>WorldTargetType항해사</v>
          </cell>
          <cell r="B968" t="str">
            <v>WorldTargetType</v>
          </cell>
          <cell r="C968" t="str">
            <v>항해사</v>
          </cell>
          <cell r="D968">
            <v>4</v>
          </cell>
        </row>
        <row r="969">
          <cell r="A969" t="str">
            <v>shopType장비</v>
          </cell>
          <cell r="B969" t="str">
            <v>shopType</v>
          </cell>
          <cell r="C969" t="str">
            <v>장비</v>
          </cell>
          <cell r="D969">
            <v>1</v>
          </cell>
        </row>
        <row r="970">
          <cell r="A970" t="str">
            <v>shopType아이템</v>
          </cell>
          <cell r="B970" t="str">
            <v>shopType</v>
          </cell>
          <cell r="C970" t="str">
            <v>아이템</v>
          </cell>
          <cell r="D970">
            <v>2</v>
          </cell>
        </row>
        <row r="971">
          <cell r="A971" t="str">
            <v>shopType암시장_장비</v>
          </cell>
          <cell r="B971" t="str">
            <v>shopType</v>
          </cell>
          <cell r="C971" t="str">
            <v>암시장_장비</v>
          </cell>
          <cell r="D971">
            <v>3</v>
          </cell>
        </row>
        <row r="972">
          <cell r="A972" t="str">
            <v>shopType암시장_도구</v>
          </cell>
          <cell r="B972" t="str">
            <v>shopType</v>
          </cell>
          <cell r="C972" t="str">
            <v>암시장_도구</v>
          </cell>
          <cell r="D972">
            <v>4</v>
          </cell>
        </row>
        <row r="973">
          <cell r="A973" t="str">
            <v>blackMarketType장비_암시장</v>
          </cell>
          <cell r="B973" t="str">
            <v>blackMarketType</v>
          </cell>
          <cell r="C973" t="str">
            <v>장비_암시장</v>
          </cell>
          <cell r="D973">
            <v>1</v>
          </cell>
        </row>
        <row r="974">
          <cell r="A974" t="str">
            <v>blackMarketType도면_암시장</v>
          </cell>
          <cell r="B974" t="str">
            <v>blackMarketType</v>
          </cell>
          <cell r="C974" t="str">
            <v>도면_암시장</v>
          </cell>
          <cell r="D974">
            <v>2</v>
          </cell>
        </row>
        <row r="975">
          <cell r="A975" t="str">
            <v>blackMarketType계약서_암시장</v>
          </cell>
          <cell r="B975" t="str">
            <v>blackMarketType</v>
          </cell>
          <cell r="C975" t="str">
            <v>계약서_암시장</v>
          </cell>
          <cell r="D975">
            <v>3</v>
          </cell>
        </row>
        <row r="976">
          <cell r="A976" t="str">
            <v>blackMarketType도구_암시장</v>
          </cell>
          <cell r="B976" t="str">
            <v>blackMarketType</v>
          </cell>
          <cell r="C976" t="str">
            <v>도구_암시장</v>
          </cell>
          <cell r="D976">
            <v>4</v>
          </cell>
        </row>
        <row r="977">
          <cell r="A977" t="str">
            <v>blackMarketType재료_암시장</v>
          </cell>
          <cell r="B977" t="str">
            <v>blackMarketType</v>
          </cell>
          <cell r="C977" t="str">
            <v>재료_암시장</v>
          </cell>
          <cell r="D977">
            <v>5</v>
          </cell>
        </row>
        <row r="978">
          <cell r="A978" t="str">
            <v>blackMarketType이벤트_암시장</v>
          </cell>
          <cell r="B978" t="str">
            <v>blackMarketType</v>
          </cell>
          <cell r="C978" t="str">
            <v>이벤트_암시장</v>
          </cell>
          <cell r="D978">
            <v>6</v>
          </cell>
        </row>
        <row r="979">
          <cell r="A979" t="str">
            <v>seasonType봄</v>
          </cell>
          <cell r="B979" t="str">
            <v>seasonType</v>
          </cell>
          <cell r="C979" t="str">
            <v>봄</v>
          </cell>
          <cell r="D979">
            <v>1</v>
          </cell>
        </row>
        <row r="980">
          <cell r="A980" t="str">
            <v>seasonType여름</v>
          </cell>
          <cell r="B980" t="str">
            <v>seasonType</v>
          </cell>
          <cell r="C980" t="str">
            <v>여름</v>
          </cell>
          <cell r="D980">
            <v>2</v>
          </cell>
        </row>
        <row r="981">
          <cell r="A981" t="str">
            <v>seasonType가을</v>
          </cell>
          <cell r="B981" t="str">
            <v>seasonType</v>
          </cell>
          <cell r="C981" t="str">
            <v>가을</v>
          </cell>
          <cell r="D981">
            <v>3</v>
          </cell>
        </row>
        <row r="982">
          <cell r="A982" t="str">
            <v>seasonType겨울</v>
          </cell>
          <cell r="B982" t="str">
            <v>seasonType</v>
          </cell>
          <cell r="C982" t="str">
            <v>겨울</v>
          </cell>
          <cell r="D982">
            <v>4</v>
          </cell>
        </row>
        <row r="983">
          <cell r="A983" t="str">
            <v>seasonType우기</v>
          </cell>
          <cell r="B983" t="str">
            <v>seasonType</v>
          </cell>
          <cell r="C983" t="str">
            <v>우기</v>
          </cell>
          <cell r="D983">
            <v>5</v>
          </cell>
        </row>
        <row r="984">
          <cell r="A984" t="str">
            <v>seasonType건기</v>
          </cell>
          <cell r="B984" t="str">
            <v>seasonType</v>
          </cell>
          <cell r="C984" t="str">
            <v>건기</v>
          </cell>
          <cell r="D984">
            <v>6</v>
          </cell>
        </row>
        <row r="985">
          <cell r="A985" t="str">
            <v>seasonType열대</v>
          </cell>
          <cell r="B985" t="str">
            <v>seasonType</v>
          </cell>
          <cell r="C985" t="str">
            <v>열대</v>
          </cell>
          <cell r="D985">
            <v>7</v>
          </cell>
        </row>
        <row r="986">
          <cell r="A986" t="str">
            <v>seasonType한대</v>
          </cell>
          <cell r="B986" t="str">
            <v>seasonType</v>
          </cell>
          <cell r="C986" t="str">
            <v>한대</v>
          </cell>
          <cell r="D986">
            <v>8</v>
          </cell>
        </row>
        <row r="987">
          <cell r="A987" t="str">
            <v>cabinType선장실</v>
          </cell>
          <cell r="B987" t="str">
            <v>cabinType</v>
          </cell>
          <cell r="C987" t="str">
            <v>선장실</v>
          </cell>
          <cell r="D987">
            <v>1</v>
          </cell>
        </row>
        <row r="988">
          <cell r="A988" t="str">
            <v>cabinType돛대형</v>
          </cell>
          <cell r="B988" t="str">
            <v>cabinType</v>
          </cell>
          <cell r="C988" t="str">
            <v>돛대형</v>
          </cell>
          <cell r="D988">
            <v>2</v>
          </cell>
        </row>
        <row r="989">
          <cell r="A989" t="str">
            <v>cabinType갑판형</v>
          </cell>
          <cell r="B989" t="str">
            <v>cabinType</v>
          </cell>
          <cell r="C989" t="str">
            <v>갑판형</v>
          </cell>
          <cell r="D989">
            <v>3</v>
          </cell>
        </row>
        <row r="990">
          <cell r="A990" t="str">
            <v>cabinType배치 가능형</v>
          </cell>
          <cell r="B990" t="str">
            <v>cabinType</v>
          </cell>
          <cell r="C990" t="str">
            <v>배치 가능형</v>
          </cell>
          <cell r="D990">
            <v>4</v>
          </cell>
        </row>
        <row r="991">
          <cell r="A991" t="str">
            <v>cabinType배치 불가형</v>
          </cell>
          <cell r="B991" t="str">
            <v>cabinType</v>
          </cell>
          <cell r="C991" t="str">
            <v>배치 불가형</v>
          </cell>
          <cell r="D991">
            <v>5</v>
          </cell>
        </row>
        <row r="992">
          <cell r="A992" t="str">
            <v>cabinType회계실</v>
          </cell>
          <cell r="B992" t="str">
            <v>cabinType</v>
          </cell>
          <cell r="C992" t="str">
            <v>회계실</v>
          </cell>
          <cell r="D992">
            <v>6</v>
          </cell>
        </row>
        <row r="993">
          <cell r="A993" t="str">
            <v>cabinType부관실</v>
          </cell>
          <cell r="B993" t="str">
            <v>cabinType</v>
          </cell>
          <cell r="C993" t="str">
            <v>부관실</v>
          </cell>
          <cell r="D993">
            <v>7</v>
          </cell>
        </row>
        <row r="994">
          <cell r="A994" t="str">
            <v>month1월</v>
          </cell>
          <cell r="B994" t="str">
            <v>month</v>
          </cell>
          <cell r="C994" t="str">
            <v>1월</v>
          </cell>
          <cell r="D994">
            <v>1</v>
          </cell>
        </row>
        <row r="995">
          <cell r="A995" t="str">
            <v>month2월</v>
          </cell>
          <cell r="B995" t="str">
            <v>month</v>
          </cell>
          <cell r="C995" t="str">
            <v>2월</v>
          </cell>
          <cell r="D995">
            <v>2</v>
          </cell>
        </row>
        <row r="996">
          <cell r="A996" t="str">
            <v>month3월</v>
          </cell>
          <cell r="B996" t="str">
            <v>month</v>
          </cell>
          <cell r="C996" t="str">
            <v>3월</v>
          </cell>
          <cell r="D996">
            <v>3</v>
          </cell>
        </row>
        <row r="997">
          <cell r="A997" t="str">
            <v>month4월</v>
          </cell>
          <cell r="B997" t="str">
            <v>month</v>
          </cell>
          <cell r="C997" t="str">
            <v>4월</v>
          </cell>
          <cell r="D997">
            <v>4</v>
          </cell>
        </row>
        <row r="998">
          <cell r="A998" t="str">
            <v>month5월</v>
          </cell>
          <cell r="B998" t="str">
            <v>month</v>
          </cell>
          <cell r="C998" t="str">
            <v>5월</v>
          </cell>
          <cell r="D998">
            <v>5</v>
          </cell>
        </row>
        <row r="999">
          <cell r="A999" t="str">
            <v>month6월</v>
          </cell>
          <cell r="B999" t="str">
            <v>month</v>
          </cell>
          <cell r="C999" t="str">
            <v>6월</v>
          </cell>
          <cell r="D999">
            <v>6</v>
          </cell>
        </row>
        <row r="1000">
          <cell r="A1000" t="str">
            <v>month7월</v>
          </cell>
          <cell r="B1000" t="str">
            <v>month</v>
          </cell>
          <cell r="C1000" t="str">
            <v>7월</v>
          </cell>
          <cell r="D1000">
            <v>7</v>
          </cell>
        </row>
        <row r="1001">
          <cell r="A1001" t="str">
            <v>month8월</v>
          </cell>
          <cell r="B1001" t="str">
            <v>month</v>
          </cell>
          <cell r="C1001" t="str">
            <v>8월</v>
          </cell>
          <cell r="D1001">
            <v>8</v>
          </cell>
        </row>
        <row r="1002">
          <cell r="A1002" t="str">
            <v>month9월</v>
          </cell>
          <cell r="B1002" t="str">
            <v>month</v>
          </cell>
          <cell r="C1002" t="str">
            <v>9월</v>
          </cell>
          <cell r="D1002">
            <v>9</v>
          </cell>
        </row>
        <row r="1003">
          <cell r="A1003" t="str">
            <v>month10월</v>
          </cell>
          <cell r="B1003" t="str">
            <v>month</v>
          </cell>
          <cell r="C1003" t="str">
            <v>10월</v>
          </cell>
          <cell r="D1003">
            <v>10</v>
          </cell>
        </row>
        <row r="1004">
          <cell r="A1004" t="str">
            <v>month11월</v>
          </cell>
          <cell r="B1004" t="str">
            <v>month</v>
          </cell>
          <cell r="C1004" t="str">
            <v>11월</v>
          </cell>
          <cell r="D1004">
            <v>11</v>
          </cell>
        </row>
        <row r="1005">
          <cell r="A1005" t="str">
            <v>month12월</v>
          </cell>
          <cell r="B1005" t="str">
            <v>month</v>
          </cell>
          <cell r="C1005" t="str">
            <v>12월</v>
          </cell>
          <cell r="D1005">
            <v>12</v>
          </cell>
        </row>
        <row r="1006">
          <cell r="A1006" t="str">
            <v>oceanDisasterCategory질병</v>
          </cell>
          <cell r="B1006" t="str">
            <v>oceanDisasterCategory</v>
          </cell>
          <cell r="C1006" t="str">
            <v>질병</v>
          </cell>
          <cell r="D1006">
            <v>1</v>
          </cell>
        </row>
        <row r="1007">
          <cell r="A1007" t="str">
            <v>oceanDisasterCategory사고</v>
          </cell>
          <cell r="B1007" t="str">
            <v>oceanDisasterCategory</v>
          </cell>
          <cell r="C1007" t="str">
            <v>사고</v>
          </cell>
          <cell r="D1007">
            <v>2</v>
          </cell>
        </row>
        <row r="1008">
          <cell r="A1008" t="str">
            <v>oceanDisasterCategory심리</v>
          </cell>
          <cell r="B1008" t="str">
            <v>oceanDisasterCategory</v>
          </cell>
          <cell r="C1008" t="str">
            <v>심리</v>
          </cell>
          <cell r="D1008">
            <v>3</v>
          </cell>
        </row>
        <row r="1009">
          <cell r="A1009" t="str">
            <v>oceanDisasterCategory자연현상</v>
          </cell>
          <cell r="B1009" t="str">
            <v>oceanDisasterCategory</v>
          </cell>
          <cell r="C1009" t="str">
            <v>자연현상</v>
          </cell>
          <cell r="D1009">
            <v>4</v>
          </cell>
        </row>
        <row r="1010">
          <cell r="A1010" t="str">
            <v>oceanDisasterType없음</v>
          </cell>
          <cell r="B1010" t="str">
            <v>oceanDisasterType</v>
          </cell>
          <cell r="C1010" t="str">
            <v>없음</v>
          </cell>
          <cell r="D1010">
            <v>0</v>
          </cell>
        </row>
        <row r="1011">
          <cell r="A1011" t="str">
            <v>oceanDisasterType난파</v>
          </cell>
          <cell r="B1011" t="str">
            <v>oceanDisasterType</v>
          </cell>
          <cell r="C1011" t="str">
            <v>난파</v>
          </cell>
          <cell r="D1011">
            <v>1</v>
          </cell>
        </row>
        <row r="1012">
          <cell r="A1012" t="str">
            <v>oceanDisasterType기본</v>
          </cell>
          <cell r="B1012" t="str">
            <v>oceanDisasterType</v>
          </cell>
          <cell r="C1012" t="str">
            <v>기본</v>
          </cell>
          <cell r="D1012">
            <v>2</v>
          </cell>
        </row>
        <row r="1013">
          <cell r="A1013" t="str">
            <v>oceanDisasterType특수</v>
          </cell>
          <cell r="B1013" t="str">
            <v>oceanDisasterType</v>
          </cell>
          <cell r="C1013" t="str">
            <v>특수</v>
          </cell>
          <cell r="D1013">
            <v>3</v>
          </cell>
        </row>
        <row r="1014">
          <cell r="A1014" t="str">
            <v>operator=</v>
          </cell>
          <cell r="B1014" t="str">
            <v>operator</v>
          </cell>
          <cell r="C1014" t="str">
            <v>=</v>
          </cell>
          <cell r="D1014">
            <v>1</v>
          </cell>
        </row>
        <row r="1015">
          <cell r="A1015" t="str">
            <v>operator&gt;=</v>
          </cell>
          <cell r="B1015" t="str">
            <v>operator</v>
          </cell>
          <cell r="C1015" t="str">
            <v>&gt;=</v>
          </cell>
          <cell r="D1015">
            <v>2</v>
          </cell>
        </row>
        <row r="1016">
          <cell r="A1016" t="str">
            <v>operator&lt;</v>
          </cell>
          <cell r="B1016" t="str">
            <v>operator</v>
          </cell>
          <cell r="C1016" t="str">
            <v>&lt;</v>
          </cell>
          <cell r="D1016">
            <v>3</v>
          </cell>
        </row>
        <row r="1017">
          <cell r="A1017" t="str">
            <v>operator&lt;=</v>
          </cell>
          <cell r="B1017" t="str">
            <v>operator</v>
          </cell>
          <cell r="C1017" t="str">
            <v>&lt;=</v>
          </cell>
          <cell r="D1017">
            <v>4</v>
          </cell>
        </row>
        <row r="1018">
          <cell r="A1018" t="str">
            <v>operator&gt;</v>
          </cell>
          <cell r="B1018" t="str">
            <v>operator</v>
          </cell>
          <cell r="C1018" t="str">
            <v>&gt;</v>
          </cell>
          <cell r="D1018">
            <v>5</v>
          </cell>
        </row>
        <row r="1019">
          <cell r="A1019" t="str">
            <v>missionTargetType항구</v>
          </cell>
          <cell r="B1019" t="str">
            <v>missionTargetType</v>
          </cell>
          <cell r="C1019" t="str">
            <v>항구</v>
          </cell>
          <cell r="D1019">
            <v>1</v>
          </cell>
        </row>
        <row r="1020">
          <cell r="A1020" t="str">
            <v>missionTargetType항해</v>
          </cell>
          <cell r="B1020" t="str">
            <v>missionTargetType</v>
          </cell>
          <cell r="C1020" t="str">
            <v>항해</v>
          </cell>
          <cell r="D1020">
            <v>2</v>
          </cell>
        </row>
        <row r="1021">
          <cell r="A1021" t="str">
            <v>missionTargetType지역 이동</v>
          </cell>
          <cell r="B1021" t="str">
            <v>missionTargetType</v>
          </cell>
          <cell r="C1021" t="str">
            <v>지역 이동</v>
          </cell>
          <cell r="D1021">
            <v>3</v>
          </cell>
        </row>
        <row r="1022">
          <cell r="A1022" t="str">
            <v>missionTargetType지역 좌표</v>
          </cell>
          <cell r="B1022" t="str">
            <v>missionTargetType</v>
          </cell>
          <cell r="C1022" t="str">
            <v>지역 좌표</v>
          </cell>
          <cell r="D1022">
            <v>4</v>
          </cell>
        </row>
        <row r="1023">
          <cell r="A1023" t="str">
            <v>missionTargetType타겟 항구 아이템</v>
          </cell>
          <cell r="B1023" t="str">
            <v>missionTargetType</v>
          </cell>
          <cell r="C1023" t="str">
            <v>타겟 항구 아이템</v>
          </cell>
          <cell r="D1023">
            <v>5</v>
          </cell>
        </row>
        <row r="1024">
          <cell r="A1024" t="str">
            <v>missionTargetType타겟 항구 장비</v>
          </cell>
          <cell r="B1024" t="str">
            <v>missionTargetType</v>
          </cell>
          <cell r="C1024" t="str">
            <v>타겟 항구 장비</v>
          </cell>
          <cell r="D1024">
            <v>6</v>
          </cell>
        </row>
        <row r="1025">
          <cell r="A1025" t="str">
            <v>missionTargetType타겟 항구 교역품</v>
          </cell>
          <cell r="B1025" t="str">
            <v>missionTargetType</v>
          </cell>
          <cell r="C1025" t="str">
            <v>타겟 항구 교역품</v>
          </cell>
          <cell r="D1025">
            <v>7</v>
          </cell>
        </row>
        <row r="1026">
          <cell r="A1026" t="str">
            <v>missionTargetType타겟 항해 NPC 아이템</v>
          </cell>
          <cell r="B1026" t="str">
            <v>missionTargetType</v>
          </cell>
          <cell r="C1026" t="str">
            <v>타겟 항해 NPC 아이템</v>
          </cell>
          <cell r="D1026">
            <v>8</v>
          </cell>
        </row>
        <row r="1027">
          <cell r="A1027" t="str">
            <v>missionTargetType타겟 항해 NPC 장비</v>
          </cell>
          <cell r="B1027" t="str">
            <v>missionTargetType</v>
          </cell>
          <cell r="C1027" t="str">
            <v>타겟 항해 NPC 장비</v>
          </cell>
          <cell r="D1027">
            <v>9</v>
          </cell>
        </row>
        <row r="1028">
          <cell r="A1028" t="str">
            <v>missionTargetType타겟 항해 NPC 교역품</v>
          </cell>
          <cell r="B1028" t="str">
            <v>missionTargetType</v>
          </cell>
          <cell r="C1028" t="str">
            <v>타겟 항해 NPC 교역품</v>
          </cell>
          <cell r="D1028">
            <v>10</v>
          </cell>
        </row>
        <row r="1029">
          <cell r="A1029" t="str">
            <v>missionTargetType타겟 항구 포인트</v>
          </cell>
          <cell r="B1029" t="str">
            <v>missionTargetType</v>
          </cell>
          <cell r="C1029" t="str">
            <v>타겟 항구 포인트</v>
          </cell>
          <cell r="D1029">
            <v>11</v>
          </cell>
        </row>
        <row r="1030">
          <cell r="A1030" t="str">
            <v>missionTargetType타겟 항해 좌표 장비</v>
          </cell>
          <cell r="B1030" t="str">
            <v>missionTargetType</v>
          </cell>
          <cell r="C1030" t="str">
            <v>타겟 항해 좌표 장비</v>
          </cell>
          <cell r="D1030">
            <v>12</v>
          </cell>
        </row>
        <row r="1031">
          <cell r="A1031" t="str">
            <v>missionTargetType타겟 항해 좌표 교역품</v>
          </cell>
          <cell r="B1031" t="str">
            <v>missionTargetType</v>
          </cell>
          <cell r="C1031" t="str">
            <v>타겟 항해 좌표 교역품</v>
          </cell>
          <cell r="D1031">
            <v>13</v>
          </cell>
        </row>
        <row r="1032">
          <cell r="A1032" t="str">
            <v>missionTargetType가까운 항구 장비</v>
          </cell>
          <cell r="B1032" t="str">
            <v>missionTargetType</v>
          </cell>
          <cell r="C1032" t="str">
            <v>가까운 항구 장비</v>
          </cell>
          <cell r="D1032">
            <v>14</v>
          </cell>
        </row>
        <row r="1033">
          <cell r="A1033" t="str">
            <v>missionTargetType가까운 항구 아이템</v>
          </cell>
          <cell r="B1033" t="str">
            <v>missionTargetType</v>
          </cell>
          <cell r="C1033" t="str">
            <v>가까운 항구 아이템</v>
          </cell>
          <cell r="D1033">
            <v>15</v>
          </cell>
        </row>
        <row r="1034">
          <cell r="A1034" t="str">
            <v>missionTargetType가까운 항구 교역품</v>
          </cell>
          <cell r="B1034" t="str">
            <v>missionTargetType</v>
          </cell>
          <cell r="C1034" t="str">
            <v>가까운 항구 교역품</v>
          </cell>
          <cell r="D1034">
            <v>16</v>
          </cell>
        </row>
        <row r="1035">
          <cell r="A1035" t="str">
            <v>missionTargetType가까운 항구 건물</v>
          </cell>
          <cell r="B1035" t="str">
            <v>missionTargetType</v>
          </cell>
          <cell r="C1035" t="str">
            <v>가까운 항구 건물</v>
          </cell>
          <cell r="D1035">
            <v>17</v>
          </cell>
        </row>
        <row r="1036">
          <cell r="A1036" t="str">
            <v>missionTargetType타겟 제외 가까운 항구</v>
          </cell>
          <cell r="B1036" t="str">
            <v>missionTargetType</v>
          </cell>
          <cell r="C1036" t="str">
            <v>타겟 제외 가까운 항구</v>
          </cell>
          <cell r="D1036">
            <v>18</v>
          </cell>
        </row>
        <row r="1037">
          <cell r="A1037" t="str">
            <v>missionTargetType타겟 제외 가까운 항구 건물</v>
          </cell>
          <cell r="B1037" t="str">
            <v>missionTargetType</v>
          </cell>
          <cell r="C1037" t="str">
            <v>타겟 제외 가까운 항구 건물</v>
          </cell>
          <cell r="D1037">
            <v>19</v>
          </cell>
        </row>
        <row r="1038">
          <cell r="A1038" t="str">
            <v>missionTargetType권역에 속하는 가까운 항구 건물</v>
          </cell>
          <cell r="B1038" t="str">
            <v>missionTargetType</v>
          </cell>
          <cell r="C1038" t="str">
            <v>권역에 속하는 가까운 항구 건물</v>
          </cell>
          <cell r="D1038">
            <v>20</v>
          </cell>
        </row>
        <row r="1039">
          <cell r="A1039" t="str">
            <v>missionTargetType문화권에 속하는 가까운 항구 건물</v>
          </cell>
          <cell r="B1039" t="str">
            <v>missionTargetType</v>
          </cell>
          <cell r="C1039" t="str">
            <v>문화권에 속하는 가까운 항구 건물</v>
          </cell>
          <cell r="D1039">
            <v>21</v>
          </cell>
        </row>
        <row r="1040">
          <cell r="A1040" t="str">
            <v>missionTargetType항해사가 있는 가까운 항구</v>
          </cell>
          <cell r="B1040" t="str">
            <v>missionTargetType</v>
          </cell>
          <cell r="C1040" t="str">
            <v>항해사가 있는 가까운 항구</v>
          </cell>
          <cell r="D1040">
            <v>22</v>
          </cell>
        </row>
        <row r="1041">
          <cell r="A1041" t="str">
            <v>missionTargetType발견물</v>
          </cell>
          <cell r="B1041" t="str">
            <v>missionTargetType</v>
          </cell>
          <cell r="C1041" t="str">
            <v>발견물</v>
          </cell>
          <cell r="D1041">
            <v>23</v>
          </cell>
        </row>
        <row r="1042">
          <cell r="A1042" t="str">
            <v>missionTargetType랜덤 항구</v>
          </cell>
          <cell r="B1042" t="str">
            <v>missionTargetType</v>
          </cell>
          <cell r="C1042" t="str">
            <v>랜덤 항구</v>
          </cell>
          <cell r="D1042">
            <v>101</v>
          </cell>
        </row>
        <row r="1043">
          <cell r="A1043" t="str">
            <v>missionTargetType랜덤 항구 랜덤 교역품</v>
          </cell>
          <cell r="B1043" t="str">
            <v>missionTargetType</v>
          </cell>
          <cell r="C1043" t="str">
            <v>랜덤 항구 랜덤 교역품</v>
          </cell>
          <cell r="D1043">
            <v>102</v>
          </cell>
        </row>
        <row r="1044">
          <cell r="A1044" t="str">
            <v>missionTargetType랜덤 권역</v>
          </cell>
          <cell r="B1044" t="str">
            <v>missionTargetType</v>
          </cell>
          <cell r="C1044" t="str">
            <v>랜덤 권역</v>
          </cell>
          <cell r="D1044">
            <v>103</v>
          </cell>
        </row>
        <row r="1045">
          <cell r="A1045" t="str">
            <v>missionTargetType랜덤 권역 NPC</v>
          </cell>
          <cell r="B1045" t="str">
            <v>missionTargetType</v>
          </cell>
          <cell r="C1045" t="str">
            <v>랜덤 권역 NPC</v>
          </cell>
          <cell r="D1045">
            <v>104</v>
          </cell>
        </row>
        <row r="1046">
          <cell r="A1046" t="str">
            <v>missionTargetType랜덤 권역 적대국 NPC</v>
          </cell>
          <cell r="B1046" t="str">
            <v>missionTargetType</v>
          </cell>
          <cell r="C1046" t="str">
            <v>랜덤 권역 적대국 NPC</v>
          </cell>
          <cell r="D1046">
            <v>105</v>
          </cell>
        </row>
        <row r="1047">
          <cell r="A1047" t="str">
            <v>missionTargetType랜덤 권역 발견</v>
          </cell>
          <cell r="B1047" t="str">
            <v>missionTargetType</v>
          </cell>
          <cell r="C1047" t="str">
            <v>랜덤 권역 발견</v>
          </cell>
          <cell r="D1047">
            <v>106</v>
          </cell>
        </row>
        <row r="1048">
          <cell r="A1048" t="str">
            <v>missionTargetType랜덤 항구 랜덤 도구</v>
          </cell>
          <cell r="B1048" t="str">
            <v>missionTargetType</v>
          </cell>
          <cell r="C1048" t="str">
            <v>랜덤 항구 랜덤 도구</v>
          </cell>
          <cell r="D1048">
            <v>107</v>
          </cell>
        </row>
        <row r="1049">
          <cell r="A1049" t="str">
            <v>missionTargetType랜덤 권역 오브젝트</v>
          </cell>
          <cell r="B1049" t="str">
            <v>missionTargetType</v>
          </cell>
          <cell r="C1049" t="str">
            <v>랜덤 권역 오브젝트</v>
          </cell>
          <cell r="D1049">
            <v>108</v>
          </cell>
        </row>
        <row r="1050">
          <cell r="A1050" t="str">
            <v>missionTargetType랜덤 항구 랜덤 장비</v>
          </cell>
          <cell r="B1050" t="str">
            <v>missionTargetType</v>
          </cell>
          <cell r="C1050" t="str">
            <v>랜덤 항구 랜덤 장비</v>
          </cell>
          <cell r="D1050">
            <v>109</v>
          </cell>
        </row>
        <row r="1051">
          <cell r="A1051" t="str">
            <v>missionTargetType랜덤 항구 랜덤 착용 가능 장비</v>
          </cell>
          <cell r="B1051" t="str">
            <v>missionTargetType</v>
          </cell>
          <cell r="C1051" t="str">
            <v>랜덤 항구 랜덤 착용 가능 장비</v>
          </cell>
          <cell r="D1051">
            <v>110</v>
          </cell>
        </row>
        <row r="1052">
          <cell r="A1052" t="str">
            <v>questCategoryLV 가이드</v>
          </cell>
          <cell r="B1052" t="str">
            <v>questCategory</v>
          </cell>
          <cell r="C1052" t="str">
            <v>LV 가이드</v>
          </cell>
          <cell r="D1052">
            <v>1</v>
          </cell>
        </row>
        <row r="1053">
          <cell r="A1053" t="str">
            <v>questCategory칙명</v>
          </cell>
          <cell r="B1053" t="str">
            <v>questCategory</v>
          </cell>
          <cell r="C1053" t="str">
            <v>칙명</v>
          </cell>
          <cell r="D1053">
            <v>2</v>
          </cell>
        </row>
        <row r="1054">
          <cell r="A1054" t="str">
            <v>questCategory의뢰</v>
          </cell>
          <cell r="B1054" t="str">
            <v>questCategory</v>
          </cell>
          <cell r="C1054" t="str">
            <v>의뢰</v>
          </cell>
          <cell r="D1054">
            <v>3</v>
          </cell>
        </row>
        <row r="1055">
          <cell r="A1055" t="str">
            <v>questCategory돌발</v>
          </cell>
          <cell r="B1055" t="str">
            <v>questCategory</v>
          </cell>
          <cell r="C1055" t="str">
            <v>돌발</v>
          </cell>
          <cell r="D1055">
            <v>4</v>
          </cell>
        </row>
        <row r="1056">
          <cell r="A1056" t="str">
            <v>questCategory제독 연대기</v>
          </cell>
          <cell r="B1056" t="str">
            <v>questCategory</v>
          </cell>
          <cell r="C1056" t="str">
            <v>제독 연대기</v>
          </cell>
          <cell r="D1056">
            <v>5</v>
          </cell>
        </row>
        <row r="1057">
          <cell r="A1057" t="str">
            <v>questCategory인연 연대기</v>
          </cell>
          <cell r="B1057" t="str">
            <v>questCategory</v>
          </cell>
          <cell r="C1057" t="str">
            <v>인연 연대기</v>
          </cell>
          <cell r="D1057">
            <v>6</v>
          </cell>
        </row>
        <row r="1058">
          <cell r="A1058" t="str">
            <v>questCategory도전</v>
          </cell>
          <cell r="B1058" t="str">
            <v>questCategory</v>
          </cell>
          <cell r="C1058" t="str">
            <v>도전</v>
          </cell>
          <cell r="D1058">
            <v>7</v>
          </cell>
        </row>
        <row r="1059">
          <cell r="A1059" t="str">
            <v>questCategory종업원</v>
          </cell>
          <cell r="B1059" t="str">
            <v>questCategory</v>
          </cell>
          <cell r="C1059" t="str">
            <v>종업원</v>
          </cell>
          <cell r="D1059">
            <v>8</v>
          </cell>
        </row>
        <row r="1060">
          <cell r="A1060" t="str">
            <v>questCategory이벤트</v>
          </cell>
          <cell r="B1060" t="str">
            <v>questCategory</v>
          </cell>
          <cell r="C1060" t="str">
            <v>이벤트</v>
          </cell>
          <cell r="D1060">
            <v>9</v>
          </cell>
        </row>
        <row r="1061">
          <cell r="A1061" t="str">
            <v>taskType일일과제</v>
          </cell>
          <cell r="B1061" t="str">
            <v>taskType</v>
          </cell>
          <cell r="C1061" t="str">
            <v>일일과제</v>
          </cell>
          <cell r="D1061">
            <v>1</v>
          </cell>
        </row>
        <row r="1062">
          <cell r="A1062" t="str">
            <v>taskType주간과제</v>
          </cell>
          <cell r="B1062" t="str">
            <v>taskType</v>
          </cell>
          <cell r="C1062" t="str">
            <v>주간과제</v>
          </cell>
          <cell r="D1062">
            <v>2</v>
          </cell>
        </row>
        <row r="1063">
          <cell r="A1063" t="str">
            <v>taskType월간과제</v>
          </cell>
          <cell r="B1063" t="str">
            <v>taskType</v>
          </cell>
          <cell r="C1063" t="str">
            <v>월간과제</v>
          </cell>
          <cell r="D1063">
            <v>3</v>
          </cell>
        </row>
        <row r="1064">
          <cell r="A1064" t="str">
            <v>taskType지령</v>
          </cell>
          <cell r="B1064" t="str">
            <v>taskType</v>
          </cell>
          <cell r="C1064" t="str">
            <v>지령</v>
          </cell>
          <cell r="D1064">
            <v>4</v>
          </cell>
        </row>
        <row r="1065">
          <cell r="A1065" t="str">
            <v>loadingType공용</v>
          </cell>
          <cell r="B1065" t="str">
            <v>loadingType</v>
          </cell>
          <cell r="C1065" t="str">
            <v>공용</v>
          </cell>
          <cell r="D1065">
            <v>0</v>
          </cell>
        </row>
        <row r="1066">
          <cell r="A1066" t="str">
            <v>loadingType항구로</v>
          </cell>
          <cell r="B1066" t="str">
            <v>loadingType</v>
          </cell>
          <cell r="C1066" t="str">
            <v>항구로</v>
          </cell>
          <cell r="D1066">
            <v>1</v>
          </cell>
        </row>
        <row r="1067">
          <cell r="A1067" t="str">
            <v>loadingType바다로</v>
          </cell>
          <cell r="B1067" t="str">
            <v>loadingType</v>
          </cell>
          <cell r="C1067" t="str">
            <v>바다로</v>
          </cell>
          <cell r="D1067">
            <v>2</v>
          </cell>
        </row>
        <row r="1068">
          <cell r="A1068" t="str">
            <v>loadingType전투로</v>
          </cell>
          <cell r="B1068" t="str">
            <v>loadingType</v>
          </cell>
          <cell r="C1068" t="str">
            <v>전투로</v>
          </cell>
          <cell r="D1068">
            <v>3</v>
          </cell>
        </row>
        <row r="1069">
          <cell r="A1069" t="str">
            <v>loadingType난파</v>
          </cell>
          <cell r="B1069" t="str">
            <v>loadingType</v>
          </cell>
          <cell r="C1069" t="str">
            <v>난파</v>
          </cell>
          <cell r="D1069">
            <v>4</v>
          </cell>
        </row>
        <row r="1070">
          <cell r="A1070" t="str">
            <v>loadingType바다로_프롤로그</v>
          </cell>
          <cell r="B1070" t="str">
            <v>loadingType</v>
          </cell>
          <cell r="C1070" t="str">
            <v>바다로_프롤로그</v>
          </cell>
          <cell r="D1070">
            <v>5</v>
          </cell>
        </row>
        <row r="1071">
          <cell r="A1071" t="str">
            <v>loadingType전투로_프롤로그</v>
          </cell>
          <cell r="B1071" t="str">
            <v>loadingType</v>
          </cell>
          <cell r="C1071" t="str">
            <v>전투로_프롤로그</v>
          </cell>
          <cell r="D1071">
            <v>6</v>
          </cell>
        </row>
        <row r="1072">
          <cell r="A1072" t="str">
            <v>managementType여관</v>
          </cell>
          <cell r="B1072" t="str">
            <v>managementType</v>
          </cell>
          <cell r="C1072" t="str">
            <v>여관</v>
          </cell>
          <cell r="D1072">
            <v>1</v>
          </cell>
        </row>
        <row r="1073">
          <cell r="A1073" t="str">
            <v>managementType햄버거메뉴</v>
          </cell>
          <cell r="B1073" t="str">
            <v>managementType</v>
          </cell>
          <cell r="C1073" t="str">
            <v>햄버거메뉴</v>
          </cell>
          <cell r="D1073">
            <v>2</v>
          </cell>
        </row>
        <row r="1074">
          <cell r="A1074" t="str">
            <v>formatType일반</v>
          </cell>
          <cell r="B1074" t="str">
            <v>formatType</v>
          </cell>
          <cell r="C1074" t="str">
            <v>일반</v>
          </cell>
          <cell r="D1074">
            <v>0</v>
          </cell>
        </row>
        <row r="1075">
          <cell r="A1075" t="str">
            <v>formatType%</v>
          </cell>
          <cell r="B1075" t="str">
            <v>formatType</v>
          </cell>
          <cell r="C1075" t="str">
            <v>%</v>
          </cell>
          <cell r="D1075">
            <v>1</v>
          </cell>
        </row>
        <row r="1076">
          <cell r="A1076" t="str">
            <v>formatType텍스트</v>
          </cell>
          <cell r="B1076" t="str">
            <v>formatType</v>
          </cell>
          <cell r="C1076" t="str">
            <v>텍스트</v>
          </cell>
          <cell r="D1076">
            <v>2</v>
          </cell>
        </row>
        <row r="1077">
          <cell r="A1077" t="str">
            <v>formatType배</v>
          </cell>
          <cell r="B1077" t="str">
            <v>formatType</v>
          </cell>
          <cell r="C1077" t="str">
            <v>배</v>
          </cell>
          <cell r="D1077">
            <v>3</v>
          </cell>
        </row>
        <row r="1078">
          <cell r="A1078" t="str">
            <v>soundGroupPlayType전곡 순차 재생</v>
          </cell>
          <cell r="B1078" t="str">
            <v>soundGroupPlayType</v>
          </cell>
          <cell r="C1078" t="str">
            <v>전곡 순차 재생</v>
          </cell>
          <cell r="D1078">
            <v>1</v>
          </cell>
        </row>
        <row r="1079">
          <cell r="A1079" t="str">
            <v>soundGroupPlayType전곡 랜덤 재생</v>
          </cell>
          <cell r="B1079" t="str">
            <v>soundGroupPlayType</v>
          </cell>
          <cell r="C1079" t="str">
            <v>전곡 랜덤 재생</v>
          </cell>
          <cell r="D1079">
            <v>2</v>
          </cell>
        </row>
        <row r="1080">
          <cell r="A1080" t="str">
            <v>soundGroupPlayType1곡 랜덤 재생</v>
          </cell>
          <cell r="B1080" t="str">
            <v>soundGroupPlayType</v>
          </cell>
          <cell r="C1080" t="str">
            <v>1곡 랜덤 재생</v>
          </cell>
          <cell r="D1080">
            <v>3</v>
          </cell>
        </row>
        <row r="1081">
          <cell r="A1081" t="str">
            <v>statEffect능력치</v>
          </cell>
          <cell r="B1081" t="str">
            <v>statEffect</v>
          </cell>
          <cell r="C1081" t="str">
            <v>능력치</v>
          </cell>
          <cell r="D1081">
            <v>0</v>
          </cell>
        </row>
        <row r="1082">
          <cell r="A1082" t="str">
            <v>statEffect스킬 효과</v>
          </cell>
          <cell r="B1082" t="str">
            <v>statEffect</v>
          </cell>
          <cell r="C1082" t="str">
            <v>스킬 효과</v>
          </cell>
          <cell r="D1082">
            <v>1</v>
          </cell>
        </row>
        <row r="1083">
          <cell r="A1083" t="str">
            <v>statVisible표시값</v>
          </cell>
          <cell r="B1083" t="str">
            <v>statVisible</v>
          </cell>
          <cell r="C1083" t="str">
            <v>표시값</v>
          </cell>
          <cell r="D1083">
            <v>0</v>
          </cell>
        </row>
        <row r="1084">
          <cell r="A1084" t="str">
            <v>statVisible숨김값</v>
          </cell>
          <cell r="B1084" t="str">
            <v>statVisible</v>
          </cell>
          <cell r="C1084" t="str">
            <v>숨김값</v>
          </cell>
          <cell r="D1084">
            <v>1</v>
          </cell>
        </row>
        <row r="1085">
          <cell r="A1085" t="str">
            <v>statVisible중간값</v>
          </cell>
          <cell r="B1085" t="str">
            <v>statVisible</v>
          </cell>
          <cell r="C1085" t="str">
            <v>중간값</v>
          </cell>
          <cell r="D1085">
            <v>2</v>
          </cell>
        </row>
        <row r="1086">
          <cell r="A1086" t="str">
            <v>ageType없음</v>
          </cell>
          <cell r="B1086" t="str">
            <v>ageType</v>
          </cell>
          <cell r="C1086" t="str">
            <v>없음</v>
          </cell>
          <cell r="D1086">
            <v>0</v>
          </cell>
        </row>
        <row r="1087">
          <cell r="A1087" t="str">
            <v>ageType청년</v>
          </cell>
          <cell r="B1087" t="str">
            <v>ageType</v>
          </cell>
          <cell r="C1087" t="str">
            <v>청년</v>
          </cell>
          <cell r="D1087">
            <v>1</v>
          </cell>
        </row>
        <row r="1088">
          <cell r="A1088" t="str">
            <v>ageType중년</v>
          </cell>
          <cell r="B1088" t="str">
            <v>ageType</v>
          </cell>
          <cell r="C1088" t="str">
            <v>중년</v>
          </cell>
          <cell r="D1088">
            <v>2</v>
          </cell>
        </row>
        <row r="1089">
          <cell r="A1089" t="str">
            <v>ageType노년</v>
          </cell>
          <cell r="B1089" t="str">
            <v>ageType</v>
          </cell>
          <cell r="C1089" t="str">
            <v>노년</v>
          </cell>
          <cell r="D1089">
            <v>3</v>
          </cell>
        </row>
        <row r="1090">
          <cell r="A1090" t="str">
            <v>targetMode공용</v>
          </cell>
          <cell r="B1090" t="str">
            <v>targetMode</v>
          </cell>
          <cell r="C1090" t="str">
            <v>공용</v>
          </cell>
          <cell r="D1090">
            <v>1</v>
          </cell>
        </row>
        <row r="1091">
          <cell r="A1091" t="str">
            <v>targetMode항구</v>
          </cell>
          <cell r="B1091" t="str">
            <v>targetMode</v>
          </cell>
          <cell r="C1091" t="str">
            <v>항구</v>
          </cell>
          <cell r="D1091">
            <v>2</v>
          </cell>
        </row>
        <row r="1092">
          <cell r="A1092" t="str">
            <v>targetMode항해</v>
          </cell>
          <cell r="B1092" t="str">
            <v>targetMode</v>
          </cell>
          <cell r="C1092" t="str">
            <v>항해</v>
          </cell>
          <cell r="D1092">
            <v>3</v>
          </cell>
        </row>
        <row r="1093">
          <cell r="A1093" t="str">
            <v>specialstatTargetType선박 전문 지식</v>
          </cell>
          <cell r="B1093" t="str">
            <v>specialstatTargetType</v>
          </cell>
          <cell r="C1093" t="str">
            <v>선박 전문 지식</v>
          </cell>
          <cell r="D1093">
            <v>0</v>
          </cell>
        </row>
        <row r="1094">
          <cell r="A1094" t="str">
            <v>specialstatTargetType함대 전문 지식</v>
          </cell>
          <cell r="B1094" t="str">
            <v>specialstatTargetType</v>
          </cell>
          <cell r="C1094" t="str">
            <v>함대 전문 지식</v>
          </cell>
          <cell r="D1094">
            <v>1</v>
          </cell>
        </row>
        <row r="1095">
          <cell r="A1095" t="str">
            <v>WorldBuffType버프</v>
          </cell>
          <cell r="B1095" t="str">
            <v>WorldBuffType</v>
          </cell>
          <cell r="C1095" t="str">
            <v>버프</v>
          </cell>
          <cell r="D1095">
            <v>0</v>
          </cell>
        </row>
        <row r="1096">
          <cell r="A1096" t="str">
            <v>WorldBuffType디버프</v>
          </cell>
          <cell r="B1096" t="str">
            <v>WorldBuffType</v>
          </cell>
          <cell r="C1096" t="str">
            <v>디버프</v>
          </cell>
          <cell r="D1096">
            <v>1</v>
          </cell>
        </row>
        <row r="1097">
          <cell r="A1097" t="str">
            <v>WorldBuffType토글</v>
          </cell>
          <cell r="B1097" t="str">
            <v>WorldBuffType</v>
          </cell>
          <cell r="C1097" t="str">
            <v>토글</v>
          </cell>
          <cell r="D1097">
            <v>2</v>
          </cell>
        </row>
        <row r="1098">
          <cell r="A1098" t="str">
            <v>economicBloc유럽권</v>
          </cell>
          <cell r="B1098" t="str">
            <v>economicBloc</v>
          </cell>
          <cell r="C1098" t="str">
            <v>유럽권</v>
          </cell>
          <cell r="D1098">
            <v>0</v>
          </cell>
        </row>
        <row r="1099">
          <cell r="A1099" t="str">
            <v>economicBloc비유럽권</v>
          </cell>
          <cell r="B1099" t="str">
            <v>economicBloc</v>
          </cell>
          <cell r="C1099" t="str">
            <v>비유럽권</v>
          </cell>
          <cell r="D1099">
            <v>1</v>
          </cell>
        </row>
        <row r="1100">
          <cell r="A1100" t="str">
            <v>questFormatType텍스트</v>
          </cell>
          <cell r="B1100" t="str">
            <v>questFormatType</v>
          </cell>
          <cell r="C1100" t="str">
            <v>텍스트</v>
          </cell>
          <cell r="D1100">
            <v>0</v>
          </cell>
        </row>
        <row r="1101">
          <cell r="A1101" t="str">
            <v>questFormatType0번 노드 타겟</v>
          </cell>
          <cell r="B1101" t="str">
            <v>questFormatType</v>
          </cell>
          <cell r="C1101" t="str">
            <v>0번 노드 타겟</v>
          </cell>
          <cell r="D1101">
            <v>1</v>
          </cell>
        </row>
        <row r="1102">
          <cell r="A1102" t="str">
            <v>tradePassiveShowType없음</v>
          </cell>
          <cell r="B1102" t="str">
            <v>tradePassiveShowType</v>
          </cell>
          <cell r="C1102" t="str">
            <v>없음</v>
          </cell>
          <cell r="D1102">
            <v>0</v>
          </cell>
        </row>
        <row r="1103">
          <cell r="A1103" t="str">
            <v>tradePassiveShowType교역소 구매 탭 진입 시</v>
          </cell>
          <cell r="B1103" t="str">
            <v>tradePassiveShowType</v>
          </cell>
          <cell r="C1103" t="str">
            <v>교역소 구매 탭 진입 시</v>
          </cell>
          <cell r="D1103">
            <v>1</v>
          </cell>
        </row>
        <row r="1104">
          <cell r="A1104" t="str">
            <v>tradePassiveShowType교역소 판매 탭 진입 시</v>
          </cell>
          <cell r="B1104" t="str">
            <v>tradePassiveShowType</v>
          </cell>
          <cell r="C1104" t="str">
            <v>교역소 판매 탭 진입 시</v>
          </cell>
          <cell r="D1104">
            <v>2</v>
          </cell>
        </row>
        <row r="1105">
          <cell r="A1105" t="str">
            <v>tradePassiveShowType교역소 물물 교환 탭 진입 시</v>
          </cell>
          <cell r="B1105" t="str">
            <v>tradePassiveShowType</v>
          </cell>
          <cell r="C1105" t="str">
            <v>교역소 물물 교환 탭 진입 시</v>
          </cell>
          <cell r="D1105">
            <v>3</v>
          </cell>
        </row>
        <row r="1106">
          <cell r="A1106" t="str">
            <v>tradePassiveShowType교역소 가격 협상 발생 시</v>
          </cell>
          <cell r="B1106" t="str">
            <v>tradePassiveShowType</v>
          </cell>
          <cell r="C1106" t="str">
            <v>교역소 가격 협상 발생 시</v>
          </cell>
          <cell r="D1106">
            <v>4</v>
          </cell>
        </row>
        <row r="1107">
          <cell r="A1107" t="str">
            <v>tradePassiveShowType교역소 가격 협상 성공 시</v>
          </cell>
          <cell r="B1107" t="str">
            <v>tradePassiveShowType</v>
          </cell>
          <cell r="C1107" t="str">
            <v>교역소 가격 협상 성공 시</v>
          </cell>
          <cell r="D1107">
            <v>5</v>
          </cell>
        </row>
        <row r="1108">
          <cell r="A1108" t="str">
            <v>tradePassiveShowType공관 상업 투자 시</v>
          </cell>
          <cell r="B1108" t="str">
            <v>tradePassiveShowType</v>
          </cell>
          <cell r="C1108" t="str">
            <v>공관 상업 투자 시</v>
          </cell>
          <cell r="D1108">
            <v>6</v>
          </cell>
        </row>
        <row r="1109">
          <cell r="A1109" t="str">
            <v>tradePassiveShowType월드맵 진입 시</v>
          </cell>
          <cell r="B1109" t="str">
            <v>tradePassiveShowType</v>
          </cell>
          <cell r="C1109" t="str">
            <v>월드맵 진입 시</v>
          </cell>
          <cell r="D1109">
            <v>7</v>
          </cell>
        </row>
        <row r="1110">
          <cell r="A1110" t="str">
            <v>questRewardType고정</v>
          </cell>
          <cell r="B1110" t="str">
            <v>questRewardType</v>
          </cell>
          <cell r="C1110" t="str">
            <v>고정</v>
          </cell>
          <cell r="D1110">
            <v>0</v>
          </cell>
        </row>
        <row r="1111">
          <cell r="A1111" t="str">
            <v>questRewardType가변</v>
          </cell>
          <cell r="B1111" t="str">
            <v>questRewardType</v>
          </cell>
          <cell r="C1111" t="str">
            <v>가변</v>
          </cell>
          <cell r="D1111">
            <v>1</v>
          </cell>
        </row>
        <row r="1112">
          <cell r="A1112" t="str">
            <v>mateSearchingTarget선단</v>
          </cell>
          <cell r="B1112" t="str">
            <v>mateSearchingTarget</v>
          </cell>
          <cell r="C1112" t="str">
            <v>선단</v>
          </cell>
          <cell r="D1112">
            <v>0</v>
          </cell>
        </row>
        <row r="1113">
          <cell r="A1113" t="str">
            <v>mateSearchingTarget함대</v>
          </cell>
          <cell r="B1113" t="str">
            <v>mateSearchingTarget</v>
          </cell>
          <cell r="C1113" t="str">
            <v>함대</v>
          </cell>
          <cell r="D1113">
            <v>1</v>
          </cell>
        </row>
        <row r="1114">
          <cell r="A1114" t="str">
            <v>mateSearchingTarget기함</v>
          </cell>
          <cell r="B1114" t="str">
            <v>mateSearchingTarget</v>
          </cell>
          <cell r="C1114" t="str">
            <v>기함</v>
          </cell>
          <cell r="D1114">
            <v>2</v>
          </cell>
        </row>
        <row r="1115">
          <cell r="A1115" t="str">
            <v>mateSearchingTarget선박</v>
          </cell>
          <cell r="B1115" t="str">
            <v>mateSearchingTarget</v>
          </cell>
          <cell r="C1115" t="str">
            <v>선박</v>
          </cell>
          <cell r="D1115">
            <v>3</v>
          </cell>
        </row>
        <row r="1116">
          <cell r="A1116" t="str">
            <v>mateSearchingTarget지정 항해사</v>
          </cell>
          <cell r="B1116" t="str">
            <v>mateSearchingTarget</v>
          </cell>
          <cell r="C1116" t="str">
            <v>지정 항해사</v>
          </cell>
          <cell r="D1116">
            <v>4</v>
          </cell>
        </row>
        <row r="1117">
          <cell r="A1117" t="str">
            <v>mateSearchingTarget선원 고정</v>
          </cell>
          <cell r="B1117" t="str">
            <v>mateSearchingTarget</v>
          </cell>
          <cell r="C1117" t="str">
            <v>선원 고정</v>
          </cell>
          <cell r="D1117">
            <v>5</v>
          </cell>
        </row>
        <row r="1118">
          <cell r="A1118" t="str">
            <v>achievementType업적</v>
          </cell>
          <cell r="B1118" t="str">
            <v>achievementType</v>
          </cell>
          <cell r="C1118" t="str">
            <v>업적</v>
          </cell>
          <cell r="D1118">
            <v>0</v>
          </cell>
        </row>
        <row r="1119">
          <cell r="A1119" t="str">
            <v>achievementType발견물 도감</v>
          </cell>
          <cell r="B1119" t="str">
            <v>achievementType</v>
          </cell>
          <cell r="C1119" t="str">
            <v>발견물 도감</v>
          </cell>
          <cell r="D1119">
            <v>1</v>
          </cell>
        </row>
        <row r="1120">
          <cell r="A1120" t="str">
            <v>achievementType장비 도감</v>
          </cell>
          <cell r="B1120" t="str">
            <v>achievementType</v>
          </cell>
          <cell r="C1120" t="str">
            <v>장비 도감</v>
          </cell>
          <cell r="D1120">
            <v>2</v>
          </cell>
        </row>
        <row r="1121">
          <cell r="A1121" t="str">
            <v>achievementType연대기 도감</v>
          </cell>
          <cell r="B1121" t="str">
            <v>achievementType</v>
          </cell>
          <cell r="C1121" t="str">
            <v>연대기 도감</v>
          </cell>
          <cell r="D1121">
            <v>3</v>
          </cell>
        </row>
        <row r="1122">
          <cell r="A1122" t="str">
            <v>doodadWbpBType없음</v>
          </cell>
          <cell r="B1122" t="str">
            <v>doodadWbpBType</v>
          </cell>
          <cell r="C1122" t="str">
            <v>없음</v>
          </cell>
          <cell r="D1122">
            <v>0</v>
          </cell>
        </row>
        <row r="1123">
          <cell r="A1123" t="str">
            <v>doodadWbpBType표류자</v>
          </cell>
          <cell r="B1123" t="str">
            <v>doodadWbpBType</v>
          </cell>
          <cell r="C1123" t="str">
            <v>표류자</v>
          </cell>
          <cell r="D1123">
            <v>1</v>
          </cell>
        </row>
        <row r="1124">
          <cell r="A1124" t="str">
            <v>doodadWbpBType자재</v>
          </cell>
          <cell r="B1124" t="str">
            <v>doodadWbpBType</v>
          </cell>
          <cell r="C1124" t="str">
            <v>자재</v>
          </cell>
          <cell r="D1124">
            <v>2</v>
          </cell>
        </row>
        <row r="1125">
          <cell r="A1125" t="str">
            <v>doodadWbpBType편지병</v>
          </cell>
          <cell r="B1125" t="str">
            <v>doodadWbpBType</v>
          </cell>
          <cell r="C1125" t="str">
            <v>편지병</v>
          </cell>
          <cell r="D1125">
            <v>3</v>
          </cell>
        </row>
        <row r="1126">
          <cell r="A1126" t="str">
            <v>doodadWbpBType오크통</v>
          </cell>
          <cell r="B1126" t="str">
            <v>doodadWbpBType</v>
          </cell>
          <cell r="C1126" t="str">
            <v>오크통</v>
          </cell>
          <cell r="D1126">
            <v>4</v>
          </cell>
        </row>
        <row r="1127">
          <cell r="A1127" t="str">
            <v>doodadWbpBType보물상자</v>
          </cell>
          <cell r="B1127" t="str">
            <v>doodadWbpBType</v>
          </cell>
          <cell r="C1127" t="str">
            <v>보물상자</v>
          </cell>
          <cell r="D1127">
            <v>5</v>
          </cell>
        </row>
        <row r="1128">
          <cell r="A1128" t="str">
            <v>doodadWbpBType돌고래</v>
          </cell>
          <cell r="B1128" t="str">
            <v>doodadWbpBType</v>
          </cell>
          <cell r="C1128" t="str">
            <v>돌고래</v>
          </cell>
          <cell r="D1128">
            <v>6</v>
          </cell>
        </row>
        <row r="1129">
          <cell r="A1129" t="str">
            <v>doodadWbpBType날치</v>
          </cell>
          <cell r="B1129" t="str">
            <v>doodadWbpBType</v>
          </cell>
          <cell r="C1129" t="str">
            <v>날치</v>
          </cell>
          <cell r="D1129">
            <v>7</v>
          </cell>
        </row>
        <row r="1130">
          <cell r="A1130" t="str">
            <v>doodadWbpBType갈매기</v>
          </cell>
          <cell r="B1130" t="str">
            <v>doodadWbpBType</v>
          </cell>
          <cell r="C1130" t="str">
            <v>갈매기</v>
          </cell>
          <cell r="D1130">
            <v>8</v>
          </cell>
        </row>
        <row r="1131">
          <cell r="A1131" t="str">
            <v>doodadWbpBType새치</v>
          </cell>
          <cell r="B1131" t="str">
            <v>doodadWbpBType</v>
          </cell>
          <cell r="C1131" t="str">
            <v>새치</v>
          </cell>
          <cell r="D1131">
            <v>9</v>
          </cell>
        </row>
        <row r="1132">
          <cell r="A1132" t="str">
            <v>doodadWbpBType유령선</v>
          </cell>
          <cell r="B1132" t="str">
            <v>doodadWbpBType</v>
          </cell>
          <cell r="C1132" t="str">
            <v>유령선</v>
          </cell>
          <cell r="D1132">
            <v>10</v>
          </cell>
        </row>
        <row r="1133">
          <cell r="A1133" t="str">
            <v>doodadWbpBType고래</v>
          </cell>
          <cell r="B1133" t="str">
            <v>doodadWbpBType</v>
          </cell>
          <cell r="C1133" t="str">
            <v>고래</v>
          </cell>
          <cell r="D1133">
            <v>11</v>
          </cell>
        </row>
        <row r="1134">
          <cell r="A1134" t="str">
            <v>doodadWbpBType별자리</v>
          </cell>
          <cell r="B1134" t="str">
            <v>doodadWbpBType</v>
          </cell>
          <cell r="C1134" t="str">
            <v>별자리</v>
          </cell>
          <cell r="D1134">
            <v>12</v>
          </cell>
        </row>
        <row r="1135">
          <cell r="A1135" t="str">
            <v>doodadWbpBType추가예정0</v>
          </cell>
          <cell r="B1135" t="str">
            <v>doodadWbpBType</v>
          </cell>
          <cell r="C1135" t="str">
            <v>추가예정0</v>
          </cell>
          <cell r="D1135">
            <v>13</v>
          </cell>
        </row>
        <row r="1136">
          <cell r="A1136" t="str">
            <v>doodadWbpBType추가예정1</v>
          </cell>
          <cell r="B1136" t="str">
            <v>doodadWbpBType</v>
          </cell>
          <cell r="C1136" t="str">
            <v>추가예정1</v>
          </cell>
          <cell r="D1136">
            <v>14</v>
          </cell>
        </row>
        <row r="1137">
          <cell r="A1137" t="str">
            <v>doodadWbpBType추가예정2</v>
          </cell>
          <cell r="B1137" t="str">
            <v>doodadWbpBType</v>
          </cell>
          <cell r="C1137" t="str">
            <v>추가예정2</v>
          </cell>
          <cell r="D1137">
            <v>15</v>
          </cell>
        </row>
        <row r="1138">
          <cell r="A1138" t="str">
            <v>doodadWbpBType추가예정3</v>
          </cell>
          <cell r="B1138" t="str">
            <v>doodadWbpBType</v>
          </cell>
          <cell r="C1138" t="str">
            <v>추가예정3</v>
          </cell>
          <cell r="D1138">
            <v>16</v>
          </cell>
        </row>
        <row r="1139">
          <cell r="A1139" t="str">
            <v>doodadWbpBType추가예정4</v>
          </cell>
          <cell r="B1139" t="str">
            <v>doodadWbpBType</v>
          </cell>
          <cell r="C1139" t="str">
            <v>추가예정4</v>
          </cell>
          <cell r="D1139">
            <v>17</v>
          </cell>
        </row>
        <row r="1140">
          <cell r="A1140" t="str">
            <v>doodadWbpBType추가예정5</v>
          </cell>
          <cell r="B1140" t="str">
            <v>doodadWbpBType</v>
          </cell>
          <cell r="C1140" t="str">
            <v>추가예정5</v>
          </cell>
          <cell r="D1140">
            <v>18</v>
          </cell>
        </row>
        <row r="1141">
          <cell r="A1141" t="str">
            <v>doodadWbpBType토벌</v>
          </cell>
          <cell r="B1141" t="str">
            <v>doodadWbpBType</v>
          </cell>
          <cell r="C1141" t="str">
            <v>토벌</v>
          </cell>
          <cell r="D1141">
            <v>19</v>
          </cell>
        </row>
        <row r="1142">
          <cell r="A1142" t="str">
            <v>gameModeType공통</v>
          </cell>
          <cell r="B1142" t="str">
            <v>gameModeType</v>
          </cell>
          <cell r="C1142" t="str">
            <v>공통</v>
          </cell>
          <cell r="D1142">
            <v>1</v>
          </cell>
        </row>
        <row r="1143">
          <cell r="A1143" t="str">
            <v>gameModeType바다</v>
          </cell>
          <cell r="B1143" t="str">
            <v>gameModeType</v>
          </cell>
          <cell r="C1143" t="str">
            <v>바다</v>
          </cell>
          <cell r="D1143">
            <v>2</v>
          </cell>
        </row>
        <row r="1144">
          <cell r="A1144" t="str">
            <v>gameModeType항구</v>
          </cell>
          <cell r="B1144" t="str">
            <v>gameModeType</v>
          </cell>
          <cell r="C1144" t="str">
            <v>항구</v>
          </cell>
          <cell r="D1144">
            <v>3</v>
          </cell>
        </row>
        <row r="1145">
          <cell r="A1145" t="str">
            <v>gameModeType전투</v>
          </cell>
          <cell r="B1145" t="str">
            <v>gameModeType</v>
          </cell>
          <cell r="C1145" t="str">
            <v>전투</v>
          </cell>
          <cell r="D1145">
            <v>4</v>
          </cell>
        </row>
        <row r="1146">
          <cell r="A1146" t="str">
            <v>gameModeType탐험</v>
          </cell>
          <cell r="B1146" t="str">
            <v>gameModeType</v>
          </cell>
          <cell r="C1146" t="str">
            <v>탐험</v>
          </cell>
          <cell r="D1146">
            <v>5</v>
          </cell>
        </row>
        <row r="1147">
          <cell r="A1147" t="str">
            <v>gameModeType미니게임</v>
          </cell>
          <cell r="B1147" t="str">
            <v>gameModeType</v>
          </cell>
          <cell r="C1147" t="str">
            <v>미니게임</v>
          </cell>
          <cell r="D1147">
            <v>6</v>
          </cell>
        </row>
        <row r="1148">
          <cell r="A1148" t="str">
            <v>discoveryGrade없음</v>
          </cell>
          <cell r="B1148" t="str">
            <v>discoveryGrade</v>
          </cell>
          <cell r="C1148" t="str">
            <v>없음</v>
          </cell>
          <cell r="D1148">
            <v>0</v>
          </cell>
        </row>
        <row r="1149">
          <cell r="A1149" t="str">
            <v>discoveryGradeD</v>
          </cell>
          <cell r="B1149" t="str">
            <v>discoveryGrade</v>
          </cell>
          <cell r="C1149" t="str">
            <v>D</v>
          </cell>
          <cell r="D1149">
            <v>1</v>
          </cell>
        </row>
        <row r="1150">
          <cell r="A1150" t="str">
            <v>discoveryGradeC</v>
          </cell>
          <cell r="B1150" t="str">
            <v>discoveryGrade</v>
          </cell>
          <cell r="C1150" t="str">
            <v>C</v>
          </cell>
          <cell r="D1150">
            <v>2</v>
          </cell>
        </row>
        <row r="1151">
          <cell r="A1151" t="str">
            <v>discoveryGradeB</v>
          </cell>
          <cell r="B1151" t="str">
            <v>discoveryGrade</v>
          </cell>
          <cell r="C1151" t="str">
            <v>B</v>
          </cell>
          <cell r="D1151">
            <v>3</v>
          </cell>
        </row>
        <row r="1152">
          <cell r="A1152" t="str">
            <v>discoveryGradeA</v>
          </cell>
          <cell r="B1152" t="str">
            <v>discoveryGrade</v>
          </cell>
          <cell r="C1152" t="str">
            <v>A</v>
          </cell>
          <cell r="D1152">
            <v>4</v>
          </cell>
        </row>
        <row r="1153">
          <cell r="A1153" t="str">
            <v>discoveryGradeS</v>
          </cell>
          <cell r="B1153" t="str">
            <v>discoveryGrade</v>
          </cell>
          <cell r="C1153" t="str">
            <v>S</v>
          </cell>
          <cell r="D1153">
            <v>5</v>
          </cell>
        </row>
        <row r="1154">
          <cell r="A1154" t="str">
            <v>kickSituationType도시 입장</v>
          </cell>
          <cell r="B1154" t="str">
            <v>kickSituationType</v>
          </cell>
          <cell r="C1154" t="str">
            <v>도시 입장</v>
          </cell>
          <cell r="D1154">
            <v>1</v>
          </cell>
        </row>
        <row r="1155">
          <cell r="A1155" t="str">
            <v>kickSituationType건물 입장</v>
          </cell>
          <cell r="B1155" t="str">
            <v>kickSituationType</v>
          </cell>
          <cell r="C1155" t="str">
            <v>건물 입장</v>
          </cell>
          <cell r="D1155">
            <v>2</v>
          </cell>
        </row>
        <row r="1156">
          <cell r="A1156" t="str">
            <v>kickResultType협상</v>
          </cell>
          <cell r="B1156" t="str">
            <v>kickResultType</v>
          </cell>
          <cell r="C1156" t="str">
            <v>협상</v>
          </cell>
          <cell r="D1156">
            <v>1</v>
          </cell>
        </row>
        <row r="1157">
          <cell r="A1157" t="str">
            <v>kickResultType킥</v>
          </cell>
          <cell r="B1157" t="str">
            <v>kickResultType</v>
          </cell>
          <cell r="C1157" t="str">
            <v>킥</v>
          </cell>
          <cell r="D1157">
            <v>2</v>
          </cell>
        </row>
        <row r="1158">
          <cell r="A1158" t="str">
            <v>productCategory재화</v>
          </cell>
          <cell r="B1158" t="str">
            <v>productCategory</v>
          </cell>
          <cell r="C1158" t="str">
            <v>재화</v>
          </cell>
          <cell r="D1158">
            <v>1</v>
          </cell>
        </row>
        <row r="1159">
          <cell r="A1159" t="str">
            <v>productCategory추천</v>
          </cell>
          <cell r="B1159" t="str">
            <v>productCategory</v>
          </cell>
          <cell r="C1159" t="str">
            <v>추천</v>
          </cell>
          <cell r="D1159">
            <v>2</v>
          </cell>
        </row>
        <row r="1160">
          <cell r="A1160" t="str">
            <v>productCategory상품</v>
          </cell>
          <cell r="B1160" t="str">
            <v>productCategory</v>
          </cell>
          <cell r="C1160" t="str">
            <v>상품</v>
          </cell>
          <cell r="D1160">
            <v>3</v>
          </cell>
        </row>
        <row r="1161">
          <cell r="A1161" t="str">
            <v>productCategory일일 한정</v>
          </cell>
          <cell r="B1161" t="str">
            <v>productCategory</v>
          </cell>
          <cell r="C1161" t="str">
            <v>일일 한정</v>
          </cell>
          <cell r="D1161">
            <v>4</v>
          </cell>
        </row>
        <row r="1162">
          <cell r="A1162" t="str">
            <v>productCategory기능</v>
          </cell>
          <cell r="B1162" t="str">
            <v>productCategory</v>
          </cell>
          <cell r="C1162" t="str">
            <v>기능</v>
          </cell>
          <cell r="D1162">
            <v>5</v>
          </cell>
        </row>
        <row r="1163">
          <cell r="A1163" t="str">
            <v>productCategory상자</v>
          </cell>
          <cell r="B1163" t="str">
            <v>productCategory</v>
          </cell>
          <cell r="C1163" t="str">
            <v>상자</v>
          </cell>
          <cell r="D1163">
            <v>6</v>
          </cell>
        </row>
        <row r="1164">
          <cell r="A1164" t="str">
            <v>productCategory회고록</v>
          </cell>
          <cell r="B1164" t="str">
            <v>productCategory</v>
          </cell>
          <cell r="C1164" t="str">
            <v>회고록</v>
          </cell>
          <cell r="D1164">
            <v>7</v>
          </cell>
        </row>
        <row r="1165">
          <cell r="A1165" t="str">
            <v>productCategory교환소</v>
          </cell>
          <cell r="B1165" t="str">
            <v>productCategory</v>
          </cell>
          <cell r="C1165" t="str">
            <v>교환소</v>
          </cell>
          <cell r="D1165">
            <v>8</v>
          </cell>
        </row>
        <row r="1166">
          <cell r="A1166" t="str">
            <v>productCategoryBGM</v>
          </cell>
          <cell r="B1166" t="str">
            <v>productCategory</v>
          </cell>
          <cell r="C1166" t="str">
            <v>BGM</v>
          </cell>
          <cell r="D1166">
            <v>9</v>
          </cell>
        </row>
        <row r="1167">
          <cell r="A1167" t="str">
            <v>productCategory특권</v>
          </cell>
          <cell r="B1167" t="str">
            <v>productCategory</v>
          </cell>
          <cell r="C1167" t="str">
            <v>특권</v>
          </cell>
          <cell r="D1167">
            <v>10</v>
          </cell>
        </row>
        <row r="1168">
          <cell r="A1168" t="str">
            <v>saleType무제한</v>
          </cell>
          <cell r="B1168" t="str">
            <v>saleType</v>
          </cell>
          <cell r="C1168" t="str">
            <v>무제한</v>
          </cell>
          <cell r="D1168">
            <v>1</v>
          </cell>
        </row>
        <row r="1169">
          <cell r="A1169" t="str">
            <v>saleType일N회</v>
          </cell>
          <cell r="B1169" t="str">
            <v>saleType</v>
          </cell>
          <cell r="C1169" t="str">
            <v>일N회</v>
          </cell>
          <cell r="D1169">
            <v>2</v>
          </cell>
        </row>
        <row r="1170">
          <cell r="A1170" t="str">
            <v>saleType주N회</v>
          </cell>
          <cell r="B1170" t="str">
            <v>saleType</v>
          </cell>
          <cell r="C1170" t="str">
            <v>주N회</v>
          </cell>
          <cell r="D1170">
            <v>3</v>
          </cell>
        </row>
        <row r="1171">
          <cell r="A1171" t="str">
            <v>saleType월N회</v>
          </cell>
          <cell r="B1171" t="str">
            <v>saleType</v>
          </cell>
          <cell r="C1171" t="str">
            <v>월N회</v>
          </cell>
          <cell r="D1171">
            <v>4</v>
          </cell>
        </row>
        <row r="1172">
          <cell r="A1172" t="str">
            <v>saleType최초N회</v>
          </cell>
          <cell r="B1172" t="str">
            <v>saleType</v>
          </cell>
          <cell r="C1172" t="str">
            <v>최초N회</v>
          </cell>
          <cell r="D1172">
            <v>5</v>
          </cell>
        </row>
        <row r="1173">
          <cell r="A1173" t="str">
            <v>salePointTypePoint</v>
          </cell>
          <cell r="B1173" t="str">
            <v>salePointType</v>
          </cell>
          <cell r="C1173" t="str">
            <v>Point</v>
          </cell>
          <cell r="D1173">
            <v>1</v>
          </cell>
        </row>
        <row r="1174">
          <cell r="A1174" t="str">
            <v>salePointTypeCash</v>
          </cell>
          <cell r="B1174" t="str">
            <v>salePointType</v>
          </cell>
          <cell r="C1174" t="str">
            <v>Cash</v>
          </cell>
          <cell r="D1174">
            <v>2</v>
          </cell>
        </row>
        <row r="1175">
          <cell r="A1175" t="str">
            <v>salePointType무료</v>
          </cell>
          <cell r="B1175" t="str">
            <v>salePointType</v>
          </cell>
          <cell r="C1175" t="str">
            <v>무료</v>
          </cell>
          <cell r="D1175">
            <v>3</v>
          </cell>
        </row>
        <row r="1176">
          <cell r="A1176" t="str">
            <v>productBadge신규</v>
          </cell>
          <cell r="B1176" t="str">
            <v>productBadge</v>
          </cell>
          <cell r="C1176" t="str">
            <v>신규</v>
          </cell>
          <cell r="D1176">
            <v>1</v>
          </cell>
        </row>
        <row r="1177">
          <cell r="A1177" t="str">
            <v>productBadge이벤트</v>
          </cell>
          <cell r="B1177" t="str">
            <v>productBadge</v>
          </cell>
          <cell r="C1177" t="str">
            <v>이벤트</v>
          </cell>
          <cell r="D1177">
            <v>2</v>
          </cell>
        </row>
        <row r="1178">
          <cell r="A1178" t="str">
            <v>productSize소형</v>
          </cell>
          <cell r="B1178" t="str">
            <v>productSize</v>
          </cell>
          <cell r="C1178" t="str">
            <v>소형</v>
          </cell>
          <cell r="D1178">
            <v>1</v>
          </cell>
        </row>
        <row r="1179">
          <cell r="A1179" t="str">
            <v>productSize대형</v>
          </cell>
          <cell r="B1179" t="str">
            <v>productSize</v>
          </cell>
          <cell r="C1179" t="str">
            <v>대형</v>
          </cell>
          <cell r="D1179">
            <v>2</v>
          </cell>
        </row>
        <row r="1180">
          <cell r="A1180" t="str">
            <v>productTypeReward</v>
          </cell>
          <cell r="B1180" t="str">
            <v>productType</v>
          </cell>
          <cell r="C1180" t="str">
            <v>Reward</v>
          </cell>
          <cell r="D1180">
            <v>1</v>
          </cell>
        </row>
        <row r="1181">
          <cell r="A1181" t="str">
            <v>productTypeBuff</v>
          </cell>
          <cell r="B1181" t="str">
            <v>productType</v>
          </cell>
          <cell r="C1181" t="str">
            <v>Buff</v>
          </cell>
          <cell r="D1181">
            <v>2</v>
          </cell>
        </row>
        <row r="1182">
          <cell r="A1182" t="str">
            <v>productTypeTaxFreePermit</v>
          </cell>
          <cell r="B1182" t="str">
            <v>productType</v>
          </cell>
          <cell r="C1182" t="str">
            <v>TaxFreePermit</v>
          </cell>
          <cell r="D1182">
            <v>3</v>
          </cell>
        </row>
        <row r="1183">
          <cell r="A1183" t="str">
            <v>productTypeBox</v>
          </cell>
          <cell r="B1183" t="str">
            <v>productType</v>
          </cell>
          <cell r="C1183" t="str">
            <v>Box</v>
          </cell>
          <cell r="D1183">
            <v>4</v>
          </cell>
        </row>
        <row r="1184">
          <cell r="A1184" t="str">
            <v>productTypeQuestPass</v>
          </cell>
          <cell r="B1184" t="str">
            <v>productType</v>
          </cell>
          <cell r="C1184" t="str">
            <v>QuestPass</v>
          </cell>
          <cell r="D1184">
            <v>5</v>
          </cell>
        </row>
        <row r="1185">
          <cell r="A1185" t="str">
            <v>productTypeBGM</v>
          </cell>
          <cell r="B1185" t="str">
            <v>productType</v>
          </cell>
          <cell r="C1185" t="str">
            <v>BGM</v>
          </cell>
          <cell r="D1185">
            <v>6</v>
          </cell>
        </row>
        <row r="1186">
          <cell r="A1186" t="str">
            <v>productTypeEventPage</v>
          </cell>
          <cell r="B1186" t="str">
            <v>productType</v>
          </cell>
          <cell r="C1186" t="str">
            <v>EventPage</v>
          </cell>
          <cell r="D1186">
            <v>8</v>
          </cell>
        </row>
        <row r="1187">
          <cell r="A1187" t="str">
            <v>discoveryMissionGradeD급</v>
          </cell>
          <cell r="B1187" t="str">
            <v>discoveryMissionGrade</v>
          </cell>
          <cell r="C1187" t="str">
            <v>D급</v>
          </cell>
          <cell r="D1187">
            <v>1</v>
          </cell>
        </row>
        <row r="1188">
          <cell r="A1188" t="str">
            <v>discoveryMissionGradeC급</v>
          </cell>
          <cell r="B1188" t="str">
            <v>discoveryMissionGrade</v>
          </cell>
          <cell r="C1188" t="str">
            <v>C급</v>
          </cell>
          <cell r="D1188">
            <v>2</v>
          </cell>
        </row>
        <row r="1189">
          <cell r="A1189" t="str">
            <v>discoveryMissionGradeB급</v>
          </cell>
          <cell r="B1189" t="str">
            <v>discoveryMissionGrade</v>
          </cell>
          <cell r="C1189" t="str">
            <v>B급</v>
          </cell>
          <cell r="D1189">
            <v>3</v>
          </cell>
        </row>
        <row r="1190">
          <cell r="A1190" t="str">
            <v>discoveryMissionGradeA급</v>
          </cell>
          <cell r="B1190" t="str">
            <v>discoveryMissionGrade</v>
          </cell>
          <cell r="C1190" t="str">
            <v>A급</v>
          </cell>
          <cell r="D1190">
            <v>4</v>
          </cell>
        </row>
        <row r="1191">
          <cell r="A1191" t="str">
            <v>discoveryMissionGradeS급</v>
          </cell>
          <cell r="B1191" t="str">
            <v>discoveryMissionGrade</v>
          </cell>
          <cell r="C1191" t="str">
            <v>S급</v>
          </cell>
          <cell r="D1191">
            <v>5</v>
          </cell>
        </row>
        <row r="1192">
          <cell r="A1192" t="str">
            <v>bonusIcon항해사</v>
          </cell>
          <cell r="B1192" t="str">
            <v>bonusIcon</v>
          </cell>
          <cell r="C1192" t="str">
            <v>항해사</v>
          </cell>
          <cell r="D1192">
            <v>1</v>
          </cell>
        </row>
        <row r="1193">
          <cell r="A1193" t="str">
            <v>bonusIcon선박</v>
          </cell>
          <cell r="B1193" t="str">
            <v>bonusIcon</v>
          </cell>
          <cell r="C1193" t="str">
            <v>선박</v>
          </cell>
          <cell r="D1193">
            <v>2</v>
          </cell>
        </row>
        <row r="1194">
          <cell r="A1194" t="str">
            <v>bonusIcon장비</v>
          </cell>
          <cell r="B1194" t="str">
            <v>bonusIcon</v>
          </cell>
          <cell r="C1194" t="str">
            <v>장비</v>
          </cell>
          <cell r="D1194">
            <v>3</v>
          </cell>
        </row>
        <row r="1195">
          <cell r="A1195" t="str">
            <v>bonusIcon도구</v>
          </cell>
          <cell r="B1195" t="str">
            <v>bonusIcon</v>
          </cell>
          <cell r="C1195" t="str">
            <v>도구</v>
          </cell>
          <cell r="D1195">
            <v>4</v>
          </cell>
        </row>
        <row r="1196">
          <cell r="A1196" t="str">
            <v>soundPackType기본</v>
          </cell>
          <cell r="B1196" t="str">
            <v>soundPackType</v>
          </cell>
          <cell r="C1196" t="str">
            <v>기본</v>
          </cell>
          <cell r="D1196">
            <v>1</v>
          </cell>
        </row>
        <row r="1197">
          <cell r="A1197" t="str">
            <v>soundPackType추가</v>
          </cell>
          <cell r="B1197" t="str">
            <v>soundPackType</v>
          </cell>
          <cell r="C1197" t="str">
            <v>추가</v>
          </cell>
          <cell r="D1197">
            <v>2</v>
          </cell>
        </row>
        <row r="1198">
          <cell r="A1198" t="str">
            <v>soundPackType이벤트</v>
          </cell>
          <cell r="B1198" t="str">
            <v>soundPackType</v>
          </cell>
          <cell r="C1198" t="str">
            <v>이벤트</v>
          </cell>
          <cell r="D1198">
            <v>3</v>
          </cell>
        </row>
        <row r="1199">
          <cell r="A1199" t="str">
            <v>soundManagementType배경음</v>
          </cell>
          <cell r="B1199" t="str">
            <v>soundManagementType</v>
          </cell>
          <cell r="C1199" t="str">
            <v>배경음</v>
          </cell>
          <cell r="D1199">
            <v>1</v>
          </cell>
        </row>
        <row r="1200">
          <cell r="A1200" t="str">
            <v>soundManagementType효과음</v>
          </cell>
          <cell r="B1200" t="str">
            <v>soundManagementType</v>
          </cell>
          <cell r="C1200" t="str">
            <v>효과음</v>
          </cell>
          <cell r="D1200">
            <v>2</v>
          </cell>
        </row>
        <row r="1201">
          <cell r="A1201" t="str">
            <v>discoveryRanking노랭크</v>
          </cell>
          <cell r="B1201" t="str">
            <v>discoveryRanking</v>
          </cell>
          <cell r="C1201" t="str">
            <v>노랭크</v>
          </cell>
          <cell r="D1201">
            <v>1</v>
          </cell>
        </row>
        <row r="1202">
          <cell r="A1202" t="str">
            <v>discoveryRanking브론즈</v>
          </cell>
          <cell r="B1202" t="str">
            <v>discoveryRanking</v>
          </cell>
          <cell r="C1202" t="str">
            <v>브론즈</v>
          </cell>
          <cell r="D1202">
            <v>2</v>
          </cell>
        </row>
        <row r="1203">
          <cell r="A1203" t="str">
            <v>discoveryRanking실버</v>
          </cell>
          <cell r="B1203" t="str">
            <v>discoveryRanking</v>
          </cell>
          <cell r="C1203" t="str">
            <v>실버</v>
          </cell>
          <cell r="D1203">
            <v>3</v>
          </cell>
        </row>
        <row r="1204">
          <cell r="A1204" t="str">
            <v>discoveryRanking골드</v>
          </cell>
          <cell r="B1204" t="str">
            <v>discoveryRanking</v>
          </cell>
          <cell r="C1204" t="str">
            <v>골드</v>
          </cell>
          <cell r="D1204">
            <v>4</v>
          </cell>
        </row>
        <row r="1205">
          <cell r="A1205" t="str">
            <v>discoveryRanking플래티넘</v>
          </cell>
          <cell r="B1205" t="str">
            <v>discoveryRanking</v>
          </cell>
          <cell r="C1205" t="str">
            <v>플래티넘</v>
          </cell>
          <cell r="D1205">
            <v>5</v>
          </cell>
        </row>
        <row r="1206">
          <cell r="A1206" t="str">
            <v>discoveryRanking다이아몬드</v>
          </cell>
          <cell r="B1206" t="str">
            <v>discoveryRanking</v>
          </cell>
          <cell r="C1206" t="str">
            <v>다이아몬드</v>
          </cell>
          <cell r="D1206">
            <v>6</v>
          </cell>
        </row>
        <row r="1207">
          <cell r="A1207" t="str">
            <v>discoveryRanking레전드</v>
          </cell>
          <cell r="B1207" t="str">
            <v>discoveryRanking</v>
          </cell>
          <cell r="C1207" t="str">
            <v>레전드</v>
          </cell>
          <cell r="D1207">
            <v>7</v>
          </cell>
        </row>
        <row r="1208">
          <cell r="A1208" t="str">
            <v>OceanTile선단 레벨</v>
          </cell>
          <cell r="B1208" t="str">
            <v>OceanTile</v>
          </cell>
          <cell r="C1208" t="str">
            <v>선단 레벨</v>
          </cell>
          <cell r="D1208">
            <v>1</v>
          </cell>
        </row>
        <row r="1209">
          <cell r="A1209" t="str">
            <v>OceanTile얼음 지형</v>
          </cell>
          <cell r="B1209" t="str">
            <v>OceanTile</v>
          </cell>
          <cell r="C1209" t="str">
            <v>얼음 지형</v>
          </cell>
          <cell r="D1209">
            <v>2</v>
          </cell>
        </row>
        <row r="1210">
          <cell r="A1210" t="str">
            <v>OceanTile선박 크기</v>
          </cell>
          <cell r="B1210" t="str">
            <v>OceanTile</v>
          </cell>
          <cell r="C1210" t="str">
            <v>선박 크기</v>
          </cell>
          <cell r="D1210">
            <v>3</v>
          </cell>
        </row>
        <row r="1211">
          <cell r="A1211" t="str">
            <v>OceanTile내파 지형</v>
          </cell>
          <cell r="B1211" t="str">
            <v>OceanTile</v>
          </cell>
          <cell r="C1211" t="str">
            <v>내파 지형</v>
          </cell>
          <cell r="D1211">
            <v>4</v>
          </cell>
        </row>
        <row r="1212">
          <cell r="A1212" t="str">
            <v>OceanTile암초 지형</v>
          </cell>
          <cell r="B1212" t="str">
            <v>OceanTile</v>
          </cell>
          <cell r="C1212" t="str">
            <v>암초 지형</v>
          </cell>
          <cell r="D1212">
            <v>5</v>
          </cell>
        </row>
        <row r="1213">
          <cell r="A1213" t="str">
            <v>OceanTile해초 지형</v>
          </cell>
          <cell r="B1213" t="str">
            <v>OceanTile</v>
          </cell>
          <cell r="C1213" t="str">
            <v>해초 지형</v>
          </cell>
          <cell r="D1213">
            <v>6</v>
          </cell>
        </row>
        <row r="1214">
          <cell r="A1214" t="str">
            <v>OceanTile해상 색상</v>
          </cell>
          <cell r="B1214" t="str">
            <v>OceanTile</v>
          </cell>
          <cell r="C1214" t="str">
            <v>해상 색상</v>
          </cell>
          <cell r="D1214">
            <v>7</v>
          </cell>
        </row>
        <row r="1215">
          <cell r="A1215" t="str">
            <v>RankingTypeNone</v>
          </cell>
          <cell r="B1215" t="str">
            <v>RankingType</v>
          </cell>
          <cell r="C1215" t="str">
            <v>None</v>
          </cell>
          <cell r="D1215">
            <v>0</v>
          </cell>
        </row>
        <row r="1216">
          <cell r="A1216" t="str">
            <v>RankingType백분율</v>
          </cell>
          <cell r="B1216" t="str">
            <v>RankingType</v>
          </cell>
          <cell r="C1216" t="str">
            <v>백분율</v>
          </cell>
          <cell r="D1216">
            <v>1</v>
          </cell>
        </row>
        <row r="1217">
          <cell r="A1217" t="str">
            <v>RankingType순위</v>
          </cell>
          <cell r="B1217" t="str">
            <v>RankingType</v>
          </cell>
          <cell r="C1217" t="str">
            <v>순위</v>
          </cell>
          <cell r="D1217">
            <v>2</v>
          </cell>
        </row>
        <row r="1218">
          <cell r="A1218" t="str">
            <v>RankingTarget세계</v>
          </cell>
          <cell r="B1218" t="str">
            <v>RankingTarget</v>
          </cell>
          <cell r="C1218" t="str">
            <v>세계</v>
          </cell>
          <cell r="D1218">
            <v>1</v>
          </cell>
        </row>
        <row r="1219">
          <cell r="A1219" t="str">
            <v>RankingTarget저택</v>
          </cell>
          <cell r="B1219" t="str">
            <v>RankingTarget</v>
          </cell>
          <cell r="C1219" t="str">
            <v>저택</v>
          </cell>
          <cell r="D1219">
            <v>2</v>
          </cell>
        </row>
        <row r="1220">
          <cell r="A1220" t="str">
            <v>buttonActionTypeLock</v>
          </cell>
          <cell r="B1220" t="str">
            <v>buttonActionType</v>
          </cell>
          <cell r="C1220" t="str">
            <v>Lock</v>
          </cell>
          <cell r="D1220">
            <v>1</v>
          </cell>
        </row>
        <row r="1221">
          <cell r="A1221" t="str">
            <v>buttonActionTypeHidden</v>
          </cell>
          <cell r="B1221" t="str">
            <v>buttonActionType</v>
          </cell>
          <cell r="C1221" t="str">
            <v>Hidden</v>
          </cell>
          <cell r="D1221">
            <v>2</v>
          </cell>
        </row>
        <row r="1222">
          <cell r="A1222" t="str">
            <v>buttonActionTypeNormal</v>
          </cell>
          <cell r="B1222" t="str">
            <v>buttonActionType</v>
          </cell>
          <cell r="C1222" t="str">
            <v>Normal</v>
          </cell>
          <cell r="D1222">
            <v>3</v>
          </cell>
        </row>
        <row r="1223">
          <cell r="A1223" t="str">
            <v>buttonActionTypeUnlockEffect</v>
          </cell>
          <cell r="B1223" t="str">
            <v>buttonActionType</v>
          </cell>
          <cell r="C1223" t="str">
            <v>UnlockEffect</v>
          </cell>
          <cell r="D1223">
            <v>4</v>
          </cell>
        </row>
        <row r="1224">
          <cell r="A1224" t="str">
            <v>missionDifficultyEasy</v>
          </cell>
          <cell r="B1224" t="str">
            <v>missionDifficulty</v>
          </cell>
          <cell r="C1224" t="str">
            <v>Easy</v>
          </cell>
          <cell r="D1224">
            <v>1</v>
          </cell>
        </row>
        <row r="1225">
          <cell r="A1225" t="str">
            <v>missionDifficultyNormal</v>
          </cell>
          <cell r="B1225" t="str">
            <v>missionDifficulty</v>
          </cell>
          <cell r="C1225" t="str">
            <v>Normal</v>
          </cell>
          <cell r="D1225">
            <v>2</v>
          </cell>
        </row>
        <row r="1226">
          <cell r="A1226" t="str">
            <v>missionDifficultyHard</v>
          </cell>
          <cell r="B1226" t="str">
            <v>missionDifficulty</v>
          </cell>
          <cell r="C1226" t="str">
            <v>Hard</v>
          </cell>
          <cell r="D1226">
            <v>3</v>
          </cell>
        </row>
        <row r="1227">
          <cell r="A1227" t="str">
            <v>buttonConditionType실패</v>
          </cell>
          <cell r="B1227" t="str">
            <v>buttonConditionType</v>
          </cell>
          <cell r="C1227" t="str">
            <v>실패</v>
          </cell>
          <cell r="D1227">
            <v>0</v>
          </cell>
        </row>
        <row r="1228">
          <cell r="A1228" t="str">
            <v>buttonConditionType선단 LV(&gt;=)</v>
          </cell>
          <cell r="B1228" t="str">
            <v>buttonConditionType</v>
          </cell>
          <cell r="C1228" t="str">
            <v>선단 LV(&gt;=)</v>
          </cell>
          <cell r="D1228">
            <v>1</v>
          </cell>
        </row>
        <row r="1229">
          <cell r="A1229" t="str">
            <v>buttonConditionType글로벌 플래그(=)</v>
          </cell>
          <cell r="B1229" t="str">
            <v>buttonConditionType</v>
          </cell>
          <cell r="C1229" t="str">
            <v>글로벌 플래그(=)</v>
          </cell>
          <cell r="D1229">
            <v>2</v>
          </cell>
        </row>
        <row r="1230">
          <cell r="A1230" t="str">
            <v>buttonConditionType개발중</v>
          </cell>
          <cell r="B1230" t="str">
            <v>buttonConditionType</v>
          </cell>
          <cell r="C1230" t="str">
            <v>개발중</v>
          </cell>
          <cell r="D1230">
            <v>99</v>
          </cell>
        </row>
        <row r="1231">
          <cell r="A1231" t="str">
            <v>TradeGoodsDisasterLoss없음</v>
          </cell>
          <cell r="B1231" t="str">
            <v>TradeGoodsDisasterLoss</v>
          </cell>
          <cell r="C1231" t="str">
            <v>없음</v>
          </cell>
          <cell r="D1231">
            <v>0</v>
          </cell>
        </row>
        <row r="1232">
          <cell r="A1232" t="str">
            <v>TradeGoodsDisasterLoss가연성</v>
          </cell>
          <cell r="B1232" t="str">
            <v>TradeGoodsDisasterLoss</v>
          </cell>
          <cell r="C1232" t="str">
            <v>가연성</v>
          </cell>
          <cell r="D1232">
            <v>1</v>
          </cell>
        </row>
        <row r="1233">
          <cell r="A1233" t="str">
            <v>TradeGoodsDisasterLoss귀중품</v>
          </cell>
          <cell r="B1233" t="str">
            <v>TradeGoodsDisasterLoss</v>
          </cell>
          <cell r="C1233" t="str">
            <v>귀중품</v>
          </cell>
          <cell r="D1233">
            <v>2</v>
          </cell>
        </row>
        <row r="1234">
          <cell r="A1234" t="str">
            <v>TradeGoodsDisasterLoss부패</v>
          </cell>
          <cell r="B1234" t="str">
            <v>TradeGoodsDisasterLoss</v>
          </cell>
          <cell r="C1234" t="str">
            <v>부패</v>
          </cell>
          <cell r="D1234">
            <v>3</v>
          </cell>
        </row>
        <row r="1235">
          <cell r="A1235" t="str">
            <v>TradeGoodsDisasterLoss폐사</v>
          </cell>
          <cell r="B1235" t="str">
            <v>TradeGoodsDisasterLoss</v>
          </cell>
          <cell r="C1235" t="str">
            <v>폐사</v>
          </cell>
          <cell r="D1235">
            <v>4</v>
          </cell>
        </row>
        <row r="1236">
          <cell r="A1236" t="str">
            <v>TradeGoodsDisasterLoss번식</v>
          </cell>
          <cell r="B1236" t="str">
            <v>TradeGoodsDisasterLoss</v>
          </cell>
          <cell r="C1236" t="str">
            <v>번식</v>
          </cell>
          <cell r="D1236">
            <v>5</v>
          </cell>
        </row>
        <row r="1237">
          <cell r="A1237" t="str">
            <v>shipMoveType범선</v>
          </cell>
          <cell r="B1237" t="str">
            <v>shipMoveType</v>
          </cell>
          <cell r="C1237" t="str">
            <v>범선</v>
          </cell>
          <cell r="D1237">
            <v>1</v>
          </cell>
        </row>
        <row r="1238">
          <cell r="A1238" t="str">
            <v>shipMoveType갤리선</v>
          </cell>
          <cell r="B1238" t="str">
            <v>shipMoveType</v>
          </cell>
          <cell r="C1238" t="str">
            <v>갤리선</v>
          </cell>
          <cell r="D1238">
            <v>2</v>
          </cell>
        </row>
        <row r="1239">
          <cell r="A1239" t="str">
            <v>shipBottomType첨저선</v>
          </cell>
          <cell r="B1239" t="str">
            <v>shipBottomType</v>
          </cell>
          <cell r="C1239" t="str">
            <v>첨저선</v>
          </cell>
          <cell r="D1239">
            <v>1</v>
          </cell>
        </row>
        <row r="1240">
          <cell r="A1240" t="str">
            <v>shipBottomType평저선</v>
          </cell>
          <cell r="B1240" t="str">
            <v>shipBottomType</v>
          </cell>
          <cell r="C1240" t="str">
            <v>평저선</v>
          </cell>
          <cell r="D1240">
            <v>2</v>
          </cell>
        </row>
        <row r="1241">
          <cell r="A1241" t="str">
            <v>admissionTypeTownKick</v>
          </cell>
          <cell r="B1241" t="str">
            <v>admissionType</v>
          </cell>
          <cell r="C1241" t="str">
            <v>TownKick</v>
          </cell>
          <cell r="D1241">
            <v>1</v>
          </cell>
        </row>
        <row r="1242">
          <cell r="A1242" t="str">
            <v>battleWinTermsCheckType하나라도 달성 시 승리</v>
          </cell>
          <cell r="B1242" t="str">
            <v>battleWinTermsCheckType</v>
          </cell>
          <cell r="C1242" t="str">
            <v>하나라도 달성 시 승리</v>
          </cell>
          <cell r="D1242">
            <v>0</v>
          </cell>
        </row>
        <row r="1243">
          <cell r="A1243" t="str">
            <v>battleWinTermsCheckType모두 달성 시 승리</v>
          </cell>
          <cell r="B1243" t="str">
            <v>battleWinTermsCheckType</v>
          </cell>
          <cell r="C1243" t="str">
            <v>모두 달성 시 승리</v>
          </cell>
          <cell r="D1243">
            <v>1</v>
          </cell>
        </row>
        <row r="1244">
          <cell r="A1244" t="str">
            <v>battleWinTermsRandType단일 참조</v>
          </cell>
          <cell r="B1244" t="str">
            <v>battleWinTermsRandType</v>
          </cell>
          <cell r="C1244" t="str">
            <v>단일 참조</v>
          </cell>
          <cell r="D1244">
            <v>0</v>
          </cell>
        </row>
        <row r="1245">
          <cell r="A1245" t="str">
            <v>battleWinTermsRandType그룹 랜덤 참조</v>
          </cell>
          <cell r="B1245" t="str">
            <v>battleWinTermsRandType</v>
          </cell>
          <cell r="C1245" t="str">
            <v>그룹 랜덤 참조</v>
          </cell>
          <cell r="D1245">
            <v>1</v>
          </cell>
        </row>
        <row r="1246">
          <cell r="A1246" t="str">
            <v>battleBaseTermsIgnoreType기본 조건 적용</v>
          </cell>
          <cell r="B1246" t="str">
            <v>battleBaseTermsIgnoreType</v>
          </cell>
          <cell r="C1246" t="str">
            <v>기본 조건 적용</v>
          </cell>
          <cell r="D1246">
            <v>0</v>
          </cell>
        </row>
        <row r="1247">
          <cell r="A1247" t="str">
            <v>battleBaseTermsIgnoreType아군 전멸 무시</v>
          </cell>
          <cell r="B1247" t="str">
            <v>battleBaseTermsIgnoreType</v>
          </cell>
          <cell r="C1247" t="str">
            <v>아군 전멸 무시</v>
          </cell>
          <cell r="D1247">
            <v>1</v>
          </cell>
        </row>
        <row r="1248">
          <cell r="A1248" t="str">
            <v>battleBaseTermsIgnoreType적군 전멸 무시</v>
          </cell>
          <cell r="B1248" t="str">
            <v>battleBaseTermsIgnoreType</v>
          </cell>
          <cell r="C1248" t="str">
            <v>적군 전멸 무시</v>
          </cell>
          <cell r="D1248">
            <v>2</v>
          </cell>
        </row>
        <row r="1249">
          <cell r="A1249" t="str">
            <v>battleBaseTermsIgnoreType모두 전멸 무시</v>
          </cell>
          <cell r="B1249" t="str">
            <v>battleBaseTermsIgnoreType</v>
          </cell>
          <cell r="C1249" t="str">
            <v>모두 전멸 무시</v>
          </cell>
          <cell r="D1249">
            <v>3</v>
          </cell>
        </row>
        <row r="1250">
          <cell r="A1250" t="str">
            <v>battleBaseTermsIgnoreType일몰 무시</v>
          </cell>
          <cell r="B1250" t="str">
            <v>battleBaseTermsIgnoreType</v>
          </cell>
          <cell r="C1250" t="str">
            <v>일몰 무시</v>
          </cell>
          <cell r="D1250">
            <v>4</v>
          </cell>
        </row>
        <row r="1251">
          <cell r="A1251" t="str">
            <v>battleBaseTermsIgnoreType아군 전멸&amp;일몰 무시</v>
          </cell>
          <cell r="B1251" t="str">
            <v>battleBaseTermsIgnoreType</v>
          </cell>
          <cell r="C1251" t="str">
            <v>아군 전멸&amp;일몰 무시</v>
          </cell>
          <cell r="D1251">
            <v>5</v>
          </cell>
        </row>
        <row r="1252">
          <cell r="A1252" t="str">
            <v>battleBaseTermsIgnoreType적군 전멸&amp;일몰 무시</v>
          </cell>
          <cell r="B1252" t="str">
            <v>battleBaseTermsIgnoreType</v>
          </cell>
          <cell r="C1252" t="str">
            <v>적군 전멸&amp;일몰 무시</v>
          </cell>
          <cell r="D1252">
            <v>6</v>
          </cell>
        </row>
        <row r="1253">
          <cell r="A1253" t="str">
            <v>battleBaseTermsIgnoreType모든 전멸&amp;일몰 무시</v>
          </cell>
          <cell r="B1253" t="str">
            <v>battleBaseTermsIgnoreType</v>
          </cell>
          <cell r="C1253" t="str">
            <v>모든 전멸&amp;일몰 무시</v>
          </cell>
          <cell r="D1253">
            <v>7</v>
          </cell>
        </row>
        <row r="1254">
          <cell r="A1254" t="str">
            <v>battleEnvironmentStartType해상 환경 사용</v>
          </cell>
          <cell r="B1254" t="str">
            <v>battleEnvironmentStartType</v>
          </cell>
          <cell r="C1254" t="str">
            <v>해상 환경 사용</v>
          </cell>
          <cell r="D1254">
            <v>0</v>
          </cell>
        </row>
        <row r="1255">
          <cell r="A1255" t="str">
            <v>battleEnvironmentStartType지정 환경 사용</v>
          </cell>
          <cell r="B1255" t="str">
            <v>battleEnvironmentStartType</v>
          </cell>
          <cell r="C1255" t="str">
            <v>지정 환경 사용</v>
          </cell>
          <cell r="D1255">
            <v>1</v>
          </cell>
        </row>
        <row r="1256">
          <cell r="A1256" t="str">
            <v>rewardFixedType고정보상</v>
          </cell>
          <cell r="B1256" t="str">
            <v>rewardFixedType</v>
          </cell>
          <cell r="C1256" t="str">
            <v>고정보상</v>
          </cell>
          <cell r="D1256">
            <v>0</v>
          </cell>
        </row>
        <row r="1257">
          <cell r="A1257" t="str">
            <v>rewardFixedType랜덤보상</v>
          </cell>
          <cell r="B1257" t="str">
            <v>rewardFixedType</v>
          </cell>
          <cell r="C1257" t="str">
            <v>랜덤보상</v>
          </cell>
          <cell r="D1257">
            <v>1</v>
          </cell>
        </row>
        <row r="1258">
          <cell r="A1258" t="str">
            <v>absDistanceType중간</v>
          </cell>
          <cell r="B1258" t="str">
            <v>absDistanceType</v>
          </cell>
          <cell r="C1258" t="str">
            <v>중간</v>
          </cell>
          <cell r="D1258">
            <v>0</v>
          </cell>
        </row>
        <row r="1259">
          <cell r="A1259" t="str">
            <v>absDistanceType멈</v>
          </cell>
          <cell r="B1259" t="str">
            <v>absDistanceType</v>
          </cell>
          <cell r="C1259" t="str">
            <v>멈</v>
          </cell>
          <cell r="D1259">
            <v>1</v>
          </cell>
        </row>
        <row r="1260">
          <cell r="A1260" t="str">
            <v>absDistanceType가까움</v>
          </cell>
          <cell r="B1260" t="str">
            <v>absDistanceType</v>
          </cell>
          <cell r="C1260" t="str">
            <v>가까움</v>
          </cell>
          <cell r="D1260">
            <v>2</v>
          </cell>
        </row>
        <row r="1261">
          <cell r="A1261" t="str">
            <v>absDistanceType난입</v>
          </cell>
          <cell r="B1261" t="str">
            <v>absDistanceType</v>
          </cell>
          <cell r="C1261" t="str">
            <v>난입</v>
          </cell>
          <cell r="D1261">
            <v>3</v>
          </cell>
        </row>
        <row r="1262">
          <cell r="A1262" t="str">
            <v>absDirectionType북</v>
          </cell>
          <cell r="B1262" t="str">
            <v>absDirectionType</v>
          </cell>
          <cell r="C1262" t="str">
            <v>북</v>
          </cell>
          <cell r="D1262">
            <v>0</v>
          </cell>
        </row>
        <row r="1263">
          <cell r="A1263" t="str">
            <v>absDirectionType북동</v>
          </cell>
          <cell r="B1263" t="str">
            <v>absDirectionType</v>
          </cell>
          <cell r="C1263" t="str">
            <v>북동</v>
          </cell>
          <cell r="D1263">
            <v>1</v>
          </cell>
        </row>
        <row r="1264">
          <cell r="A1264" t="str">
            <v>absDirectionType남동</v>
          </cell>
          <cell r="B1264" t="str">
            <v>absDirectionType</v>
          </cell>
          <cell r="C1264" t="str">
            <v>남동</v>
          </cell>
          <cell r="D1264">
            <v>2</v>
          </cell>
        </row>
        <row r="1265">
          <cell r="A1265" t="str">
            <v>absDirectionType남</v>
          </cell>
          <cell r="B1265" t="str">
            <v>absDirectionType</v>
          </cell>
          <cell r="C1265" t="str">
            <v>남</v>
          </cell>
          <cell r="D1265">
            <v>3</v>
          </cell>
        </row>
        <row r="1266">
          <cell r="A1266" t="str">
            <v>absDirectionType남서</v>
          </cell>
          <cell r="B1266" t="str">
            <v>absDirectionType</v>
          </cell>
          <cell r="C1266" t="str">
            <v>남서</v>
          </cell>
          <cell r="D1266">
            <v>4</v>
          </cell>
        </row>
        <row r="1267">
          <cell r="A1267" t="str">
            <v>absDirectionType북서</v>
          </cell>
          <cell r="B1267" t="str">
            <v>absDirectionType</v>
          </cell>
          <cell r="C1267" t="str">
            <v>북서</v>
          </cell>
          <cell r="D1267">
            <v>5</v>
          </cell>
        </row>
        <row r="1268">
          <cell r="A1268" t="str">
            <v>popupButtonType확인/취소</v>
          </cell>
          <cell r="B1268" t="str">
            <v>popupButtonType</v>
          </cell>
          <cell r="C1268" t="str">
            <v>확인/취소</v>
          </cell>
          <cell r="D1268">
            <v>0</v>
          </cell>
        </row>
        <row r="1269">
          <cell r="A1269" t="str">
            <v>popupButtonType확인</v>
          </cell>
          <cell r="B1269" t="str">
            <v>popupButtonType</v>
          </cell>
          <cell r="C1269" t="str">
            <v>확인</v>
          </cell>
          <cell r="D1269">
            <v>1</v>
          </cell>
        </row>
        <row r="1270">
          <cell r="A1270" t="str">
            <v>EventPageType7일 출석</v>
          </cell>
          <cell r="B1270" t="str">
            <v>EventPageType</v>
          </cell>
          <cell r="C1270" t="str">
            <v>7일 출석</v>
          </cell>
          <cell r="D1270">
            <v>1</v>
          </cell>
        </row>
        <row r="1271">
          <cell r="A1271" t="str">
            <v>EventPageType14일 출석</v>
          </cell>
          <cell r="B1271" t="str">
            <v>EventPageType</v>
          </cell>
          <cell r="C1271" t="str">
            <v>14일 출석</v>
          </cell>
          <cell r="D1271">
            <v>2</v>
          </cell>
        </row>
        <row r="1272">
          <cell r="A1272" t="str">
            <v>EventPageType31일 출석</v>
          </cell>
          <cell r="B1272" t="str">
            <v>EventPageType</v>
          </cell>
          <cell r="C1272" t="str">
            <v>31일 출석</v>
          </cell>
          <cell r="D1272">
            <v>3</v>
          </cell>
        </row>
        <row r="1273">
          <cell r="A1273" t="str">
            <v>EventPageType오픈 출석</v>
          </cell>
          <cell r="B1273" t="str">
            <v>EventPageType</v>
          </cell>
          <cell r="C1273" t="str">
            <v>오픈 출석</v>
          </cell>
          <cell r="D1273">
            <v>4</v>
          </cell>
        </row>
        <row r="1274">
          <cell r="A1274" t="str">
            <v>EventPageType신규 출석</v>
          </cell>
          <cell r="B1274" t="str">
            <v>EventPageType</v>
          </cell>
          <cell r="C1274" t="str">
            <v>신규 출석</v>
          </cell>
          <cell r="D1274">
            <v>5</v>
          </cell>
        </row>
        <row r="1275">
          <cell r="A1275" t="str">
            <v>EventPageType7일 임무</v>
          </cell>
          <cell r="B1275" t="str">
            <v>EventPageType</v>
          </cell>
          <cell r="C1275" t="str">
            <v>7일 임무</v>
          </cell>
          <cell r="D1275">
            <v>6</v>
          </cell>
        </row>
        <row r="1276">
          <cell r="A1276" t="str">
            <v>EventPageType패스 임무</v>
          </cell>
          <cell r="B1276" t="str">
            <v>EventPageType</v>
          </cell>
          <cell r="C1276" t="str">
            <v>패스 임무</v>
          </cell>
          <cell r="D1276">
            <v>7</v>
          </cell>
        </row>
        <row r="1277">
          <cell r="A1277" t="str">
            <v>EventPageType일반 임무</v>
          </cell>
          <cell r="B1277" t="str">
            <v>EventPageType</v>
          </cell>
          <cell r="C1277" t="str">
            <v>일반 임무</v>
          </cell>
          <cell r="D1277">
            <v>8</v>
          </cell>
        </row>
        <row r="1278">
          <cell r="A1278" t="str">
            <v>AttendanceType일반 출석</v>
          </cell>
          <cell r="B1278" t="str">
            <v>AttendanceType</v>
          </cell>
          <cell r="C1278" t="str">
            <v>일반 출석</v>
          </cell>
          <cell r="D1278">
            <v>1</v>
          </cell>
        </row>
        <row r="1279">
          <cell r="A1279" t="str">
            <v>AttendanceType누적 출석</v>
          </cell>
          <cell r="B1279" t="str">
            <v>AttendanceType</v>
          </cell>
          <cell r="C1279" t="str">
            <v>누적 출석</v>
          </cell>
          <cell r="D1279">
            <v>2</v>
          </cell>
        </row>
        <row r="1280">
          <cell r="A1280" t="str">
            <v>AttendanceType연속 출석</v>
          </cell>
          <cell r="B1280" t="str">
            <v>AttendanceType</v>
          </cell>
          <cell r="C1280" t="str">
            <v>연속 출석</v>
          </cell>
          <cell r="D1280">
            <v>3</v>
          </cell>
        </row>
        <row r="1281">
          <cell r="A1281" t="str">
            <v>battleMapLayerType기본</v>
          </cell>
          <cell r="B1281" t="str">
            <v>battleMapLayerType</v>
          </cell>
          <cell r="C1281" t="str">
            <v>기본</v>
          </cell>
          <cell r="D1281">
            <v>0</v>
          </cell>
        </row>
        <row r="1282">
          <cell r="A1282" t="str">
            <v>battleMapLayerType계절</v>
          </cell>
          <cell r="B1282" t="str">
            <v>battleMapLayerType</v>
          </cell>
          <cell r="C1282" t="str">
            <v>계절</v>
          </cell>
          <cell r="D1282">
            <v>1</v>
          </cell>
        </row>
        <row r="1283">
          <cell r="A1283" t="str">
            <v>battleMapLayerType국력</v>
          </cell>
          <cell r="B1283" t="str">
            <v>battleMapLayerType</v>
          </cell>
          <cell r="C1283" t="str">
            <v>국력</v>
          </cell>
          <cell r="D1283">
            <v>2</v>
          </cell>
        </row>
        <row r="1284">
          <cell r="A1284" t="str">
            <v>battleMapLayerType시간</v>
          </cell>
          <cell r="B1284" t="str">
            <v>battleMapLayerType</v>
          </cell>
          <cell r="C1284" t="str">
            <v>시간</v>
          </cell>
          <cell r="D1284">
            <v>3</v>
          </cell>
        </row>
        <row r="1285">
          <cell r="A1285" t="str">
            <v>battleActionCounterType포격</v>
          </cell>
          <cell r="B1285" t="str">
            <v>battleActionCounterType</v>
          </cell>
          <cell r="C1285" t="str">
            <v>포격</v>
          </cell>
          <cell r="D1285">
            <v>1</v>
          </cell>
        </row>
        <row r="1286">
          <cell r="A1286" t="str">
            <v>battleActionCounterType백병</v>
          </cell>
          <cell r="B1286" t="str">
            <v>battleActionCounterType</v>
          </cell>
          <cell r="C1286" t="str">
            <v>백병</v>
          </cell>
          <cell r="D1286">
            <v>2</v>
          </cell>
        </row>
        <row r="1287">
          <cell r="A1287" t="str">
            <v>battleActionCounterType결투</v>
          </cell>
          <cell r="B1287" t="str">
            <v>battleActionCounterType</v>
          </cell>
          <cell r="C1287" t="str">
            <v>결투</v>
          </cell>
          <cell r="D1287">
            <v>3</v>
          </cell>
        </row>
        <row r="1288">
          <cell r="A1288" t="str">
            <v>battleActionCounterType충파</v>
          </cell>
          <cell r="B1288" t="str">
            <v>battleActionCounterType</v>
          </cell>
          <cell r="C1288" t="str">
            <v>충파</v>
          </cell>
          <cell r="D1288">
            <v>4</v>
          </cell>
        </row>
        <row r="1289">
          <cell r="A1289" t="str">
            <v>battleActionCounterType수리</v>
          </cell>
          <cell r="B1289" t="str">
            <v>battleActionCounterType</v>
          </cell>
          <cell r="C1289" t="str">
            <v>수리</v>
          </cell>
          <cell r="D1289">
            <v>5</v>
          </cell>
        </row>
        <row r="1290">
          <cell r="A1290" t="str">
            <v>battleActionCounterType의술</v>
          </cell>
          <cell r="B1290" t="str">
            <v>battleActionCounterType</v>
          </cell>
          <cell r="C1290" t="str">
            <v>의술</v>
          </cell>
          <cell r="D1290">
            <v>6</v>
          </cell>
        </row>
        <row r="1291">
          <cell r="A1291" t="str">
            <v>battleActionCounterType함성</v>
          </cell>
          <cell r="B1291" t="str">
            <v>battleActionCounterType</v>
          </cell>
          <cell r="C1291" t="str">
            <v>함성</v>
          </cell>
          <cell r="D1291">
            <v>7</v>
          </cell>
        </row>
        <row r="1292">
          <cell r="A1292" t="str">
            <v>battleActionCounterType첩보</v>
          </cell>
          <cell r="B1292" t="str">
            <v>battleActionCounterType</v>
          </cell>
          <cell r="C1292" t="str">
            <v>첩보</v>
          </cell>
          <cell r="D1292">
            <v>8</v>
          </cell>
        </row>
        <row r="1293">
          <cell r="A1293" t="str">
            <v>battleActionCounterType아이템 사용</v>
          </cell>
          <cell r="B1293" t="str">
            <v>battleActionCounterType</v>
          </cell>
          <cell r="C1293" t="str">
            <v>아이템 사용</v>
          </cell>
          <cell r="D1293">
            <v>9</v>
          </cell>
        </row>
        <row r="1294">
          <cell r="A1294" t="str">
            <v>battleActionCounterType오브젝트 사용</v>
          </cell>
          <cell r="B1294" t="str">
            <v>battleActionCounterType</v>
          </cell>
          <cell r="C1294" t="str">
            <v>오브젝트 사용</v>
          </cell>
          <cell r="D1294">
            <v>10</v>
          </cell>
        </row>
        <row r="1295">
          <cell r="A1295" t="str">
            <v>battleActionCounterType도주</v>
          </cell>
          <cell r="B1295" t="str">
            <v>battleActionCounterType</v>
          </cell>
          <cell r="C1295" t="str">
            <v>도주</v>
          </cell>
          <cell r="D1295">
            <v>11</v>
          </cell>
        </row>
        <row r="1296">
          <cell r="A1296" t="str">
            <v>battleActionCounterType무르기</v>
          </cell>
          <cell r="B1296" t="str">
            <v>battleActionCounterType</v>
          </cell>
          <cell r="C1296" t="str">
            <v>무르기</v>
          </cell>
          <cell r="D1296">
            <v>12</v>
          </cell>
        </row>
        <row r="1297">
          <cell r="A1297" t="str">
            <v>battleFactionRelation중립</v>
          </cell>
          <cell r="B1297" t="str">
            <v>battleFactionRelation</v>
          </cell>
          <cell r="C1297" t="str">
            <v>중립</v>
          </cell>
          <cell r="D1297">
            <v>0</v>
          </cell>
        </row>
        <row r="1298">
          <cell r="A1298" t="str">
            <v>battleFactionRelation우호</v>
          </cell>
          <cell r="B1298" t="str">
            <v>battleFactionRelation</v>
          </cell>
          <cell r="C1298" t="str">
            <v>우호</v>
          </cell>
          <cell r="D1298">
            <v>1</v>
          </cell>
        </row>
        <row r="1299">
          <cell r="A1299" t="str">
            <v>battleFactionRelation적대</v>
          </cell>
          <cell r="B1299" t="str">
            <v>battleFactionRelation</v>
          </cell>
          <cell r="C1299" t="str">
            <v>적대</v>
          </cell>
          <cell r="D1299">
            <v>2</v>
          </cell>
        </row>
        <row r="1300">
          <cell r="A1300" t="str">
            <v>reasonForDeathType포격</v>
          </cell>
          <cell r="B1300" t="str">
            <v>reasonForDeathType</v>
          </cell>
          <cell r="C1300" t="str">
            <v>포격</v>
          </cell>
          <cell r="D1300">
            <v>1</v>
          </cell>
        </row>
        <row r="1301">
          <cell r="A1301" t="str">
            <v>reasonForDeathType백병</v>
          </cell>
          <cell r="B1301" t="str">
            <v>reasonForDeathType</v>
          </cell>
          <cell r="C1301" t="str">
            <v>백병</v>
          </cell>
          <cell r="D1301">
            <v>2</v>
          </cell>
        </row>
        <row r="1302">
          <cell r="A1302" t="str">
            <v>reasonForDeathType결투</v>
          </cell>
          <cell r="B1302" t="str">
            <v>reasonForDeathType</v>
          </cell>
          <cell r="C1302" t="str">
            <v>결투</v>
          </cell>
          <cell r="D1302">
            <v>3</v>
          </cell>
        </row>
        <row r="1303">
          <cell r="A1303" t="str">
            <v>reasonForDeathType충파</v>
          </cell>
          <cell r="B1303" t="str">
            <v>reasonForDeathType</v>
          </cell>
          <cell r="C1303" t="str">
            <v>충파</v>
          </cell>
          <cell r="D1303">
            <v>4</v>
          </cell>
        </row>
        <row r="1304">
          <cell r="A1304" t="str">
            <v>pushType로컬</v>
          </cell>
          <cell r="B1304" t="str">
            <v>pushType</v>
          </cell>
          <cell r="C1304" t="str">
            <v>로컬</v>
          </cell>
          <cell r="D1304">
            <v>1</v>
          </cell>
        </row>
        <row r="1305">
          <cell r="A1305" t="str">
            <v>pushType서버</v>
          </cell>
          <cell r="B1305" t="str">
            <v>pushType</v>
          </cell>
          <cell r="C1305" t="str">
            <v>서버</v>
          </cell>
          <cell r="D1305">
            <v>2</v>
          </cell>
        </row>
        <row r="1306">
          <cell r="A1306" t="str">
            <v>pushGroup시스템</v>
          </cell>
          <cell r="B1306" t="str">
            <v>pushGroup</v>
          </cell>
          <cell r="C1306" t="str">
            <v>시스템</v>
          </cell>
          <cell r="D1306">
            <v>1</v>
          </cell>
        </row>
        <row r="1307">
          <cell r="A1307" t="str">
            <v>pushGroup소셜</v>
          </cell>
          <cell r="B1307" t="str">
            <v>pushGroup</v>
          </cell>
          <cell r="C1307" t="str">
            <v>소셜</v>
          </cell>
          <cell r="D1307">
            <v>2</v>
          </cell>
        </row>
        <row r="1308">
          <cell r="A1308" t="str">
            <v>seaAreaType안전 해역</v>
          </cell>
          <cell r="B1308" t="str">
            <v>seaAreaType</v>
          </cell>
          <cell r="C1308" t="str">
            <v>안전 해역</v>
          </cell>
          <cell r="D1308">
            <v>1</v>
          </cell>
        </row>
        <row r="1309">
          <cell r="A1309" t="str">
            <v>seaAreaType위험 해역</v>
          </cell>
          <cell r="B1309" t="str">
            <v>seaAreaType</v>
          </cell>
          <cell r="C1309" t="str">
            <v>위험 해역</v>
          </cell>
          <cell r="D1309">
            <v>2</v>
          </cell>
        </row>
        <row r="1310">
          <cell r="A1310" t="str">
            <v>seaAreaType무법 해역</v>
          </cell>
          <cell r="B1310" t="str">
            <v>seaAreaType</v>
          </cell>
          <cell r="C1310" t="str">
            <v>무법 해역</v>
          </cell>
          <cell r="D1310">
            <v>3</v>
          </cell>
        </row>
        <row r="1311">
          <cell r="A1311" t="str">
            <v>CollectionType동료</v>
          </cell>
          <cell r="B1311" t="str">
            <v>CollectionType</v>
          </cell>
          <cell r="C1311" t="str">
            <v>동료</v>
          </cell>
          <cell r="D1311">
            <v>0</v>
          </cell>
        </row>
        <row r="1312">
          <cell r="A1312" t="str">
            <v>CollectionType장비</v>
          </cell>
          <cell r="B1312" t="str">
            <v>CollectionType</v>
          </cell>
          <cell r="C1312" t="str">
            <v>장비</v>
          </cell>
          <cell r="D1312">
            <v>1</v>
          </cell>
        </row>
        <row r="1313">
          <cell r="A1313" t="str">
            <v>CollectionType부품</v>
          </cell>
          <cell r="B1313" t="str">
            <v>CollectionType</v>
          </cell>
          <cell r="C1313" t="str">
            <v>부품</v>
          </cell>
          <cell r="D1313">
            <v>2</v>
          </cell>
        </row>
        <row r="1314">
          <cell r="A1314" t="str">
            <v>CollectionType선박</v>
          </cell>
          <cell r="B1314" t="str">
            <v>CollectionType</v>
          </cell>
          <cell r="C1314" t="str">
            <v>선박</v>
          </cell>
          <cell r="D1314">
            <v>3</v>
          </cell>
        </row>
        <row r="1315">
          <cell r="A1315" t="str">
            <v>CollectionGradeD</v>
          </cell>
          <cell r="B1315" t="str">
            <v>CollectionGrade</v>
          </cell>
          <cell r="C1315" t="str">
            <v>D</v>
          </cell>
          <cell r="D1315">
            <v>0</v>
          </cell>
        </row>
        <row r="1316">
          <cell r="A1316" t="str">
            <v>CollectionGradeC</v>
          </cell>
          <cell r="B1316" t="str">
            <v>CollectionGrade</v>
          </cell>
          <cell r="C1316" t="str">
            <v>C</v>
          </cell>
          <cell r="D1316">
            <v>1</v>
          </cell>
        </row>
        <row r="1317">
          <cell r="A1317" t="str">
            <v>CollectionGradeB</v>
          </cell>
          <cell r="B1317" t="str">
            <v>CollectionGrade</v>
          </cell>
          <cell r="C1317" t="str">
            <v>B</v>
          </cell>
          <cell r="D1317">
            <v>2</v>
          </cell>
        </row>
        <row r="1318">
          <cell r="A1318" t="str">
            <v>CollectionGradeA</v>
          </cell>
          <cell r="B1318" t="str">
            <v>CollectionGrade</v>
          </cell>
          <cell r="C1318" t="str">
            <v>A</v>
          </cell>
          <cell r="D1318">
            <v>3</v>
          </cell>
        </row>
        <row r="1319">
          <cell r="A1319" t="str">
            <v>CollectionGradeS</v>
          </cell>
          <cell r="B1319" t="str">
            <v>CollectionGrade</v>
          </cell>
          <cell r="C1319" t="str">
            <v>S</v>
          </cell>
          <cell r="D1319">
            <v>4</v>
          </cell>
        </row>
        <row r="1320">
          <cell r="A1320" t="str">
            <v>CollectionGradeSS</v>
          </cell>
          <cell r="B1320" t="str">
            <v>CollectionGrade</v>
          </cell>
          <cell r="C1320" t="str">
            <v>SS</v>
          </cell>
          <cell r="D1320">
            <v>5</v>
          </cell>
        </row>
        <row r="1321">
          <cell r="A1321" t="str">
            <v>CollectionGradeSSS</v>
          </cell>
          <cell r="B1321" t="str">
            <v>CollectionGrade</v>
          </cell>
          <cell r="C1321" t="str">
            <v>SSS</v>
          </cell>
          <cell r="D1321">
            <v>6</v>
          </cell>
        </row>
        <row r="1322">
          <cell r="A1322" t="str">
            <v>shipBlueprintActionType제한 없음</v>
          </cell>
          <cell r="B1322" t="str">
            <v>shipBlueprintActionType</v>
          </cell>
          <cell r="C1322" t="str">
            <v>제한 없음</v>
          </cell>
          <cell r="D1322">
            <v>0</v>
          </cell>
        </row>
        <row r="1323">
          <cell r="A1323" t="str">
            <v>shipBlueprintActionType백병 불가</v>
          </cell>
          <cell r="B1323" t="str">
            <v>shipBlueprintActionType</v>
          </cell>
          <cell r="C1323" t="str">
            <v>백병 불가</v>
          </cell>
          <cell r="D1323">
            <v>1</v>
          </cell>
        </row>
        <row r="1324">
          <cell r="A1324" t="str">
            <v>shipBlueprintActionType결투 불가</v>
          </cell>
          <cell r="B1324" t="str">
            <v>shipBlueprintActionType</v>
          </cell>
          <cell r="C1324" t="str">
            <v>결투 불가</v>
          </cell>
          <cell r="D1324">
            <v>2</v>
          </cell>
        </row>
        <row r="1325">
          <cell r="A1325" t="str">
            <v>shipBlueprintActionType백병&amp;결투 불가</v>
          </cell>
          <cell r="B1325" t="str">
            <v>shipBlueprintActionType</v>
          </cell>
          <cell r="C1325" t="str">
            <v>백병&amp;결투 불가</v>
          </cell>
          <cell r="D1325">
            <v>3</v>
          </cell>
        </row>
        <row r="1326">
          <cell r="A1326" t="str">
            <v>weatherType맑음</v>
          </cell>
          <cell r="B1326" t="str">
            <v>weatherType</v>
          </cell>
          <cell r="C1326" t="str">
            <v>맑음</v>
          </cell>
          <cell r="D1326">
            <v>0</v>
          </cell>
        </row>
        <row r="1327">
          <cell r="A1327" t="str">
            <v>weatherType구름</v>
          </cell>
          <cell r="B1327" t="str">
            <v>weatherType</v>
          </cell>
          <cell r="C1327" t="str">
            <v>구름</v>
          </cell>
          <cell r="D1327">
            <v>1</v>
          </cell>
        </row>
        <row r="1328">
          <cell r="A1328" t="str">
            <v>weatherType비</v>
          </cell>
          <cell r="B1328" t="str">
            <v>weatherType</v>
          </cell>
          <cell r="C1328" t="str">
            <v>비</v>
          </cell>
          <cell r="D1328">
            <v>2</v>
          </cell>
        </row>
        <row r="1329">
          <cell r="A1329" t="str">
            <v>weatherType눈</v>
          </cell>
          <cell r="B1329" t="str">
            <v>weatherType</v>
          </cell>
          <cell r="C1329" t="str">
            <v>눈</v>
          </cell>
          <cell r="D1329">
            <v>3</v>
          </cell>
        </row>
        <row r="1330">
          <cell r="A1330" t="str">
            <v>weatherType황사</v>
          </cell>
          <cell r="B1330" t="str">
            <v>weatherType</v>
          </cell>
          <cell r="C1330" t="str">
            <v>황사</v>
          </cell>
          <cell r="D1330">
            <v>4</v>
          </cell>
        </row>
        <row r="1331">
          <cell r="A1331" t="str">
            <v>eventMissionType과제</v>
          </cell>
          <cell r="B1331" t="str">
            <v>eventMissionType</v>
          </cell>
          <cell r="C1331" t="str">
            <v>과제</v>
          </cell>
          <cell r="D1331">
            <v>1</v>
          </cell>
        </row>
        <row r="1332">
          <cell r="A1332" t="str">
            <v>eventMissionType기본 보상</v>
          </cell>
          <cell r="B1332" t="str">
            <v>eventMissionType</v>
          </cell>
          <cell r="C1332" t="str">
            <v>기본 보상</v>
          </cell>
          <cell r="D1332">
            <v>2</v>
          </cell>
        </row>
        <row r="1333">
          <cell r="A1333" t="str">
            <v>eventMissionType추가 보상</v>
          </cell>
          <cell r="B1333" t="str">
            <v>eventMissionType</v>
          </cell>
          <cell r="C1333" t="str">
            <v>추가 보상</v>
          </cell>
          <cell r="D1333">
            <v>3</v>
          </cell>
        </row>
        <row r="1334">
          <cell r="A1334" t="str">
            <v>LinerShipCostType티켓</v>
          </cell>
          <cell r="B1334" t="str">
            <v>LinerShipCostType</v>
          </cell>
          <cell r="C1334" t="str">
            <v>티켓</v>
          </cell>
          <cell r="D1334">
            <v>1</v>
          </cell>
        </row>
        <row r="1335">
          <cell r="A1335" t="str">
            <v>LinerShipCostType두카트</v>
          </cell>
          <cell r="B1335" t="str">
            <v>LinerShipCostType</v>
          </cell>
          <cell r="C1335" t="str">
            <v>두카트</v>
          </cell>
          <cell r="D1335">
            <v>2</v>
          </cell>
        </row>
        <row r="1336">
          <cell r="A1336" t="str">
            <v>LinerShipCostType레드젬</v>
          </cell>
          <cell r="B1336" t="str">
            <v>LinerShipCostType</v>
          </cell>
          <cell r="C1336" t="str">
            <v>레드젬</v>
          </cell>
          <cell r="D1336">
            <v>3</v>
          </cell>
        </row>
        <row r="1337">
          <cell r="A1337" t="str">
            <v>LinerShipCostType블루젬</v>
          </cell>
          <cell r="B1337" t="str">
            <v>LinerShipCostType</v>
          </cell>
          <cell r="C1337" t="str">
            <v>블루젬</v>
          </cell>
          <cell r="D1337">
            <v>4</v>
          </cell>
        </row>
        <row r="1338">
          <cell r="A1338" t="str">
            <v>DiscoveryRelateItemType아이템</v>
          </cell>
          <cell r="B1338" t="str">
            <v>DiscoveryRelateItemType</v>
          </cell>
          <cell r="C1338" t="str">
            <v>아이템</v>
          </cell>
          <cell r="D1338">
            <v>1</v>
          </cell>
        </row>
        <row r="1339">
          <cell r="A1339" t="str">
            <v>DiscoveryRelateItemType장비</v>
          </cell>
          <cell r="B1339" t="str">
            <v>DiscoveryRelateItemType</v>
          </cell>
          <cell r="C1339" t="str">
            <v>장비</v>
          </cell>
          <cell r="D1339">
            <v>2</v>
          </cell>
        </row>
        <row r="1340">
          <cell r="A1340" t="str">
            <v>spawnOwnerType서버</v>
          </cell>
          <cell r="B1340" t="str">
            <v>spawnOwnerType</v>
          </cell>
          <cell r="C1340" t="str">
            <v>서버</v>
          </cell>
          <cell r="D1340">
            <v>1</v>
          </cell>
        </row>
        <row r="1341">
          <cell r="A1341" t="str">
            <v>spawnOwnerType클라</v>
          </cell>
          <cell r="B1341" t="str">
            <v>spawnOwnerType</v>
          </cell>
          <cell r="C1341" t="str">
            <v>클라</v>
          </cell>
          <cell r="D1341">
            <v>2</v>
          </cell>
        </row>
        <row r="1342">
          <cell r="A1342" t="str">
            <v>SpecialStat포격술 전문 지식</v>
          </cell>
          <cell r="B1342" t="str">
            <v>SpecialStat</v>
          </cell>
          <cell r="C1342" t="str">
            <v>포격술 전문 지식</v>
          </cell>
          <cell r="D1342">
            <v>1</v>
          </cell>
        </row>
        <row r="1343">
          <cell r="A1343" t="str">
            <v>SpecialStat충파술 전문 지식</v>
          </cell>
          <cell r="B1343" t="str">
            <v>SpecialStat</v>
          </cell>
          <cell r="C1343" t="str">
            <v>충파술 전문 지식</v>
          </cell>
          <cell r="D1343">
            <v>2</v>
          </cell>
        </row>
        <row r="1344">
          <cell r="A1344" t="str">
            <v>SpecialStat지원술 전문 지식</v>
          </cell>
          <cell r="B1344" t="str">
            <v>SpecialStat</v>
          </cell>
          <cell r="C1344" t="str">
            <v>지원술 전문 지식</v>
          </cell>
          <cell r="D1344">
            <v>3</v>
          </cell>
        </row>
        <row r="1345">
          <cell r="A1345" t="str">
            <v>SpecialStat백병술 전문 지식</v>
          </cell>
          <cell r="B1345" t="str">
            <v>SpecialStat</v>
          </cell>
          <cell r="C1345" t="str">
            <v>백병술 전문 지식</v>
          </cell>
          <cell r="D1345">
            <v>4</v>
          </cell>
        </row>
        <row r="1346">
          <cell r="A1346" t="str">
            <v>SpecialStat구매 전문 지식</v>
          </cell>
          <cell r="B1346" t="str">
            <v>SpecialStat</v>
          </cell>
          <cell r="C1346" t="str">
            <v>구매 전문 지식</v>
          </cell>
          <cell r="D1346">
            <v>5</v>
          </cell>
        </row>
        <row r="1347">
          <cell r="A1347" t="str">
            <v>SpecialStat판매 전문 지식</v>
          </cell>
          <cell r="B1347" t="str">
            <v>SpecialStat</v>
          </cell>
          <cell r="C1347" t="str">
            <v>판매 전문 지식</v>
          </cell>
          <cell r="D1347">
            <v>6</v>
          </cell>
        </row>
        <row r="1348">
          <cell r="A1348" t="str">
            <v>SpecialStat협상 전문 지식</v>
          </cell>
          <cell r="B1348" t="str">
            <v>SpecialStat</v>
          </cell>
          <cell r="C1348" t="str">
            <v>협상 전문 지식</v>
          </cell>
          <cell r="D1348">
            <v>7</v>
          </cell>
        </row>
        <row r="1349">
          <cell r="A1349" t="str">
            <v>SpecialStat물물 교환 전문 지식</v>
          </cell>
          <cell r="B1349" t="str">
            <v>SpecialStat</v>
          </cell>
          <cell r="C1349" t="str">
            <v>물물 교환 전문 지식</v>
          </cell>
          <cell r="D1349">
            <v>8</v>
          </cell>
        </row>
        <row r="1350">
          <cell r="A1350" t="str">
            <v>SpecialStat박물학 전문 지식</v>
          </cell>
          <cell r="B1350" t="str">
            <v>SpecialStat</v>
          </cell>
          <cell r="C1350" t="str">
            <v>박물학 전문 지식</v>
          </cell>
          <cell r="D1350">
            <v>9</v>
          </cell>
        </row>
        <row r="1351">
          <cell r="A1351" t="str">
            <v>SpecialStat심미학 전문 지식</v>
          </cell>
          <cell r="B1351" t="str">
            <v>SpecialStat</v>
          </cell>
          <cell r="C1351" t="str">
            <v>심미학 전문 지식</v>
          </cell>
          <cell r="D1351">
            <v>10</v>
          </cell>
        </row>
        <row r="1352">
          <cell r="A1352" t="str">
            <v>SpecialStat척후법 전문 지식</v>
          </cell>
          <cell r="B1352" t="str">
            <v>SpecialStat</v>
          </cell>
          <cell r="C1352" t="str">
            <v>척후법 전문 지식</v>
          </cell>
          <cell r="D1352">
            <v>11</v>
          </cell>
        </row>
        <row r="1353">
          <cell r="A1353" t="str">
            <v>SpecialStat보급법 전문 지식</v>
          </cell>
          <cell r="B1353" t="str">
            <v>SpecialStat</v>
          </cell>
          <cell r="C1353" t="str">
            <v>보급법 전문 지식</v>
          </cell>
          <cell r="D1353">
            <v>12</v>
          </cell>
        </row>
        <row r="1354">
          <cell r="A1354" t="str">
            <v>SpecialStatModifier절대값</v>
          </cell>
          <cell r="B1354" t="str">
            <v>SpecialStatModifier</v>
          </cell>
          <cell r="C1354" t="str">
            <v>절대값</v>
          </cell>
          <cell r="D1354">
            <v>1</v>
          </cell>
        </row>
        <row r="1355">
          <cell r="A1355" t="str">
            <v>SpecialStatModifier퍼센트</v>
          </cell>
          <cell r="B1355" t="str">
            <v>SpecialStatModifier</v>
          </cell>
          <cell r="C1355" t="str">
            <v>퍼센트</v>
          </cell>
          <cell r="D1355">
            <v>2</v>
          </cell>
        </row>
        <row r="1356">
          <cell r="A1356" t="str">
            <v>socialAnimationType일반</v>
          </cell>
          <cell r="B1356" t="str">
            <v>socialAnimationType</v>
          </cell>
          <cell r="C1356" t="str">
            <v>일반</v>
          </cell>
          <cell r="D1356">
            <v>0</v>
          </cell>
        </row>
        <row r="1357">
          <cell r="A1357" t="str">
            <v>socialAnimationType지속</v>
          </cell>
          <cell r="B1357" t="str">
            <v>socialAnimationType</v>
          </cell>
          <cell r="C1357" t="str">
            <v>지속</v>
          </cell>
          <cell r="D1357">
            <v>1</v>
          </cell>
        </row>
        <row r="1358">
          <cell r="A1358" t="str">
            <v>SpecialStatJobType모든 전문 지식</v>
          </cell>
          <cell r="B1358" t="str">
            <v>SpecialStatJobType</v>
          </cell>
          <cell r="C1358" t="str">
            <v>모든 전문 지식</v>
          </cell>
          <cell r="D1358">
            <v>0</v>
          </cell>
        </row>
        <row r="1359">
          <cell r="A1359" t="str">
            <v>SpecialStatJobType탐험</v>
          </cell>
          <cell r="B1359" t="str">
            <v>SpecialStatJobType</v>
          </cell>
          <cell r="C1359" t="str">
            <v>탐험</v>
          </cell>
          <cell r="D1359">
            <v>1</v>
          </cell>
        </row>
        <row r="1360">
          <cell r="A1360" t="str">
            <v>SpecialStatJobType교역</v>
          </cell>
          <cell r="B1360" t="str">
            <v>SpecialStatJobType</v>
          </cell>
          <cell r="C1360" t="str">
            <v>교역</v>
          </cell>
          <cell r="D1360">
            <v>2</v>
          </cell>
        </row>
        <row r="1361">
          <cell r="A1361" t="str">
            <v>SpecialStatJobType전투</v>
          </cell>
          <cell r="B1361" t="str">
            <v>SpecialStatJobType</v>
          </cell>
          <cell r="C1361" t="str">
            <v>전투</v>
          </cell>
          <cell r="D1361">
            <v>3</v>
          </cell>
        </row>
        <row r="1362">
          <cell r="A1362" t="str">
            <v>cultureType지중해</v>
          </cell>
          <cell r="B1362" t="str">
            <v>cultureType</v>
          </cell>
          <cell r="C1362" t="str">
            <v>지중해</v>
          </cell>
          <cell r="D1362">
            <v>0</v>
          </cell>
        </row>
        <row r="1363">
          <cell r="A1363" t="str">
            <v>cultureType이슬람</v>
          </cell>
          <cell r="B1363" t="str">
            <v>cultureType</v>
          </cell>
          <cell r="C1363" t="str">
            <v>이슬람</v>
          </cell>
          <cell r="D1363">
            <v>1</v>
          </cell>
        </row>
        <row r="1364">
          <cell r="A1364" t="str">
            <v>cultureType북해</v>
          </cell>
          <cell r="B1364" t="str">
            <v>cultureType</v>
          </cell>
          <cell r="C1364" t="str">
            <v>북해</v>
          </cell>
          <cell r="D1364">
            <v>2</v>
          </cell>
        </row>
        <row r="1365">
          <cell r="A1365" t="str">
            <v>cultureType원주민</v>
          </cell>
          <cell r="B1365" t="str">
            <v>cultureType</v>
          </cell>
          <cell r="C1365" t="str">
            <v>원주민</v>
          </cell>
          <cell r="D1365">
            <v>3</v>
          </cell>
        </row>
        <row r="1366">
          <cell r="A1366" t="str">
            <v>cultureType개척지</v>
          </cell>
          <cell r="B1366" t="str">
            <v>cultureType</v>
          </cell>
          <cell r="C1366" t="str">
            <v>개척지</v>
          </cell>
          <cell r="D1366">
            <v>4</v>
          </cell>
        </row>
        <row r="1367">
          <cell r="A1367" t="str">
            <v>cultureType아메리카원주민</v>
          </cell>
          <cell r="B1367" t="str">
            <v>cultureType</v>
          </cell>
          <cell r="C1367" t="str">
            <v>아메리카원주민</v>
          </cell>
          <cell r="D1367">
            <v>5</v>
          </cell>
        </row>
        <row r="1368">
          <cell r="A1368" t="str">
            <v>cultureType인도</v>
          </cell>
          <cell r="B1368" t="str">
            <v>cultureType</v>
          </cell>
          <cell r="C1368" t="str">
            <v>인도</v>
          </cell>
          <cell r="D1368">
            <v>6</v>
          </cell>
        </row>
        <row r="1369">
          <cell r="A1369" t="str">
            <v>cultureType동남아</v>
          </cell>
          <cell r="B1369" t="str">
            <v>cultureType</v>
          </cell>
          <cell r="C1369" t="str">
            <v>동남아</v>
          </cell>
          <cell r="D1369">
            <v>7</v>
          </cell>
        </row>
        <row r="1370">
          <cell r="A1370" t="str">
            <v>cultureType일본</v>
          </cell>
          <cell r="B1370" t="str">
            <v>cultureType</v>
          </cell>
          <cell r="C1370" t="str">
            <v>일본</v>
          </cell>
          <cell r="D1370">
            <v>8</v>
          </cell>
        </row>
        <row r="1371">
          <cell r="A1371" t="str">
            <v>cultureType조선</v>
          </cell>
          <cell r="B1371" t="str">
            <v>cultureType</v>
          </cell>
          <cell r="C1371" t="str">
            <v>조선</v>
          </cell>
          <cell r="D1371">
            <v>9</v>
          </cell>
        </row>
        <row r="1372">
          <cell r="A1372" t="str">
            <v>cultureType중국</v>
          </cell>
          <cell r="B1372" t="str">
            <v>cultureType</v>
          </cell>
          <cell r="C1372" t="str">
            <v>중국</v>
          </cell>
          <cell r="D1372">
            <v>10</v>
          </cell>
        </row>
        <row r="1373">
          <cell r="A1373" t="str">
            <v>미니게임종류</v>
          </cell>
          <cell r="B1373" t="str">
            <v>minigameKind</v>
          </cell>
          <cell r="C1373" t="str">
            <v>없음</v>
          </cell>
          <cell r="D1373">
            <v>0</v>
          </cell>
        </row>
        <row r="1374">
          <cell r="A1374" t="str">
            <v>미니게임종류</v>
          </cell>
          <cell r="B1374" t="str">
            <v>minigameKind</v>
          </cell>
          <cell r="C1374" t="str">
            <v>홀덤</v>
          </cell>
          <cell r="D1374">
            <v>1</v>
          </cell>
        </row>
        <row r="1375">
          <cell r="A1375" t="str">
            <v>미니게임종류</v>
          </cell>
          <cell r="B1375" t="str">
            <v>minigameKind</v>
          </cell>
          <cell r="C1375" t="str">
            <v>코이코이</v>
          </cell>
          <cell r="D1375">
            <v>2</v>
          </cell>
        </row>
        <row r="1376">
          <cell r="A1376" t="str">
            <v>미니게임종류</v>
          </cell>
          <cell r="B1376" t="str">
            <v>minigameKind</v>
          </cell>
          <cell r="C1376" t="str">
            <v>다이스</v>
          </cell>
          <cell r="D1376">
            <v>3</v>
          </cell>
        </row>
        <row r="1377">
          <cell r="A1377" t="str">
            <v>미니게임종류</v>
          </cell>
          <cell r="B1377" t="str">
            <v>minigameKind</v>
          </cell>
          <cell r="C1377" t="str">
            <v>다트</v>
          </cell>
          <cell r="D1377">
            <v>4</v>
          </cell>
        </row>
        <row r="1378">
          <cell r="A1378" t="str">
            <v>미니게임종류</v>
          </cell>
          <cell r="B1378" t="str">
            <v>minigameKind</v>
          </cell>
          <cell r="C1378" t="str">
            <v>블랙잭</v>
          </cell>
          <cell r="D1378">
            <v>5</v>
          </cell>
        </row>
        <row r="1379">
          <cell r="A1379" t="str">
            <v>미니게임난이도</v>
          </cell>
          <cell r="B1379" t="str">
            <v>minigameLevel</v>
          </cell>
          <cell r="C1379" t="str">
            <v>없음</v>
          </cell>
          <cell r="D1379">
            <v>0</v>
          </cell>
        </row>
        <row r="1380">
          <cell r="A1380" t="str">
            <v>미니게임난이도</v>
          </cell>
          <cell r="B1380" t="str">
            <v>minigameLevel</v>
          </cell>
          <cell r="C1380" t="str">
            <v>쉬움</v>
          </cell>
          <cell r="D1380">
            <v>1</v>
          </cell>
        </row>
        <row r="1381">
          <cell r="A1381" t="str">
            <v>미니게임난이도</v>
          </cell>
          <cell r="B1381" t="str">
            <v>minigameLevel</v>
          </cell>
          <cell r="C1381" t="str">
            <v>보통</v>
          </cell>
          <cell r="D1381">
            <v>2</v>
          </cell>
        </row>
        <row r="1382">
          <cell r="A1382" t="str">
            <v>미니게임난이도</v>
          </cell>
          <cell r="B1382" t="str">
            <v>minigameLevel</v>
          </cell>
          <cell r="C1382" t="str">
            <v>어려움</v>
          </cell>
          <cell r="D1382">
            <v>3</v>
          </cell>
        </row>
        <row r="1383">
          <cell r="A1383" t="str">
            <v>미니게임난이도</v>
          </cell>
          <cell r="B1383" t="str">
            <v>minigameLevel</v>
          </cell>
          <cell r="C1383" t="str">
            <v>매우어려움</v>
          </cell>
          <cell r="D1383">
            <v>4</v>
          </cell>
        </row>
        <row r="1384">
          <cell r="A1384" t="str">
            <v>코이코이패분류1</v>
          </cell>
          <cell r="B1384" t="str">
            <v>koikoiCard1</v>
          </cell>
          <cell r="C1384" t="str">
            <v>없음</v>
          </cell>
          <cell r="D1384">
            <v>0</v>
          </cell>
        </row>
        <row r="1385">
          <cell r="A1385" t="str">
            <v>코이코이패분류1</v>
          </cell>
          <cell r="B1385" t="str">
            <v>koikoiCard1</v>
          </cell>
          <cell r="C1385" t="str">
            <v>광</v>
          </cell>
          <cell r="D1385">
            <v>1</v>
          </cell>
        </row>
        <row r="1386">
          <cell r="A1386" t="str">
            <v>코이코이패분류1</v>
          </cell>
          <cell r="B1386" t="str">
            <v>koikoiCard1</v>
          </cell>
          <cell r="C1386" t="str">
            <v>열끗</v>
          </cell>
          <cell r="D1386">
            <v>2</v>
          </cell>
        </row>
        <row r="1387">
          <cell r="A1387" t="str">
            <v>코이코이패분류1</v>
          </cell>
          <cell r="B1387" t="str">
            <v>koikoiCard1</v>
          </cell>
          <cell r="C1387" t="str">
            <v>띠</v>
          </cell>
          <cell r="D1387">
            <v>3</v>
          </cell>
        </row>
        <row r="1388">
          <cell r="A1388" t="str">
            <v>코이코이패분류1</v>
          </cell>
          <cell r="B1388" t="str">
            <v>koikoiCard1</v>
          </cell>
          <cell r="C1388" t="str">
            <v>피</v>
          </cell>
          <cell r="D1388">
            <v>4</v>
          </cell>
        </row>
        <row r="1389">
          <cell r="A1389" t="str">
            <v>코이코이패분류2</v>
          </cell>
          <cell r="B1389" t="str">
            <v>koikoiCard2</v>
          </cell>
          <cell r="C1389" t="str">
            <v>없음</v>
          </cell>
          <cell r="D1389">
            <v>0</v>
          </cell>
        </row>
        <row r="1390">
          <cell r="A1390" t="str">
            <v>코이코이패분류2</v>
          </cell>
          <cell r="B1390" t="str">
            <v>koikoiCard2</v>
          </cell>
          <cell r="C1390" t="str">
            <v>청단</v>
          </cell>
          <cell r="D1390">
            <v>1</v>
          </cell>
        </row>
        <row r="1391">
          <cell r="A1391" t="str">
            <v>코이코이패분류2</v>
          </cell>
          <cell r="B1391" t="str">
            <v>koikoiCard2</v>
          </cell>
          <cell r="C1391" t="str">
            <v>홍단</v>
          </cell>
          <cell r="D1391">
            <v>2</v>
          </cell>
        </row>
        <row r="1392">
          <cell r="A1392" t="str">
            <v>코이코이패분류2</v>
          </cell>
          <cell r="B1392" t="str">
            <v>koikoiCard2</v>
          </cell>
          <cell r="C1392" t="str">
            <v>비광</v>
          </cell>
          <cell r="D1392">
            <v>3</v>
          </cell>
        </row>
        <row r="1393">
          <cell r="A1393" t="str">
            <v>트럼프카드분류</v>
          </cell>
          <cell r="B1393" t="str">
            <v>trumpCard</v>
          </cell>
          <cell r="C1393" t="str">
            <v>스페이드</v>
          </cell>
          <cell r="D1393">
            <v>1</v>
          </cell>
        </row>
        <row r="1394">
          <cell r="A1394" t="str">
            <v>트럼프카드분류</v>
          </cell>
          <cell r="B1394" t="str">
            <v>trumpCard</v>
          </cell>
          <cell r="C1394" t="str">
            <v>다이아</v>
          </cell>
          <cell r="D1394">
            <v>2</v>
          </cell>
        </row>
        <row r="1395">
          <cell r="A1395" t="str">
            <v>트럼프카드분류</v>
          </cell>
          <cell r="B1395" t="str">
            <v>trumpCard</v>
          </cell>
          <cell r="C1395" t="str">
            <v>하트</v>
          </cell>
          <cell r="D1395">
            <v>3</v>
          </cell>
        </row>
        <row r="1396">
          <cell r="A1396" t="str">
            <v>트럼프카드분류</v>
          </cell>
          <cell r="B1396" t="str">
            <v>trumpCard</v>
          </cell>
          <cell r="C1396" t="str">
            <v>클로버</v>
          </cell>
          <cell r="D1396">
            <v>4</v>
          </cell>
        </row>
        <row r="1397">
          <cell r="A1397" t="str">
            <v>홀덤족보리스트</v>
          </cell>
          <cell r="B1397" t="str">
            <v>holdumRankList</v>
          </cell>
          <cell r="C1397" t="str">
            <v>없음</v>
          </cell>
          <cell r="D1397">
            <v>0</v>
          </cell>
        </row>
        <row r="1398">
          <cell r="A1398" t="str">
            <v>홀덤족보리스트</v>
          </cell>
          <cell r="B1398" t="str">
            <v>holdumRankList</v>
          </cell>
          <cell r="C1398" t="str">
            <v>로열스트레이트플러쉬</v>
          </cell>
          <cell r="D1398">
            <v>1</v>
          </cell>
        </row>
        <row r="1399">
          <cell r="A1399" t="str">
            <v>홀덤족보리스트</v>
          </cell>
          <cell r="B1399" t="str">
            <v>holdumRankList</v>
          </cell>
          <cell r="C1399" t="str">
            <v>스트레이트플러쉬</v>
          </cell>
          <cell r="D1399">
            <v>2</v>
          </cell>
        </row>
        <row r="1400">
          <cell r="A1400" t="str">
            <v>홀덤족보리스트</v>
          </cell>
          <cell r="B1400" t="str">
            <v>holdumRankList</v>
          </cell>
          <cell r="C1400" t="str">
            <v>포카드</v>
          </cell>
          <cell r="D1400">
            <v>3</v>
          </cell>
        </row>
        <row r="1401">
          <cell r="A1401" t="str">
            <v>홀덤족보리스트</v>
          </cell>
          <cell r="B1401" t="str">
            <v>holdumRankList</v>
          </cell>
          <cell r="C1401" t="str">
            <v>풀하우스</v>
          </cell>
          <cell r="D1401">
            <v>4</v>
          </cell>
        </row>
        <row r="1402">
          <cell r="A1402" t="str">
            <v>홀덤족보리스트</v>
          </cell>
          <cell r="B1402" t="str">
            <v>holdumRankList</v>
          </cell>
          <cell r="C1402" t="str">
            <v>플러쉬</v>
          </cell>
          <cell r="D1402">
            <v>5</v>
          </cell>
        </row>
        <row r="1403">
          <cell r="A1403" t="str">
            <v>홀덤족보리스트</v>
          </cell>
          <cell r="B1403" t="str">
            <v>holdumRankList</v>
          </cell>
          <cell r="C1403" t="str">
            <v>스트레이트</v>
          </cell>
          <cell r="D1403">
            <v>6</v>
          </cell>
        </row>
        <row r="1404">
          <cell r="A1404" t="str">
            <v>홀덤족보리스트</v>
          </cell>
          <cell r="B1404" t="str">
            <v>holdumRankList</v>
          </cell>
          <cell r="C1404" t="str">
            <v>트리플</v>
          </cell>
          <cell r="D1404">
            <v>7</v>
          </cell>
        </row>
        <row r="1405">
          <cell r="A1405" t="str">
            <v>홀덤족보리스트</v>
          </cell>
          <cell r="B1405" t="str">
            <v>holdumRankList</v>
          </cell>
          <cell r="C1405" t="str">
            <v>투페어</v>
          </cell>
          <cell r="D1405">
            <v>8</v>
          </cell>
        </row>
        <row r="1406">
          <cell r="A1406" t="str">
            <v>홀덤족보리스트</v>
          </cell>
          <cell r="B1406" t="str">
            <v>holdumRankList</v>
          </cell>
          <cell r="C1406" t="str">
            <v>원페어</v>
          </cell>
          <cell r="D1406">
            <v>9</v>
          </cell>
        </row>
        <row r="1407">
          <cell r="A1407" t="str">
            <v>홀덤족보리스트</v>
          </cell>
          <cell r="B1407" t="str">
            <v>holdumRankList</v>
          </cell>
          <cell r="C1407" t="str">
            <v>하이카드</v>
          </cell>
          <cell r="D1407">
            <v>10</v>
          </cell>
        </row>
        <row r="1408">
          <cell r="A1408" t="str">
            <v>트럼프카드족보구분</v>
          </cell>
          <cell r="B1408" t="str">
            <v>trumpCheck</v>
          </cell>
          <cell r="C1408" t="str">
            <v>없음</v>
          </cell>
          <cell r="D1408">
            <v>0</v>
          </cell>
        </row>
        <row r="1409">
          <cell r="A1409" t="str">
            <v>트럼프카드족보구분</v>
          </cell>
          <cell r="B1409" t="str">
            <v>trumpCheck</v>
          </cell>
          <cell r="C1409" t="str">
            <v>무늬같음</v>
          </cell>
          <cell r="D1409">
            <v>1</v>
          </cell>
        </row>
        <row r="1410">
          <cell r="A1410" t="str">
            <v>트럼프카드족보구분</v>
          </cell>
          <cell r="B1410" t="str">
            <v>trumpCheck</v>
          </cell>
          <cell r="C1410" t="str">
            <v>숫자같음</v>
          </cell>
          <cell r="D1410">
            <v>2</v>
          </cell>
        </row>
        <row r="1411">
          <cell r="A1411" t="str">
            <v>트럼프카드족보구분</v>
          </cell>
          <cell r="B1411" t="str">
            <v>trumpCheck</v>
          </cell>
          <cell r="C1411" t="str">
            <v>특수1</v>
          </cell>
          <cell r="D1411">
            <v>3</v>
          </cell>
        </row>
        <row r="1412">
          <cell r="A1412" t="str">
            <v>트럼프카드족보구분</v>
          </cell>
          <cell r="B1412" t="str">
            <v>trumpCheck</v>
          </cell>
          <cell r="C1412" t="str">
            <v>특수2</v>
          </cell>
          <cell r="D1412">
            <v>4</v>
          </cell>
        </row>
        <row r="1413">
          <cell r="A1413" t="str">
            <v>트럼프카드족보구분</v>
          </cell>
          <cell r="B1413" t="str">
            <v>trumpCheck</v>
          </cell>
          <cell r="C1413" t="str">
            <v>무늬다름</v>
          </cell>
          <cell r="D1413">
            <v>5</v>
          </cell>
        </row>
        <row r="1414">
          <cell r="A1414" t="str">
            <v>다이스족보리스트</v>
          </cell>
          <cell r="B1414" t="str">
            <v>diceRankList</v>
          </cell>
          <cell r="C1414" t="str">
            <v>없음</v>
          </cell>
          <cell r="D1414">
            <v>0</v>
          </cell>
        </row>
        <row r="1415">
          <cell r="A1415" t="str">
            <v>다이스족보리스트</v>
          </cell>
          <cell r="B1415" t="str">
            <v>diceRankList</v>
          </cell>
          <cell r="C1415" t="str">
            <v>파이브 다이스</v>
          </cell>
          <cell r="D1415">
            <v>1</v>
          </cell>
        </row>
        <row r="1416">
          <cell r="A1416" t="str">
            <v>다이스족보리스트</v>
          </cell>
          <cell r="B1416" t="str">
            <v>diceRankList</v>
          </cell>
          <cell r="C1416" t="str">
            <v>포 다이스</v>
          </cell>
          <cell r="D1416">
            <v>2</v>
          </cell>
        </row>
        <row r="1417">
          <cell r="A1417" t="str">
            <v>다이스족보리스트</v>
          </cell>
          <cell r="B1417" t="str">
            <v>diceRankList</v>
          </cell>
          <cell r="C1417" t="str">
            <v>풀 하우스</v>
          </cell>
          <cell r="D1417">
            <v>3</v>
          </cell>
        </row>
        <row r="1418">
          <cell r="A1418" t="str">
            <v>다이스족보리스트</v>
          </cell>
          <cell r="B1418" t="str">
            <v>diceRankList</v>
          </cell>
          <cell r="C1418" t="str">
            <v>쓰리 다이스</v>
          </cell>
          <cell r="D1418">
            <v>4</v>
          </cell>
        </row>
        <row r="1419">
          <cell r="A1419" t="str">
            <v>다이스족보리스트</v>
          </cell>
          <cell r="B1419" t="str">
            <v>diceRankList</v>
          </cell>
          <cell r="C1419" t="str">
            <v>투 페어</v>
          </cell>
          <cell r="D1419">
            <v>5</v>
          </cell>
        </row>
        <row r="1420">
          <cell r="A1420" t="str">
            <v>다이스족보리스트</v>
          </cell>
          <cell r="B1420" t="str">
            <v>diceRankList</v>
          </cell>
          <cell r="C1420" t="str">
            <v>원 페어</v>
          </cell>
          <cell r="D1420">
            <v>6</v>
          </cell>
        </row>
        <row r="1421">
          <cell r="A1421" t="str">
            <v>다이스족보구분</v>
          </cell>
          <cell r="B1421" t="str">
            <v>diceCheck</v>
          </cell>
          <cell r="C1421" t="str">
            <v>없음</v>
          </cell>
          <cell r="D1421">
            <v>0</v>
          </cell>
        </row>
        <row r="1422">
          <cell r="A1422" t="str">
            <v>다이스족보구분</v>
          </cell>
          <cell r="B1422" t="str">
            <v>diceCheck</v>
          </cell>
          <cell r="C1422" t="str">
            <v>같은눈금</v>
          </cell>
          <cell r="D1422">
            <v>1</v>
          </cell>
        </row>
        <row r="1423">
          <cell r="A1423" t="str">
            <v>다이스족보구분</v>
          </cell>
          <cell r="B1423" t="str">
            <v>diceCheck</v>
          </cell>
          <cell r="C1423" t="str">
            <v>특수3</v>
          </cell>
          <cell r="D1423">
            <v>2</v>
          </cell>
        </row>
        <row r="1424">
          <cell r="A1424" t="str">
            <v>다이스족보구분</v>
          </cell>
          <cell r="B1424" t="str">
            <v>diceCheck</v>
          </cell>
          <cell r="C1424" t="str">
            <v>특수4</v>
          </cell>
          <cell r="D1424">
            <v>3</v>
          </cell>
        </row>
        <row r="1425">
          <cell r="A1425" t="str">
            <v>다트판구분</v>
          </cell>
          <cell r="B1425" t="str">
            <v>dartPoint</v>
          </cell>
          <cell r="C1425" t="str">
            <v>무효</v>
          </cell>
          <cell r="D1425">
            <v>0</v>
          </cell>
        </row>
        <row r="1426">
          <cell r="A1426" t="str">
            <v>다트판구분</v>
          </cell>
          <cell r="B1426" t="str">
            <v>dartPoint</v>
          </cell>
          <cell r="C1426" t="str">
            <v>SINGLE</v>
          </cell>
          <cell r="D1426">
            <v>1</v>
          </cell>
        </row>
        <row r="1427">
          <cell r="A1427" t="str">
            <v>다트판구분</v>
          </cell>
          <cell r="B1427" t="str">
            <v>dartPoint</v>
          </cell>
          <cell r="C1427" t="str">
            <v>DOUBLE</v>
          </cell>
          <cell r="D1427">
            <v>2</v>
          </cell>
        </row>
        <row r="1428">
          <cell r="A1428" t="str">
            <v>다트판구분</v>
          </cell>
          <cell r="B1428" t="str">
            <v>dartPoint</v>
          </cell>
          <cell r="C1428" t="str">
            <v>TRIPLE</v>
          </cell>
          <cell r="D1428">
            <v>3</v>
          </cell>
        </row>
        <row r="1429">
          <cell r="A1429" t="str">
            <v>다트판구분</v>
          </cell>
          <cell r="B1429" t="str">
            <v>dartPoint</v>
          </cell>
          <cell r="C1429" t="str">
            <v>BULL</v>
          </cell>
          <cell r="D1429">
            <v>4</v>
          </cell>
        </row>
        <row r="1430">
          <cell r="A1430" t="str">
            <v>미니게임항해사호감도</v>
          </cell>
          <cell r="B1430" t="str">
            <v>minigameLikeGrade</v>
          </cell>
          <cell r="C1430" t="str">
            <v>싫어함</v>
          </cell>
          <cell r="D1430">
            <v>1</v>
          </cell>
        </row>
        <row r="1431">
          <cell r="A1431" t="str">
            <v>미니게임항해사호감도</v>
          </cell>
          <cell r="B1431" t="str">
            <v>minigameLikeGrade</v>
          </cell>
          <cell r="C1431" t="str">
            <v>보통</v>
          </cell>
          <cell r="D1431">
            <v>2</v>
          </cell>
        </row>
        <row r="1432">
          <cell r="A1432" t="str">
            <v>미니게임항해사호감도</v>
          </cell>
          <cell r="B1432" t="str">
            <v>minigameLikeGrade</v>
          </cell>
          <cell r="C1432" t="str">
            <v>좋아함</v>
          </cell>
          <cell r="D1432">
            <v>3</v>
          </cell>
        </row>
        <row r="1433">
          <cell r="A1433" t="str">
            <v>PubStaffChatType존댓말</v>
          </cell>
          <cell r="B1433" t="str">
            <v>PubStaffChatType</v>
          </cell>
          <cell r="C1433" t="str">
            <v>존댓말</v>
          </cell>
          <cell r="D1433">
            <v>0</v>
          </cell>
        </row>
        <row r="1434">
          <cell r="A1434" t="str">
            <v>PubStaffChatType반말</v>
          </cell>
          <cell r="B1434" t="str">
            <v>PubStaffChatType</v>
          </cell>
          <cell r="C1434" t="str">
            <v>반말</v>
          </cell>
          <cell r="D1434">
            <v>1</v>
          </cell>
        </row>
        <row r="1435">
          <cell r="A1435" t="str">
            <v>overrideType=</v>
          </cell>
          <cell r="B1435" t="str">
            <v>overrideType</v>
          </cell>
          <cell r="C1435" t="str">
            <v>=</v>
          </cell>
          <cell r="D1435">
            <v>1</v>
          </cell>
        </row>
        <row r="1436">
          <cell r="A1436" t="str">
            <v>overrideType+</v>
          </cell>
          <cell r="B1436" t="str">
            <v>overrideType</v>
          </cell>
          <cell r="C1436" t="str">
            <v>+</v>
          </cell>
          <cell r="D1436">
            <v>2</v>
          </cell>
        </row>
        <row r="1437">
          <cell r="A1437" t="str">
            <v>overrideType*</v>
          </cell>
          <cell r="B1437" t="str">
            <v>overrideType</v>
          </cell>
          <cell r="C1437" t="str">
            <v>*</v>
          </cell>
          <cell r="D1437">
            <v>3</v>
          </cell>
        </row>
        <row r="1438">
          <cell r="A1438" t="str">
            <v>questItemType이미지</v>
          </cell>
          <cell r="B1438" t="str">
            <v>questItemType</v>
          </cell>
          <cell r="C1438" t="str">
            <v>이미지</v>
          </cell>
          <cell r="D1438">
            <v>0</v>
          </cell>
        </row>
        <row r="1439">
          <cell r="A1439" t="str">
            <v>questItemType편지</v>
          </cell>
          <cell r="B1439" t="str">
            <v>questItemType</v>
          </cell>
          <cell r="C1439" t="str">
            <v>편지</v>
          </cell>
          <cell r="D1439">
            <v>1</v>
          </cell>
        </row>
        <row r="1440">
          <cell r="A1440" t="str">
            <v>shipyardShopType부품</v>
          </cell>
          <cell r="B1440" t="str">
            <v>shipyardShopType</v>
          </cell>
          <cell r="C1440" t="str">
            <v>부품</v>
          </cell>
          <cell r="D1440">
            <v>1</v>
          </cell>
        </row>
        <row r="1441">
          <cell r="A1441" t="str">
            <v>shipyardShopType아이템</v>
          </cell>
          <cell r="B1441" t="str">
            <v>shipyardShopType</v>
          </cell>
          <cell r="C1441" t="str">
            <v>아이템</v>
          </cell>
          <cell r="D1441">
            <v>2</v>
          </cell>
        </row>
        <row r="1442">
          <cell r="A1442" t="str">
            <v>rarity없음</v>
          </cell>
          <cell r="B1442" t="str">
            <v>rarity</v>
          </cell>
          <cell r="C1442" t="str">
            <v>없음</v>
          </cell>
          <cell r="D1442">
            <v>0</v>
          </cell>
        </row>
        <row r="1443">
          <cell r="A1443" t="str">
            <v>rarity커먼</v>
          </cell>
          <cell r="B1443" t="str">
            <v>rarity</v>
          </cell>
          <cell r="C1443" t="str">
            <v>커먼</v>
          </cell>
          <cell r="D1443">
            <v>1</v>
          </cell>
        </row>
        <row r="1444">
          <cell r="A1444" t="str">
            <v>rarity언커먼</v>
          </cell>
          <cell r="B1444" t="str">
            <v>rarity</v>
          </cell>
          <cell r="C1444" t="str">
            <v>언커먼</v>
          </cell>
          <cell r="D1444">
            <v>2</v>
          </cell>
        </row>
        <row r="1445">
          <cell r="A1445" t="str">
            <v>rarity레어</v>
          </cell>
          <cell r="B1445" t="str">
            <v>rarity</v>
          </cell>
          <cell r="C1445" t="str">
            <v>레어</v>
          </cell>
          <cell r="D1445">
            <v>3</v>
          </cell>
        </row>
        <row r="1446">
          <cell r="A1446" t="str">
            <v>rarity유니크</v>
          </cell>
          <cell r="B1446" t="str">
            <v>rarity</v>
          </cell>
          <cell r="C1446" t="str">
            <v>유니크</v>
          </cell>
          <cell r="D1446">
            <v>4</v>
          </cell>
        </row>
        <row r="1447">
          <cell r="A1447" t="str">
            <v>rarity에픽</v>
          </cell>
          <cell r="B1447" t="str">
            <v>rarity</v>
          </cell>
          <cell r="C1447" t="str">
            <v>에픽</v>
          </cell>
          <cell r="D1447">
            <v>5</v>
          </cell>
        </row>
        <row r="1448">
          <cell r="A1448" t="str">
            <v>adventureStat없음</v>
          </cell>
          <cell r="B1448" t="str">
            <v>adventureStat</v>
          </cell>
          <cell r="C1448" t="str">
            <v>없음</v>
          </cell>
          <cell r="D1448">
            <v>0</v>
          </cell>
        </row>
        <row r="1449">
          <cell r="A1449" t="str">
            <v>adventureStat전투력</v>
          </cell>
          <cell r="B1449" t="str">
            <v>adventureStat</v>
          </cell>
          <cell r="C1449" t="str">
            <v>전투력</v>
          </cell>
          <cell r="D1449">
            <v>1</v>
          </cell>
        </row>
        <row r="1450">
          <cell r="A1450" t="str">
            <v>adventureStat탐색력</v>
          </cell>
          <cell r="B1450" t="str">
            <v>adventureStat</v>
          </cell>
          <cell r="C1450" t="str">
            <v>탐색력</v>
          </cell>
          <cell r="D1450">
            <v>2</v>
          </cell>
        </row>
        <row r="1451">
          <cell r="A1451" t="str">
            <v>adventureStat채집력</v>
          </cell>
          <cell r="B1451" t="str">
            <v>adventureStat</v>
          </cell>
          <cell r="C1451" t="str">
            <v>채집력</v>
          </cell>
          <cell r="D1451">
            <v>3</v>
          </cell>
        </row>
        <row r="1452">
          <cell r="A1452" t="str">
            <v>adventureStat집중력</v>
          </cell>
          <cell r="B1452" t="str">
            <v>adventureStat</v>
          </cell>
          <cell r="C1452" t="str">
            <v>집중력</v>
          </cell>
          <cell r="D1452">
            <v>4</v>
          </cell>
        </row>
        <row r="1453">
          <cell r="A1453" t="str">
            <v>adventureStat기동력</v>
          </cell>
          <cell r="B1453" t="str">
            <v>adventureStat</v>
          </cell>
          <cell r="C1453" t="str">
            <v>기동력</v>
          </cell>
          <cell r="D1453">
            <v>5</v>
          </cell>
        </row>
        <row r="1454">
          <cell r="A1454" t="str">
            <v>adventureStat유지력</v>
          </cell>
          <cell r="B1454" t="str">
            <v>adventureStat</v>
          </cell>
          <cell r="C1454" t="str">
            <v>유지력</v>
          </cell>
          <cell r="D1454">
            <v>6</v>
          </cell>
        </row>
        <row r="1455">
          <cell r="A1455" t="str">
            <v>adventureStat전부</v>
          </cell>
          <cell r="B1455" t="str">
            <v>adventureStat</v>
          </cell>
          <cell r="C1455" t="str">
            <v>전부</v>
          </cell>
          <cell r="D1455">
            <v>7</v>
          </cell>
        </row>
        <row r="1456">
          <cell r="A1456" t="str">
            <v>mathSign없음</v>
          </cell>
          <cell r="B1456" t="str">
            <v>mathSign</v>
          </cell>
          <cell r="C1456" t="str">
            <v>없음</v>
          </cell>
          <cell r="D1456">
            <v>0</v>
          </cell>
        </row>
        <row r="1457">
          <cell r="A1457" t="str">
            <v>mathSign더하기</v>
          </cell>
          <cell r="B1457" t="str">
            <v>mathSign</v>
          </cell>
          <cell r="C1457" t="str">
            <v>더하기</v>
          </cell>
          <cell r="D1457">
            <v>1</v>
          </cell>
        </row>
        <row r="1458">
          <cell r="A1458" t="str">
            <v>mathSign곱하기/10</v>
          </cell>
          <cell r="B1458" t="str">
            <v>mathSign</v>
          </cell>
          <cell r="C1458" t="str">
            <v>곱하기/10</v>
          </cell>
          <cell r="D1458">
            <v>2</v>
          </cell>
        </row>
        <row r="1459">
          <cell r="A1459" t="str">
            <v>mathSign나누기</v>
          </cell>
          <cell r="B1459" t="str">
            <v>mathSign</v>
          </cell>
          <cell r="C1459" t="str">
            <v>나누기</v>
          </cell>
          <cell r="D1459">
            <v>3</v>
          </cell>
        </row>
        <row r="1460">
          <cell r="A1460" t="str">
            <v>mathSign대체</v>
          </cell>
          <cell r="B1460" t="str">
            <v>mathSign</v>
          </cell>
          <cell r="C1460" t="str">
            <v>대체</v>
          </cell>
          <cell r="D1460">
            <v>4</v>
          </cell>
        </row>
        <row r="1461">
          <cell r="A1461" t="str">
            <v>adventureSpecialEffectFunc없음</v>
          </cell>
          <cell r="B1461" t="str">
            <v>adventureSpecialEffectFunc</v>
          </cell>
          <cell r="C1461" t="str">
            <v>없음</v>
          </cell>
          <cell r="D1461">
            <v>0</v>
          </cell>
        </row>
        <row r="1462">
          <cell r="A1462" t="str">
            <v>adventureSpecialEffectFunc특수 효과 제거</v>
          </cell>
          <cell r="B1462" t="str">
            <v>adventureSpecialEffectFunc</v>
          </cell>
          <cell r="C1462" t="str">
            <v>특수 효과 제거</v>
          </cell>
          <cell r="D1462">
            <v>1</v>
          </cell>
        </row>
        <row r="1463">
          <cell r="A1463" t="str">
            <v>adventureSpecialEffectFunc발견물 확률 변경</v>
          </cell>
          <cell r="B1463" t="str">
            <v>adventureSpecialEffectFunc</v>
          </cell>
          <cell r="C1463" t="str">
            <v>발견물 확률 변경</v>
          </cell>
          <cell r="D1463">
            <v>2</v>
          </cell>
        </row>
        <row r="1464">
          <cell r="A1464" t="str">
            <v>adventureSpecialEffectFunc리워드 확률 변경</v>
          </cell>
          <cell r="B1464" t="str">
            <v>adventureSpecialEffectFunc</v>
          </cell>
          <cell r="C1464" t="str">
            <v>리워드 확률 변경</v>
          </cell>
          <cell r="D1464">
            <v>3</v>
          </cell>
        </row>
        <row r="1465">
          <cell r="A1465" t="str">
            <v>adventureSpecialEffectFunc리워드 수량 변경</v>
          </cell>
          <cell r="B1465" t="str">
            <v>adventureSpecialEffectFunc</v>
          </cell>
          <cell r="C1465" t="str">
            <v>리워드 수량 변경</v>
          </cell>
          <cell r="D1465">
            <v>4</v>
          </cell>
        </row>
        <row r="1466">
          <cell r="A1466" t="str">
            <v>adventureSpecialEffectFunc무조건 승리</v>
          </cell>
          <cell r="B1466" t="str">
            <v>adventureSpecialEffectFunc</v>
          </cell>
          <cell r="C1466" t="str">
            <v>무조건 승리</v>
          </cell>
          <cell r="D1466">
            <v>5</v>
          </cell>
        </row>
        <row r="1467">
          <cell r="A1467" t="str">
            <v>adventureSpecialEffectFunc무조건 패배</v>
          </cell>
          <cell r="B1467" t="str">
            <v>adventureSpecialEffectFunc</v>
          </cell>
          <cell r="C1467" t="str">
            <v>무조건 패배</v>
          </cell>
          <cell r="D1467">
            <v>6</v>
          </cell>
        </row>
        <row r="1468">
          <cell r="A1468" t="str">
            <v>adventureSpecialEffectFunc모험 도구 수량 변경</v>
          </cell>
          <cell r="B1468" t="str">
            <v>adventureSpecialEffectFunc</v>
          </cell>
          <cell r="C1468" t="str">
            <v>모험 도구 수량 변경</v>
          </cell>
          <cell r="D1468">
            <v>7</v>
          </cell>
        </row>
        <row r="1469">
          <cell r="A1469" t="str">
            <v>adventureSpecialEffectFunc인명 피해율 변경</v>
          </cell>
          <cell r="B1469" t="str">
            <v>adventureSpecialEffectFunc</v>
          </cell>
          <cell r="C1469" t="str">
            <v>인명 피해율 변경</v>
          </cell>
          <cell r="D1469">
            <v>8</v>
          </cell>
        </row>
        <row r="1470">
          <cell r="A1470" t="str">
            <v>adventureSpecialEffectFunc기본 자원 확률 변경</v>
          </cell>
          <cell r="B1470" t="str">
            <v>adventureSpecialEffectFunc</v>
          </cell>
          <cell r="C1470" t="str">
            <v>기본 자원 확률 변경</v>
          </cell>
          <cell r="D1470">
            <v>9</v>
          </cell>
        </row>
        <row r="1471">
          <cell r="A1471" t="str">
            <v>adventureSpecialEffectFunc기본 자원 수량 변경</v>
          </cell>
          <cell r="B1471" t="str">
            <v>adventureSpecialEffectFunc</v>
          </cell>
          <cell r="C1471" t="str">
            <v>기본 자원 수량 변경</v>
          </cell>
          <cell r="D1471">
            <v>10</v>
          </cell>
        </row>
        <row r="1472">
          <cell r="A1472" t="str">
            <v>adventureSpecialEffectFunc모험 일수 변경</v>
          </cell>
          <cell r="B1472" t="str">
            <v>adventureSpecialEffectFunc</v>
          </cell>
          <cell r="C1472" t="str">
            <v>모험 일수 변경</v>
          </cell>
          <cell r="D1472">
            <v>11</v>
          </cell>
        </row>
        <row r="1473">
          <cell r="A1473" t="str">
            <v>adventureSpecialEffectFunc항해사 부상 수 변경</v>
          </cell>
          <cell r="B1473" t="str">
            <v>adventureSpecialEffectFunc</v>
          </cell>
          <cell r="C1473" t="str">
            <v>항해사 부상 수 변경</v>
          </cell>
          <cell r="D1473">
            <v>12</v>
          </cell>
        </row>
        <row r="1474">
          <cell r="A1474" t="str">
            <v>adventureSpecialEffectFunc선원 사망 수 변경</v>
          </cell>
          <cell r="B1474" t="str">
            <v>adventureSpecialEffectFunc</v>
          </cell>
          <cell r="C1474" t="str">
            <v>선원 사망 수 변경</v>
          </cell>
          <cell r="D1474">
            <v>13</v>
          </cell>
        </row>
        <row r="1475">
          <cell r="A1475" t="str">
            <v>adventureSpecialEffectFunc보상 확률 변경 무효</v>
          </cell>
          <cell r="B1475" t="str">
            <v>adventureSpecialEffectFunc</v>
          </cell>
          <cell r="C1475" t="str">
            <v>보상 확률 변경 무효</v>
          </cell>
          <cell r="D1475">
            <v>14</v>
          </cell>
        </row>
        <row r="1476">
          <cell r="A1476" t="str">
            <v>adventureSpotType없음</v>
          </cell>
          <cell r="B1476" t="str">
            <v>adventureSpotType</v>
          </cell>
          <cell r="C1476" t="str">
            <v>없음</v>
          </cell>
          <cell r="D1476">
            <v>0</v>
          </cell>
        </row>
        <row r="1477">
          <cell r="A1477" t="str">
            <v>adventureSpotType전투</v>
          </cell>
          <cell r="B1477" t="str">
            <v>adventureSpotType</v>
          </cell>
          <cell r="C1477" t="str">
            <v>전투</v>
          </cell>
          <cell r="D1477">
            <v>1</v>
          </cell>
        </row>
        <row r="1478">
          <cell r="A1478" t="str">
            <v>adventureSpotType탐색</v>
          </cell>
          <cell r="B1478" t="str">
            <v>adventureSpotType</v>
          </cell>
          <cell r="C1478" t="str">
            <v>탐색</v>
          </cell>
          <cell r="D1478">
            <v>2</v>
          </cell>
        </row>
        <row r="1479">
          <cell r="A1479" t="str">
            <v>adventureSpotType채집</v>
          </cell>
          <cell r="B1479" t="str">
            <v>adventureSpotType</v>
          </cell>
          <cell r="C1479" t="str">
            <v>채집</v>
          </cell>
          <cell r="D1479">
            <v>3</v>
          </cell>
        </row>
        <row r="1480">
          <cell r="A1480" t="str">
            <v>adventureSpotType모두</v>
          </cell>
          <cell r="B1480" t="str">
            <v>adventureSpotType</v>
          </cell>
          <cell r="C1480" t="str">
            <v>모두</v>
          </cell>
          <cell r="D1480">
            <v>4</v>
          </cell>
        </row>
        <row r="1481">
          <cell r="A1481" t="str">
            <v>adventureSpotType마지막</v>
          </cell>
          <cell r="B1481" t="str">
            <v>adventureSpotType</v>
          </cell>
          <cell r="C1481" t="str">
            <v>마지막</v>
          </cell>
          <cell r="D1481">
            <v>5</v>
          </cell>
        </row>
        <row r="1482">
          <cell r="A1482" t="str">
            <v>adventureSpotType처음</v>
          </cell>
          <cell r="B1482" t="str">
            <v>adventureSpotType</v>
          </cell>
          <cell r="C1482" t="str">
            <v>처음</v>
          </cell>
          <cell r="D1482">
            <v>6</v>
          </cell>
        </row>
        <row r="1483">
          <cell r="A1483" t="str">
            <v>comparisonMark없음</v>
          </cell>
          <cell r="B1483" t="str">
            <v>comparisonMark</v>
          </cell>
          <cell r="C1483" t="str">
            <v>없음</v>
          </cell>
          <cell r="D1483">
            <v>0</v>
          </cell>
        </row>
        <row r="1484">
          <cell r="A1484" t="str">
            <v>comparisonMark&lt;</v>
          </cell>
          <cell r="B1484" t="str">
            <v>comparisonMark</v>
          </cell>
          <cell r="C1484" t="str">
            <v>&lt;</v>
          </cell>
          <cell r="D1484">
            <v>1</v>
          </cell>
        </row>
        <row r="1485">
          <cell r="A1485" t="str">
            <v>comparisonMark&lt;=</v>
          </cell>
          <cell r="B1485" t="str">
            <v>comparisonMark</v>
          </cell>
          <cell r="C1485" t="str">
            <v>&lt;=</v>
          </cell>
          <cell r="D1485">
            <v>2</v>
          </cell>
        </row>
        <row r="1486">
          <cell r="A1486" t="str">
            <v>comparisonMark=</v>
          </cell>
          <cell r="B1486" t="str">
            <v>comparisonMark</v>
          </cell>
          <cell r="C1486" t="str">
            <v>=</v>
          </cell>
          <cell r="D1486">
            <v>3</v>
          </cell>
        </row>
        <row r="1487">
          <cell r="A1487" t="str">
            <v>comparisonMark&gt;=</v>
          </cell>
          <cell r="B1487" t="str">
            <v>comparisonMark</v>
          </cell>
          <cell r="C1487" t="str">
            <v>&gt;=</v>
          </cell>
          <cell r="D1487">
            <v>4</v>
          </cell>
        </row>
        <row r="1488">
          <cell r="A1488" t="str">
            <v>comparisonMark&gt;</v>
          </cell>
          <cell r="B1488" t="str">
            <v>comparisonMark</v>
          </cell>
          <cell r="C1488" t="str">
            <v>&gt;</v>
          </cell>
          <cell r="D1488">
            <v>5</v>
          </cell>
        </row>
        <row r="1489">
          <cell r="A1489" t="str">
            <v>animalTypeNone</v>
          </cell>
          <cell r="B1489" t="str">
            <v>animalType</v>
          </cell>
          <cell r="C1489" t="str">
            <v>None</v>
          </cell>
          <cell r="D1489">
            <v>0</v>
          </cell>
        </row>
        <row r="1490">
          <cell r="A1490" t="str">
            <v>animalTypeWolf</v>
          </cell>
          <cell r="B1490" t="str">
            <v>animalType</v>
          </cell>
          <cell r="C1490" t="str">
            <v>Wolf</v>
          </cell>
          <cell r="D1490">
            <v>1</v>
          </cell>
        </row>
        <row r="1491">
          <cell r="A1491" t="str">
            <v>animalTypeBear</v>
          </cell>
          <cell r="B1491" t="str">
            <v>animalType</v>
          </cell>
          <cell r="C1491" t="str">
            <v>Bear</v>
          </cell>
          <cell r="D1491">
            <v>2</v>
          </cell>
        </row>
        <row r="1492">
          <cell r="A1492" t="str">
            <v>animalTypeLeopard</v>
          </cell>
          <cell r="B1492" t="str">
            <v>animalType</v>
          </cell>
          <cell r="C1492" t="str">
            <v>Leopard</v>
          </cell>
          <cell r="D1492">
            <v>3</v>
          </cell>
        </row>
        <row r="1493">
          <cell r="A1493" t="str">
            <v>animalTypeTiger</v>
          </cell>
          <cell r="B1493" t="str">
            <v>animalType</v>
          </cell>
          <cell r="C1493" t="str">
            <v>Tiger</v>
          </cell>
          <cell r="D1493">
            <v>4</v>
          </cell>
        </row>
        <row r="1494">
          <cell r="A1494" t="str">
            <v>animalTypeBubalusArnee</v>
          </cell>
          <cell r="B1494" t="str">
            <v>animalType</v>
          </cell>
          <cell r="C1494" t="str">
            <v>BubalusArnee</v>
          </cell>
          <cell r="D1494">
            <v>5</v>
          </cell>
        </row>
        <row r="1495">
          <cell r="A1495" t="str">
            <v>animalTypeCow</v>
          </cell>
          <cell r="B1495" t="str">
            <v>animalType</v>
          </cell>
          <cell r="C1495" t="str">
            <v>Cow</v>
          </cell>
          <cell r="D1495">
            <v>6</v>
          </cell>
        </row>
        <row r="1496">
          <cell r="A1496" t="str">
            <v>animalTypeSnake</v>
          </cell>
          <cell r="B1496" t="str">
            <v>animalType</v>
          </cell>
          <cell r="C1496" t="str">
            <v>Snake</v>
          </cell>
          <cell r="D1496">
            <v>7</v>
          </cell>
        </row>
        <row r="1497">
          <cell r="A1497" t="str">
            <v>animalTypeDingo</v>
          </cell>
          <cell r="B1497" t="str">
            <v>animalType</v>
          </cell>
          <cell r="C1497" t="str">
            <v>Dingo</v>
          </cell>
          <cell r="D1497">
            <v>8</v>
          </cell>
        </row>
        <row r="1498">
          <cell r="A1498" t="str">
            <v>animalTypeGorilla</v>
          </cell>
          <cell r="B1498" t="str">
            <v>animalType</v>
          </cell>
          <cell r="C1498" t="str">
            <v>Gorilla</v>
          </cell>
          <cell r="D1498">
            <v>9</v>
          </cell>
        </row>
        <row r="1499">
          <cell r="A1499" t="str">
            <v>animalTypeWildBoar</v>
          </cell>
          <cell r="B1499" t="str">
            <v>animalType</v>
          </cell>
          <cell r="C1499" t="str">
            <v>WildBoar</v>
          </cell>
          <cell r="D1499">
            <v>10</v>
          </cell>
        </row>
        <row r="1500">
          <cell r="A1500" t="str">
            <v>animalTypeRaptor</v>
          </cell>
          <cell r="B1500" t="str">
            <v>animalType</v>
          </cell>
          <cell r="C1500" t="str">
            <v>Raptor</v>
          </cell>
          <cell r="D1500">
            <v>11</v>
          </cell>
        </row>
        <row r="1501">
          <cell r="A1501" t="str">
            <v>animalTypeLion</v>
          </cell>
          <cell r="B1501" t="str">
            <v>animalType</v>
          </cell>
          <cell r="C1501" t="str">
            <v>Lion</v>
          </cell>
          <cell r="D1501">
            <v>12</v>
          </cell>
        </row>
        <row r="1502">
          <cell r="A1502" t="str">
            <v>animalTypeBugs</v>
          </cell>
          <cell r="B1502" t="str">
            <v>animalType</v>
          </cell>
          <cell r="C1502" t="str">
            <v>Bugs</v>
          </cell>
          <cell r="D1502">
            <v>13</v>
          </cell>
        </row>
        <row r="1503">
          <cell r="A1503" t="str">
            <v>animalTypeCrocodile</v>
          </cell>
          <cell r="B1503" t="str">
            <v>animalType</v>
          </cell>
          <cell r="C1503" t="str">
            <v>Crocodile</v>
          </cell>
          <cell r="D1503">
            <v>14</v>
          </cell>
        </row>
        <row r="1504">
          <cell r="A1504" t="str">
            <v>animalTypeHippo</v>
          </cell>
          <cell r="B1504" t="str">
            <v>animalType</v>
          </cell>
          <cell r="C1504" t="str">
            <v>Hippo</v>
          </cell>
          <cell r="D1504">
            <v>15</v>
          </cell>
        </row>
        <row r="1505">
          <cell r="A1505" t="str">
            <v>animalTypeFightinChicken</v>
          </cell>
          <cell r="B1505" t="str">
            <v>animalType</v>
          </cell>
          <cell r="C1505" t="str">
            <v>FightinChicken</v>
          </cell>
          <cell r="D1505">
            <v>16</v>
          </cell>
        </row>
        <row r="1506">
          <cell r="A1506" t="str">
            <v>animalTypeOstrich</v>
          </cell>
          <cell r="B1506" t="str">
            <v>animalType</v>
          </cell>
          <cell r="C1506" t="str">
            <v>Ostrich</v>
          </cell>
          <cell r="D1506">
            <v>17</v>
          </cell>
        </row>
        <row r="1507">
          <cell r="A1507" t="str">
            <v>cashShopLimitSaleType장비</v>
          </cell>
          <cell r="B1507" t="str">
            <v>cashShopLimitSaleType</v>
          </cell>
          <cell r="C1507" t="str">
            <v>장비</v>
          </cell>
          <cell r="D1507">
            <v>1</v>
          </cell>
        </row>
        <row r="1508">
          <cell r="A1508" t="str">
            <v>cashShopLimitSaleType아이템</v>
          </cell>
          <cell r="B1508" t="str">
            <v>cashShopLimitSaleType</v>
          </cell>
          <cell r="C1508" t="str">
            <v>아이템</v>
          </cell>
          <cell r="D1508">
            <v>2</v>
          </cell>
        </row>
        <row r="1509">
          <cell r="A1509" t="str">
            <v>cashShopLimitSaleType부품</v>
          </cell>
          <cell r="B1509" t="str">
            <v>cashShopLimitSaleType</v>
          </cell>
          <cell r="C1509" t="str">
            <v>부품</v>
          </cell>
          <cell r="D1509">
            <v>3</v>
          </cell>
        </row>
        <row r="1510">
          <cell r="A1510" t="str">
            <v>cashShopLimitSalePointType무료</v>
          </cell>
          <cell r="B1510" t="str">
            <v>cashShopLimitSalePointType</v>
          </cell>
          <cell r="C1510" t="str">
            <v>무료</v>
          </cell>
          <cell r="D1510">
            <v>1</v>
          </cell>
        </row>
        <row r="1511">
          <cell r="A1511" t="str">
            <v>cashShopLimitSalePointType유료</v>
          </cell>
          <cell r="B1511" t="str">
            <v>cashShopLimitSalePointType</v>
          </cell>
          <cell r="C1511" t="str">
            <v>유료</v>
          </cell>
          <cell r="D1511">
            <v>2</v>
          </cell>
        </row>
        <row r="1512">
          <cell r="A1512" t="str">
            <v>craftCategory부품</v>
          </cell>
          <cell r="B1512" t="str">
            <v>craftCategory</v>
          </cell>
          <cell r="C1512" t="str">
            <v>부품</v>
          </cell>
          <cell r="D1512">
            <v>0</v>
          </cell>
        </row>
        <row r="1513">
          <cell r="A1513" t="str">
            <v>craftCategory장비</v>
          </cell>
          <cell r="B1513" t="str">
            <v>craftCategory</v>
          </cell>
          <cell r="C1513" t="str">
            <v>장비</v>
          </cell>
          <cell r="D1513">
            <v>1</v>
          </cell>
        </row>
        <row r="1514">
          <cell r="A1514" t="str">
            <v>craftCategory도구</v>
          </cell>
          <cell r="B1514" t="str">
            <v>craftCategory</v>
          </cell>
          <cell r="C1514" t="str">
            <v>도구</v>
          </cell>
          <cell r="D1514">
            <v>2</v>
          </cell>
        </row>
        <row r="1515">
          <cell r="A1515" t="str">
            <v>craftResultType확률</v>
          </cell>
          <cell r="B1515" t="str">
            <v>craftResultType</v>
          </cell>
          <cell r="C1515" t="str">
            <v>확률</v>
          </cell>
          <cell r="D1515">
            <v>0</v>
          </cell>
        </row>
        <row r="1516">
          <cell r="A1516" t="str">
            <v>craftResultType비귀속</v>
          </cell>
          <cell r="B1516" t="str">
            <v>craftResultType</v>
          </cell>
          <cell r="C1516" t="str">
            <v>비귀속</v>
          </cell>
          <cell r="D1516">
            <v>1</v>
          </cell>
        </row>
        <row r="1517">
          <cell r="A1517" t="str">
            <v>craftResultType귀속</v>
          </cell>
          <cell r="B1517" t="str">
            <v>craftResultType</v>
          </cell>
          <cell r="C1517" t="str">
            <v>귀속</v>
          </cell>
          <cell r="D1517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D28E-E188-4D6E-8BDD-ECAD1B2C385E}">
  <sheetPr codeName="Sheet35">
    <tabColor rgb="FFFF0000"/>
  </sheetPr>
  <dimension ref="A1:G18"/>
  <sheetViews>
    <sheetView workbookViewId="0">
      <selection activeCell="F11" sqref="F11"/>
    </sheetView>
  </sheetViews>
  <sheetFormatPr defaultRowHeight="12.75" x14ac:dyDescent="0.2"/>
  <cols>
    <col min="1" max="1" width="10.28515625" style="73" customWidth="1"/>
    <col min="2" max="2" width="8.42578125" style="73" bestFit="1" customWidth="1"/>
    <col min="3" max="3" width="9.7109375" style="73" bestFit="1" customWidth="1"/>
    <col min="4" max="4" width="10.7109375" style="73" bestFit="1" customWidth="1"/>
    <col min="5" max="5" width="9" style="73" bestFit="1" customWidth="1"/>
    <col min="6" max="6" width="18.42578125" style="71" customWidth="1"/>
    <col min="7" max="7" width="15.85546875" style="71" bestFit="1" customWidth="1"/>
    <col min="8" max="16384" width="9.140625" style="71"/>
  </cols>
  <sheetData>
    <row r="1" spans="1:7" ht="13.5" x14ac:dyDescent="0.25">
      <c r="A1" s="2" t="s">
        <v>5</v>
      </c>
      <c r="B1" s="2" t="s">
        <v>126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131</v>
      </c>
    </row>
    <row r="2" spans="1:7" ht="13.5" x14ac:dyDescent="0.25">
      <c r="A2" s="2" t="s">
        <v>137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ht="13.5" x14ac:dyDescent="0.25">
      <c r="A3" s="2" t="s">
        <v>1</v>
      </c>
      <c r="B3" s="2">
        <v>1</v>
      </c>
      <c r="C3" s="2">
        <v>1</v>
      </c>
      <c r="D3" s="2">
        <v>1</v>
      </c>
      <c r="E3" s="2">
        <v>1</v>
      </c>
      <c r="F3" s="2" t="s">
        <v>0</v>
      </c>
      <c r="G3" s="2" t="s">
        <v>0</v>
      </c>
    </row>
    <row r="4" spans="1:7" ht="13.5" x14ac:dyDescent="0.25">
      <c r="A4" s="2" t="s">
        <v>2</v>
      </c>
      <c r="B4" s="2" t="s">
        <v>0</v>
      </c>
      <c r="C4" s="2" t="s">
        <v>18</v>
      </c>
      <c r="D4" s="2" t="s">
        <v>18</v>
      </c>
      <c r="E4" s="2" t="s">
        <v>18</v>
      </c>
      <c r="F4" s="2">
        <v>0</v>
      </c>
      <c r="G4" s="2">
        <v>0</v>
      </c>
    </row>
    <row r="5" spans="1:7" ht="13.5" x14ac:dyDescent="0.25">
      <c r="A5" s="2" t="s">
        <v>3</v>
      </c>
      <c r="B5" s="2" t="s">
        <v>0</v>
      </c>
      <c r="C5" s="2" t="s">
        <v>18</v>
      </c>
      <c r="D5" s="2" t="s">
        <v>18</v>
      </c>
      <c r="E5" s="2" t="s">
        <v>18</v>
      </c>
      <c r="F5" s="2">
        <v>5</v>
      </c>
      <c r="G5" s="2">
        <v>7</v>
      </c>
    </row>
    <row r="6" spans="1:7" ht="13.5" x14ac:dyDescent="0.25">
      <c r="A6" s="2" t="s">
        <v>4</v>
      </c>
      <c r="B6" s="2" t="s">
        <v>0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18</v>
      </c>
    </row>
    <row r="7" spans="1:7" ht="13.5" x14ac:dyDescent="0.25">
      <c r="A7" s="2" t="s">
        <v>8</v>
      </c>
      <c r="B7" s="2" t="s">
        <v>0</v>
      </c>
      <c r="C7" s="2" t="s">
        <v>18</v>
      </c>
      <c r="D7" s="2" t="s">
        <v>18</v>
      </c>
      <c r="E7" s="2" t="s">
        <v>18</v>
      </c>
      <c r="F7" s="2" t="s">
        <v>18</v>
      </c>
      <c r="G7" s="2" t="s">
        <v>18</v>
      </c>
    </row>
    <row r="8" spans="1:7" x14ac:dyDescent="0.2">
      <c r="A8" s="73">
        <v>1</v>
      </c>
      <c r="B8" s="73">
        <v>1</v>
      </c>
      <c r="C8" s="73">
        <v>98400</v>
      </c>
      <c r="D8" s="73">
        <f>C8</f>
        <v>98400</v>
      </c>
      <c r="E8" s="73">
        <v>30</v>
      </c>
      <c r="F8" s="73" t="s">
        <v>0</v>
      </c>
      <c r="G8" s="73" t="s">
        <v>0</v>
      </c>
    </row>
    <row r="9" spans="1:7" x14ac:dyDescent="0.2">
      <c r="A9" s="73">
        <v>2</v>
      </c>
      <c r="B9" s="73">
        <v>2</v>
      </c>
      <c r="C9" s="73">
        <f>INT(C8*2.2)</f>
        <v>216480</v>
      </c>
      <c r="D9" s="73">
        <f>D8+C9</f>
        <v>314880</v>
      </c>
      <c r="E9" s="73">
        <v>35</v>
      </c>
      <c r="F9" s="73" t="s">
        <v>0</v>
      </c>
      <c r="G9" s="73" t="s">
        <v>0</v>
      </c>
    </row>
    <row r="10" spans="1:7" x14ac:dyDescent="0.2">
      <c r="A10" s="73">
        <v>3</v>
      </c>
      <c r="B10" s="73">
        <v>3</v>
      </c>
      <c r="C10" s="73">
        <f>INT(C9*1.4)</f>
        <v>303072</v>
      </c>
      <c r="D10" s="73">
        <f t="shared" ref="D10:D17" si="0">D9+C10</f>
        <v>617952</v>
      </c>
      <c r="E10" s="73">
        <v>40</v>
      </c>
      <c r="F10" s="73" t="s">
        <v>0</v>
      </c>
      <c r="G10" s="73" t="s">
        <v>0</v>
      </c>
    </row>
    <row r="11" spans="1:7" x14ac:dyDescent="0.2">
      <c r="A11" s="73">
        <v>4</v>
      </c>
      <c r="B11" s="73">
        <v>4</v>
      </c>
      <c r="C11" s="73">
        <f>INT(C10*1.3)</f>
        <v>393993</v>
      </c>
      <c r="D11" s="73">
        <f t="shared" si="0"/>
        <v>1011945</v>
      </c>
      <c r="E11" s="73">
        <v>45</v>
      </c>
      <c r="F11" s="73" t="s">
        <v>0</v>
      </c>
      <c r="G11" s="73" t="s">
        <v>0</v>
      </c>
    </row>
    <row r="12" spans="1:7" x14ac:dyDescent="0.2">
      <c r="A12" s="73">
        <v>5</v>
      </c>
      <c r="B12" s="73">
        <v>5</v>
      </c>
      <c r="C12" s="73">
        <f>INT(C11*1.25)</f>
        <v>492491</v>
      </c>
      <c r="D12" s="73">
        <f t="shared" si="0"/>
        <v>1504436</v>
      </c>
      <c r="E12" s="73">
        <v>50</v>
      </c>
      <c r="F12" s="73" t="s">
        <v>0</v>
      </c>
      <c r="G12" s="73" t="s">
        <v>0</v>
      </c>
    </row>
    <row r="13" spans="1:7" x14ac:dyDescent="0.2">
      <c r="A13" s="73">
        <v>6</v>
      </c>
      <c r="B13" s="73">
        <v>6</v>
      </c>
      <c r="C13" s="73">
        <f>INT(C12*1.2)</f>
        <v>590989</v>
      </c>
      <c r="D13" s="73">
        <f t="shared" si="0"/>
        <v>2095425</v>
      </c>
      <c r="E13" s="73">
        <v>55</v>
      </c>
      <c r="F13" s="73" t="s">
        <v>0</v>
      </c>
      <c r="G13" s="73" t="s">
        <v>0</v>
      </c>
    </row>
    <row r="14" spans="1:7" x14ac:dyDescent="0.2">
      <c r="A14" s="73">
        <v>7</v>
      </c>
      <c r="B14" s="73">
        <v>7</v>
      </c>
      <c r="C14" s="73">
        <f>INT(C13*1.2)</f>
        <v>709186</v>
      </c>
      <c r="D14" s="73">
        <f t="shared" si="0"/>
        <v>2804611</v>
      </c>
      <c r="E14" s="73">
        <v>60</v>
      </c>
      <c r="F14" s="73" t="s">
        <v>0</v>
      </c>
      <c r="G14" s="73" t="s">
        <v>0</v>
      </c>
    </row>
    <row r="15" spans="1:7" x14ac:dyDescent="0.2">
      <c r="A15" s="73">
        <v>8</v>
      </c>
      <c r="B15" s="73">
        <v>8</v>
      </c>
      <c r="C15" s="73">
        <f>INT(C14*1.15)</f>
        <v>815563</v>
      </c>
      <c r="D15" s="73">
        <f t="shared" si="0"/>
        <v>3620174</v>
      </c>
      <c r="E15" s="73">
        <v>65</v>
      </c>
      <c r="F15" s="73" t="s">
        <v>0</v>
      </c>
      <c r="G15" s="73" t="s">
        <v>0</v>
      </c>
    </row>
    <row r="16" spans="1:7" x14ac:dyDescent="0.2">
      <c r="A16" s="73">
        <v>9</v>
      </c>
      <c r="B16" s="73">
        <v>9</v>
      </c>
      <c r="C16" s="73">
        <f>INT(C15*1.16)</f>
        <v>946053</v>
      </c>
      <c r="D16" s="73">
        <f t="shared" si="0"/>
        <v>4566227</v>
      </c>
      <c r="E16" s="73">
        <v>70</v>
      </c>
      <c r="F16" s="73" t="s">
        <v>0</v>
      </c>
      <c r="G16" s="73" t="s">
        <v>0</v>
      </c>
    </row>
    <row r="17" spans="1:7" x14ac:dyDescent="0.2">
      <c r="A17" s="73">
        <v>10</v>
      </c>
      <c r="B17" s="73">
        <v>10</v>
      </c>
      <c r="C17" s="73">
        <f>INT(C16*1.25)</f>
        <v>1182566</v>
      </c>
      <c r="D17" s="73">
        <f t="shared" si="0"/>
        <v>5748793</v>
      </c>
      <c r="E17" s="73">
        <v>75</v>
      </c>
      <c r="F17" s="73" t="s">
        <v>0</v>
      </c>
      <c r="G17" s="73" t="s">
        <v>0</v>
      </c>
    </row>
    <row r="18" spans="1:7" x14ac:dyDescent="0.2">
      <c r="A18" s="74"/>
      <c r="B18" s="74"/>
      <c r="C18" s="74"/>
      <c r="D18" s="74"/>
      <c r="E18" s="74"/>
      <c r="F18" s="72"/>
      <c r="G18" s="72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8F09-4885-4C59-B120-7A6BF03B073A}">
  <dimension ref="A1:F32"/>
  <sheetViews>
    <sheetView zoomScale="85" zoomScaleNormal="85" workbookViewId="0">
      <selection activeCell="C49" sqref="C49"/>
    </sheetView>
  </sheetViews>
  <sheetFormatPr defaultColWidth="9.140625" defaultRowHeight="13.5" x14ac:dyDescent="0.25"/>
  <cols>
    <col min="1" max="1" width="19" style="5" customWidth="1"/>
    <col min="2" max="2" width="9.5703125" style="5" customWidth="1"/>
    <col min="3" max="4" width="30.5703125" style="5" bestFit="1" customWidth="1"/>
    <col min="5" max="5" width="11" style="5" bestFit="1" customWidth="1"/>
    <col min="6" max="6" width="20" style="5" customWidth="1"/>
    <col min="7" max="7" width="31.42578125" style="5" customWidth="1"/>
    <col min="8" max="8" width="11" style="5" bestFit="1" customWidth="1"/>
    <col min="9" max="9" width="9.140625" style="5"/>
    <col min="10" max="10" width="24.7109375" style="5" customWidth="1"/>
    <col min="11" max="11" width="22.5703125" style="5" customWidth="1"/>
    <col min="12" max="16384" width="9.140625" style="5"/>
  </cols>
  <sheetData>
    <row r="1" spans="1:5" x14ac:dyDescent="0.25">
      <c r="A1" s="1" t="s">
        <v>5</v>
      </c>
      <c r="B1" s="3"/>
      <c r="C1" s="4" t="s">
        <v>205</v>
      </c>
      <c r="D1" s="4" t="s">
        <v>230</v>
      </c>
      <c r="E1" s="4" t="s">
        <v>135</v>
      </c>
    </row>
    <row r="2" spans="1:5" x14ac:dyDescent="0.25">
      <c r="A2" s="1" t="s">
        <v>134</v>
      </c>
      <c r="B2" s="3"/>
      <c r="C2" s="4" t="s">
        <v>140</v>
      </c>
      <c r="D2" s="4" t="s">
        <v>140</v>
      </c>
      <c r="E2" s="4" t="s">
        <v>57</v>
      </c>
    </row>
    <row r="3" spans="1:5" x14ac:dyDescent="0.25">
      <c r="A3" s="2" t="s">
        <v>1</v>
      </c>
      <c r="B3" s="3"/>
      <c r="C3" s="6">
        <v>1</v>
      </c>
      <c r="D3" s="6">
        <v>1</v>
      </c>
      <c r="E3" s="6">
        <v>1</v>
      </c>
    </row>
    <row r="4" spans="1:5" x14ac:dyDescent="0.25">
      <c r="A4" s="2" t="s">
        <v>2</v>
      </c>
      <c r="B4" s="3"/>
      <c r="C4" s="6" t="s">
        <v>0</v>
      </c>
      <c r="D4" s="6" t="s">
        <v>0</v>
      </c>
      <c r="E4" s="6" t="s">
        <v>18</v>
      </c>
    </row>
    <row r="5" spans="1:5" x14ac:dyDescent="0.25">
      <c r="A5" s="2" t="s">
        <v>3</v>
      </c>
      <c r="B5" s="3"/>
      <c r="C5" s="6" t="s">
        <v>0</v>
      </c>
      <c r="D5" s="6" t="s">
        <v>0</v>
      </c>
      <c r="E5" s="6" t="s">
        <v>18</v>
      </c>
    </row>
    <row r="6" spans="1:5" x14ac:dyDescent="0.25">
      <c r="A6" s="2" t="s">
        <v>4</v>
      </c>
      <c r="B6" s="3"/>
      <c r="C6" s="6" t="s">
        <v>0</v>
      </c>
      <c r="D6" s="6" t="s">
        <v>0</v>
      </c>
      <c r="E6" s="6" t="s">
        <v>18</v>
      </c>
    </row>
    <row r="7" spans="1:5" x14ac:dyDescent="0.25">
      <c r="A7" s="2" t="s">
        <v>8</v>
      </c>
      <c r="B7" s="3"/>
      <c r="C7" s="6" t="s">
        <v>0</v>
      </c>
      <c r="D7" s="6" t="s">
        <v>0</v>
      </c>
      <c r="E7" s="6" t="s">
        <v>18</v>
      </c>
    </row>
    <row r="8" spans="1:5" x14ac:dyDescent="0.25">
      <c r="A8" s="7">
        <v>201</v>
      </c>
      <c r="B8" s="8" t="s">
        <v>181</v>
      </c>
      <c r="C8" s="11" t="s">
        <v>206</v>
      </c>
      <c r="D8" s="11" t="s">
        <v>206</v>
      </c>
      <c r="E8" s="13" t="b">
        <v>1</v>
      </c>
    </row>
    <row r="9" spans="1:5" x14ac:dyDescent="0.25">
      <c r="A9" s="7">
        <v>202</v>
      </c>
      <c r="B9" s="8" t="s">
        <v>182</v>
      </c>
      <c r="C9" s="11" t="s">
        <v>207</v>
      </c>
      <c r="D9" s="11" t="s">
        <v>207</v>
      </c>
      <c r="E9" s="13" t="b">
        <v>1</v>
      </c>
    </row>
    <row r="10" spans="1:5" x14ac:dyDescent="0.25">
      <c r="A10" s="7">
        <v>203</v>
      </c>
      <c r="B10" s="8" t="s">
        <v>183</v>
      </c>
      <c r="C10" s="11" t="s">
        <v>208</v>
      </c>
      <c r="D10" s="11" t="s">
        <v>208</v>
      </c>
      <c r="E10" s="13" t="b">
        <v>1</v>
      </c>
    </row>
    <row r="11" spans="1:5" x14ac:dyDescent="0.25">
      <c r="A11" s="7">
        <v>204</v>
      </c>
      <c r="B11" s="8" t="s">
        <v>184</v>
      </c>
      <c r="C11" s="11" t="s">
        <v>209</v>
      </c>
      <c r="D11" s="11" t="s">
        <v>209</v>
      </c>
      <c r="E11" s="13" t="b">
        <v>1</v>
      </c>
    </row>
    <row r="12" spans="1:5" x14ac:dyDescent="0.25">
      <c r="A12" s="7">
        <v>205</v>
      </c>
      <c r="B12" s="8" t="s">
        <v>185</v>
      </c>
      <c r="C12" s="11" t="s">
        <v>210</v>
      </c>
      <c r="D12" s="11" t="s">
        <v>210</v>
      </c>
      <c r="E12" s="13" t="b">
        <v>1</v>
      </c>
    </row>
    <row r="13" spans="1:5" x14ac:dyDescent="0.25">
      <c r="A13" s="7">
        <v>206</v>
      </c>
      <c r="B13" s="8" t="s">
        <v>186</v>
      </c>
      <c r="C13" s="11" t="s">
        <v>211</v>
      </c>
      <c r="D13" s="11" t="s">
        <v>211</v>
      </c>
      <c r="E13" s="13" t="b">
        <v>1</v>
      </c>
    </row>
    <row r="14" spans="1:5" x14ac:dyDescent="0.25">
      <c r="A14" s="7">
        <v>207</v>
      </c>
      <c r="B14" s="8" t="s">
        <v>187</v>
      </c>
      <c r="C14" s="11" t="s">
        <v>212</v>
      </c>
      <c r="D14" s="11" t="s">
        <v>212</v>
      </c>
      <c r="E14" s="13" t="b">
        <v>1</v>
      </c>
    </row>
    <row r="15" spans="1:5" x14ac:dyDescent="0.25">
      <c r="A15" s="7">
        <v>208</v>
      </c>
      <c r="B15" s="8" t="s">
        <v>188</v>
      </c>
      <c r="C15" s="11" t="s">
        <v>213</v>
      </c>
      <c r="D15" s="11" t="s">
        <v>213</v>
      </c>
      <c r="E15" s="13" t="b">
        <v>1</v>
      </c>
    </row>
    <row r="16" spans="1:5" x14ac:dyDescent="0.25">
      <c r="A16" s="7">
        <v>209</v>
      </c>
      <c r="B16" s="8" t="s">
        <v>189</v>
      </c>
      <c r="C16" s="11" t="s">
        <v>214</v>
      </c>
      <c r="D16" s="11" t="s">
        <v>214</v>
      </c>
      <c r="E16" s="13" t="b">
        <v>1</v>
      </c>
    </row>
    <row r="17" spans="1:6" x14ac:dyDescent="0.25">
      <c r="A17" s="7">
        <v>210</v>
      </c>
      <c r="B17" s="8" t="s">
        <v>190</v>
      </c>
      <c r="C17" s="11" t="s">
        <v>215</v>
      </c>
      <c r="D17" s="11" t="s">
        <v>215</v>
      </c>
      <c r="E17" s="13" t="b">
        <v>1</v>
      </c>
    </row>
    <row r="18" spans="1:6" x14ac:dyDescent="0.25">
      <c r="A18" s="7">
        <v>211</v>
      </c>
      <c r="B18" s="8" t="s">
        <v>191</v>
      </c>
      <c r="C18" s="11" t="s">
        <v>216</v>
      </c>
      <c r="D18" s="11" t="s">
        <v>216</v>
      </c>
      <c r="E18" s="13" t="b">
        <v>1</v>
      </c>
    </row>
    <row r="19" spans="1:6" x14ac:dyDescent="0.25">
      <c r="A19" s="7">
        <v>212</v>
      </c>
      <c r="B19" s="8" t="s">
        <v>192</v>
      </c>
      <c r="C19" s="11" t="s">
        <v>217</v>
      </c>
      <c r="D19" s="11" t="s">
        <v>217</v>
      </c>
      <c r="E19" s="13" t="b">
        <v>1</v>
      </c>
    </row>
    <row r="20" spans="1:6" x14ac:dyDescent="0.25">
      <c r="A20" s="7">
        <v>213</v>
      </c>
      <c r="B20" s="8" t="s">
        <v>193</v>
      </c>
      <c r="C20" s="11" t="s">
        <v>218</v>
      </c>
      <c r="D20" s="11" t="s">
        <v>218</v>
      </c>
      <c r="E20" s="13" t="b">
        <v>1</v>
      </c>
    </row>
    <row r="21" spans="1:6" x14ac:dyDescent="0.25">
      <c r="A21" s="7">
        <v>214</v>
      </c>
      <c r="B21" s="8" t="s">
        <v>194</v>
      </c>
      <c r="C21" s="11" t="s">
        <v>219</v>
      </c>
      <c r="D21" s="11" t="s">
        <v>219</v>
      </c>
      <c r="E21" s="13" t="b">
        <v>1</v>
      </c>
    </row>
    <row r="22" spans="1:6" x14ac:dyDescent="0.25">
      <c r="A22" s="7">
        <v>215</v>
      </c>
      <c r="B22" s="8" t="s">
        <v>195</v>
      </c>
      <c r="C22" s="11" t="s">
        <v>220</v>
      </c>
      <c r="D22" s="11" t="s">
        <v>220</v>
      </c>
      <c r="E22" s="13" t="b">
        <v>1</v>
      </c>
    </row>
    <row r="23" spans="1:6" x14ac:dyDescent="0.25">
      <c r="A23" s="7">
        <v>216</v>
      </c>
      <c r="B23" s="8" t="s">
        <v>196</v>
      </c>
      <c r="C23" s="11" t="s">
        <v>221</v>
      </c>
      <c r="D23" s="11" t="s">
        <v>221</v>
      </c>
      <c r="E23" s="13" t="b">
        <v>1</v>
      </c>
    </row>
    <row r="24" spans="1:6" x14ac:dyDescent="0.25">
      <c r="A24" s="7">
        <v>217</v>
      </c>
      <c r="B24" s="8" t="s">
        <v>197</v>
      </c>
      <c r="C24" s="11" t="s">
        <v>222</v>
      </c>
      <c r="D24" s="11" t="s">
        <v>222</v>
      </c>
      <c r="E24" s="13" t="b">
        <v>1</v>
      </c>
    </row>
    <row r="25" spans="1:6" x14ac:dyDescent="0.25">
      <c r="A25" s="7">
        <v>218</v>
      </c>
      <c r="B25" s="8" t="s">
        <v>198</v>
      </c>
      <c r="C25" s="11" t="s">
        <v>223</v>
      </c>
      <c r="D25" s="11" t="s">
        <v>223</v>
      </c>
      <c r="E25" s="13" t="b">
        <v>1</v>
      </c>
    </row>
    <row r="26" spans="1:6" x14ac:dyDescent="0.25">
      <c r="A26" s="7">
        <v>219</v>
      </c>
      <c r="B26" s="8" t="s">
        <v>199</v>
      </c>
      <c r="C26" s="11" t="s">
        <v>224</v>
      </c>
      <c r="D26" s="11" t="s">
        <v>224</v>
      </c>
      <c r="E26" s="13" t="b">
        <v>1</v>
      </c>
    </row>
    <row r="27" spans="1:6" x14ac:dyDescent="0.25">
      <c r="A27" s="7">
        <v>220</v>
      </c>
      <c r="B27" s="8" t="s">
        <v>200</v>
      </c>
      <c r="C27" s="11" t="s">
        <v>225</v>
      </c>
      <c r="D27" s="11" t="s">
        <v>225</v>
      </c>
      <c r="E27" s="13" t="b">
        <v>1</v>
      </c>
    </row>
    <row r="28" spans="1:6" x14ac:dyDescent="0.25">
      <c r="A28" s="7">
        <v>221</v>
      </c>
      <c r="B28" s="8" t="s">
        <v>201</v>
      </c>
      <c r="C28" s="11" t="s">
        <v>226</v>
      </c>
      <c r="D28" s="11" t="s">
        <v>226</v>
      </c>
      <c r="E28" s="13" t="b">
        <v>1</v>
      </c>
    </row>
    <row r="29" spans="1:6" x14ac:dyDescent="0.25">
      <c r="A29" s="7">
        <v>222</v>
      </c>
      <c r="B29" s="8" t="s">
        <v>202</v>
      </c>
      <c r="C29" s="11" t="s">
        <v>227</v>
      </c>
      <c r="D29" s="11" t="s">
        <v>227</v>
      </c>
      <c r="E29" s="13" t="b">
        <v>1</v>
      </c>
    </row>
    <row r="30" spans="1:6" x14ac:dyDescent="0.25">
      <c r="A30" s="7">
        <v>223</v>
      </c>
      <c r="B30" s="8" t="s">
        <v>203</v>
      </c>
      <c r="C30" s="11" t="s">
        <v>228</v>
      </c>
      <c r="D30" s="11" t="s">
        <v>228</v>
      </c>
      <c r="E30" s="13" t="b">
        <v>1</v>
      </c>
    </row>
    <row r="31" spans="1:6" x14ac:dyDescent="0.25">
      <c r="A31" s="7">
        <v>224</v>
      </c>
      <c r="B31" s="8" t="s">
        <v>204</v>
      </c>
      <c r="C31" s="11" t="s">
        <v>229</v>
      </c>
      <c r="D31" s="11" t="s">
        <v>229</v>
      </c>
      <c r="E31" s="13" t="b">
        <v>1</v>
      </c>
    </row>
    <row r="32" spans="1:6" x14ac:dyDescent="0.25">
      <c r="A32" s="9"/>
      <c r="B32" s="10"/>
      <c r="C32" s="10"/>
      <c r="D32" s="10"/>
      <c r="E32" s="10"/>
      <c r="F32" s="5" t="s">
        <v>7</v>
      </c>
    </row>
  </sheetData>
  <phoneticPr fontId="6" type="noConversion"/>
  <conditionalFormatting sqref="E8:E31">
    <cfRule type="cellIs" dxfId="3" priority="1" operator="equal">
      <formula>FALSE</formula>
    </cfRule>
    <cfRule type="cellIs" dxfId="2" priority="2" operator="equal">
      <formula>TRUE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65"/>
  <sheetViews>
    <sheetView zoomScale="85" zoomScaleNormal="85" workbookViewId="0">
      <pane ySplit="7" topLeftCell="A8" activePane="bottomLeft" state="frozen"/>
      <selection pane="bottomLeft" activeCell="C2" sqref="C2"/>
    </sheetView>
  </sheetViews>
  <sheetFormatPr defaultColWidth="9.140625" defaultRowHeight="13.5" x14ac:dyDescent="0.25"/>
  <cols>
    <col min="1" max="1" width="12.85546875" style="5" bestFit="1" customWidth="1"/>
    <col min="2" max="2" width="8.42578125" style="5" bestFit="1" customWidth="1"/>
    <col min="3" max="3" width="20" style="5" bestFit="1" customWidth="1"/>
    <col min="4" max="4" width="11" style="5" bestFit="1" customWidth="1"/>
    <col min="5" max="5" width="20" style="5" customWidth="1"/>
    <col min="6" max="6" width="31.42578125" style="5" customWidth="1"/>
    <col min="7" max="7" width="11" style="5" bestFit="1" customWidth="1"/>
    <col min="8" max="8" width="9.140625" style="5"/>
    <col min="9" max="9" width="24.7109375" style="5" customWidth="1"/>
    <col min="10" max="10" width="22.5703125" style="5" customWidth="1"/>
    <col min="11" max="16384" width="9.140625" style="5"/>
  </cols>
  <sheetData>
    <row r="1" spans="1:4" x14ac:dyDescent="0.25">
      <c r="A1" s="1" t="s">
        <v>5</v>
      </c>
      <c r="B1" s="3"/>
      <c r="C1" s="4" t="s">
        <v>19</v>
      </c>
      <c r="D1" s="4" t="s">
        <v>56</v>
      </c>
    </row>
    <row r="2" spans="1:4" x14ac:dyDescent="0.25">
      <c r="A2" s="1" t="s">
        <v>138</v>
      </c>
      <c r="B2" s="3"/>
      <c r="C2" s="4" t="s">
        <v>6</v>
      </c>
      <c r="D2" s="4" t="s">
        <v>57</v>
      </c>
    </row>
    <row r="3" spans="1:4" x14ac:dyDescent="0.25">
      <c r="A3" s="2" t="s">
        <v>1</v>
      </c>
      <c r="B3" s="3"/>
      <c r="C3" s="6" t="s">
        <v>0</v>
      </c>
      <c r="D3" s="6">
        <v>1</v>
      </c>
    </row>
    <row r="4" spans="1:4" x14ac:dyDescent="0.25">
      <c r="A4" s="2" t="s">
        <v>2</v>
      </c>
      <c r="B4" s="3"/>
      <c r="C4" s="6" t="s">
        <v>0</v>
      </c>
      <c r="D4" s="6" t="s">
        <v>18</v>
      </c>
    </row>
    <row r="5" spans="1:4" x14ac:dyDescent="0.25">
      <c r="A5" s="2" t="s">
        <v>3</v>
      </c>
      <c r="B5" s="3"/>
      <c r="C5" s="6" t="s">
        <v>0</v>
      </c>
      <c r="D5" s="6" t="s">
        <v>18</v>
      </c>
    </row>
    <row r="6" spans="1:4" x14ac:dyDescent="0.25">
      <c r="A6" s="2" t="s">
        <v>4</v>
      </c>
      <c r="B6" s="3"/>
      <c r="C6" s="6" t="s">
        <v>0</v>
      </c>
      <c r="D6" s="6" t="s">
        <v>18</v>
      </c>
    </row>
    <row r="7" spans="1:4" x14ac:dyDescent="0.25">
      <c r="A7" s="2" t="s">
        <v>8</v>
      </c>
      <c r="B7" s="3"/>
      <c r="C7" s="6" t="s">
        <v>0</v>
      </c>
      <c r="D7" s="6" t="s">
        <v>18</v>
      </c>
    </row>
    <row r="8" spans="1:4" x14ac:dyDescent="0.25">
      <c r="A8" s="7">
        <v>301</v>
      </c>
      <c r="B8" s="8" t="s">
        <v>136</v>
      </c>
      <c r="C8" s="14" t="s">
        <v>58</v>
      </c>
      <c r="D8" s="70" t="b">
        <v>1</v>
      </c>
    </row>
    <row r="9" spans="1:4" x14ac:dyDescent="0.25">
      <c r="A9" s="7">
        <v>302</v>
      </c>
      <c r="B9" s="8" t="s">
        <v>9</v>
      </c>
      <c r="C9" s="15" t="s">
        <v>59</v>
      </c>
      <c r="D9" s="70" t="b">
        <v>1</v>
      </c>
    </row>
    <row r="10" spans="1:4" x14ac:dyDescent="0.25">
      <c r="A10" s="7">
        <v>303</v>
      </c>
      <c r="B10" s="8" t="s">
        <v>10</v>
      </c>
      <c r="C10" s="16" t="s">
        <v>60</v>
      </c>
      <c r="D10" s="70" t="b">
        <v>1</v>
      </c>
    </row>
    <row r="11" spans="1:4" x14ac:dyDescent="0.25">
      <c r="A11" s="7">
        <v>304</v>
      </c>
      <c r="B11" s="8" t="s">
        <v>11</v>
      </c>
      <c r="C11" s="17" t="s">
        <v>61</v>
      </c>
      <c r="D11" s="70" t="b">
        <v>1</v>
      </c>
    </row>
    <row r="12" spans="1:4" x14ac:dyDescent="0.25">
      <c r="A12" s="7">
        <v>305</v>
      </c>
      <c r="B12" s="8" t="s">
        <v>12</v>
      </c>
      <c r="C12" s="18" t="s">
        <v>62</v>
      </c>
      <c r="D12" s="70" t="b">
        <v>1</v>
      </c>
    </row>
    <row r="13" spans="1:4" x14ac:dyDescent="0.25">
      <c r="A13" s="7">
        <v>306</v>
      </c>
      <c r="B13" s="8" t="s">
        <v>13</v>
      </c>
      <c r="C13" s="19" t="s">
        <v>63</v>
      </c>
      <c r="D13" s="70" t="b">
        <v>1</v>
      </c>
    </row>
    <row r="14" spans="1:4" x14ac:dyDescent="0.25">
      <c r="A14" s="7">
        <v>307</v>
      </c>
      <c r="B14" s="8" t="s">
        <v>14</v>
      </c>
      <c r="C14" s="20" t="s">
        <v>64</v>
      </c>
      <c r="D14" s="70" t="b">
        <v>1</v>
      </c>
    </row>
    <row r="15" spans="1:4" x14ac:dyDescent="0.25">
      <c r="A15" s="7">
        <v>308</v>
      </c>
      <c r="B15" s="8" t="s">
        <v>15</v>
      </c>
      <c r="C15" s="21" t="s">
        <v>65</v>
      </c>
      <c r="D15" s="70" t="b">
        <v>1</v>
      </c>
    </row>
    <row r="16" spans="1:4" x14ac:dyDescent="0.25">
      <c r="A16" s="7">
        <v>309</v>
      </c>
      <c r="B16" s="8" t="s">
        <v>16</v>
      </c>
      <c r="C16" s="22" t="s">
        <v>66</v>
      </c>
      <c r="D16" s="70" t="b">
        <v>1</v>
      </c>
    </row>
    <row r="17" spans="1:4" x14ac:dyDescent="0.25">
      <c r="A17" s="7">
        <v>310</v>
      </c>
      <c r="B17" s="8" t="s">
        <v>17</v>
      </c>
      <c r="C17" s="23" t="s">
        <v>67</v>
      </c>
      <c r="D17" s="70" t="b">
        <v>1</v>
      </c>
    </row>
    <row r="18" spans="1:4" x14ac:dyDescent="0.25">
      <c r="A18" s="7">
        <v>311</v>
      </c>
      <c r="B18" s="8" t="s">
        <v>21</v>
      </c>
      <c r="C18" s="24" t="s">
        <v>68</v>
      </c>
      <c r="D18" s="70" t="b">
        <v>1</v>
      </c>
    </row>
    <row r="19" spans="1:4" x14ac:dyDescent="0.25">
      <c r="A19" s="7">
        <v>312</v>
      </c>
      <c r="B19" s="8" t="s">
        <v>22</v>
      </c>
      <c r="C19" s="25" t="s">
        <v>69</v>
      </c>
      <c r="D19" s="70" t="b">
        <v>1</v>
      </c>
    </row>
    <row r="20" spans="1:4" x14ac:dyDescent="0.25">
      <c r="A20" s="7">
        <v>313</v>
      </c>
      <c r="B20" s="8" t="s">
        <v>23</v>
      </c>
      <c r="C20" s="26" t="s">
        <v>70</v>
      </c>
      <c r="D20" s="70" t="b">
        <v>1</v>
      </c>
    </row>
    <row r="21" spans="1:4" x14ac:dyDescent="0.25">
      <c r="A21" s="7">
        <v>314</v>
      </c>
      <c r="B21" s="8" t="s">
        <v>24</v>
      </c>
      <c r="C21" s="27" t="s">
        <v>71</v>
      </c>
      <c r="D21" s="70" t="b">
        <v>1</v>
      </c>
    </row>
    <row r="22" spans="1:4" x14ac:dyDescent="0.25">
      <c r="A22" s="7">
        <v>315</v>
      </c>
      <c r="B22" s="8" t="s">
        <v>25</v>
      </c>
      <c r="C22" s="28" t="s">
        <v>72</v>
      </c>
      <c r="D22" s="70" t="b">
        <v>1</v>
      </c>
    </row>
    <row r="23" spans="1:4" x14ac:dyDescent="0.25">
      <c r="A23" s="7">
        <v>316</v>
      </c>
      <c r="B23" s="8" t="s">
        <v>26</v>
      </c>
      <c r="C23" s="29" t="s">
        <v>73</v>
      </c>
      <c r="D23" s="70" t="b">
        <v>1</v>
      </c>
    </row>
    <row r="24" spans="1:4" x14ac:dyDescent="0.25">
      <c r="A24" s="7">
        <v>317</v>
      </c>
      <c r="B24" s="8" t="s">
        <v>27</v>
      </c>
      <c r="C24" s="30" t="s">
        <v>74</v>
      </c>
      <c r="D24" s="70" t="b">
        <v>1</v>
      </c>
    </row>
    <row r="25" spans="1:4" x14ac:dyDescent="0.25">
      <c r="A25" s="7">
        <v>318</v>
      </c>
      <c r="B25" s="8" t="s">
        <v>28</v>
      </c>
      <c r="C25" s="31" t="s">
        <v>75</v>
      </c>
      <c r="D25" s="70" t="b">
        <v>1</v>
      </c>
    </row>
    <row r="26" spans="1:4" x14ac:dyDescent="0.25">
      <c r="A26" s="7">
        <v>319</v>
      </c>
      <c r="B26" s="8" t="s">
        <v>29</v>
      </c>
      <c r="C26" s="32" t="s">
        <v>76</v>
      </c>
      <c r="D26" s="70" t="b">
        <v>1</v>
      </c>
    </row>
    <row r="27" spans="1:4" x14ac:dyDescent="0.25">
      <c r="A27" s="7">
        <v>320</v>
      </c>
      <c r="B27" s="8" t="s">
        <v>30</v>
      </c>
      <c r="C27" s="33" t="s">
        <v>77</v>
      </c>
      <c r="D27" s="70" t="b">
        <v>1</v>
      </c>
    </row>
    <row r="28" spans="1:4" x14ac:dyDescent="0.25">
      <c r="A28" s="7">
        <v>321</v>
      </c>
      <c r="B28" s="8" t="s">
        <v>31</v>
      </c>
      <c r="C28" s="34" t="s">
        <v>78</v>
      </c>
      <c r="D28" s="70" t="b">
        <v>1</v>
      </c>
    </row>
    <row r="29" spans="1:4" x14ac:dyDescent="0.25">
      <c r="A29" s="7">
        <v>322</v>
      </c>
      <c r="B29" s="8" t="s">
        <v>32</v>
      </c>
      <c r="C29" s="35" t="s">
        <v>79</v>
      </c>
      <c r="D29" s="70" t="b">
        <v>1</v>
      </c>
    </row>
    <row r="30" spans="1:4" x14ac:dyDescent="0.25">
      <c r="A30" s="7">
        <v>323</v>
      </c>
      <c r="B30" s="8" t="s">
        <v>33</v>
      </c>
      <c r="C30" s="36" t="s">
        <v>80</v>
      </c>
      <c r="D30" s="70" t="b">
        <v>1</v>
      </c>
    </row>
    <row r="31" spans="1:4" x14ac:dyDescent="0.25">
      <c r="A31" s="7">
        <v>324</v>
      </c>
      <c r="B31" s="8" t="s">
        <v>34</v>
      </c>
      <c r="C31" s="37" t="s">
        <v>81</v>
      </c>
      <c r="D31" s="70" t="b">
        <v>1</v>
      </c>
    </row>
    <row r="32" spans="1:4" x14ac:dyDescent="0.25">
      <c r="A32" s="7">
        <v>325</v>
      </c>
      <c r="B32" s="8" t="s">
        <v>35</v>
      </c>
      <c r="C32" s="38" t="s">
        <v>82</v>
      </c>
      <c r="D32" s="70" t="b">
        <v>1</v>
      </c>
    </row>
    <row r="33" spans="1:4" x14ac:dyDescent="0.25">
      <c r="A33" s="7">
        <v>326</v>
      </c>
      <c r="B33" s="8" t="s">
        <v>36</v>
      </c>
      <c r="C33" s="39" t="s">
        <v>83</v>
      </c>
      <c r="D33" s="70" t="b">
        <v>1</v>
      </c>
    </row>
    <row r="34" spans="1:4" x14ac:dyDescent="0.25">
      <c r="A34" s="7">
        <v>327</v>
      </c>
      <c r="B34" s="8" t="s">
        <v>37</v>
      </c>
      <c r="C34" s="40" t="s">
        <v>84</v>
      </c>
      <c r="D34" s="70" t="b">
        <v>1</v>
      </c>
    </row>
    <row r="35" spans="1:4" x14ac:dyDescent="0.25">
      <c r="A35" s="7">
        <v>328</v>
      </c>
      <c r="B35" s="8" t="s">
        <v>38</v>
      </c>
      <c r="C35" s="41" t="s">
        <v>85</v>
      </c>
      <c r="D35" s="70" t="b">
        <v>1</v>
      </c>
    </row>
    <row r="36" spans="1:4" x14ac:dyDescent="0.25">
      <c r="A36" s="7">
        <v>329</v>
      </c>
      <c r="B36" s="8" t="s">
        <v>39</v>
      </c>
      <c r="C36" s="42" t="s">
        <v>86</v>
      </c>
      <c r="D36" s="70" t="b">
        <v>1</v>
      </c>
    </row>
    <row r="37" spans="1:4" x14ac:dyDescent="0.25">
      <c r="A37" s="7">
        <v>330</v>
      </c>
      <c r="B37" s="8" t="s">
        <v>40</v>
      </c>
      <c r="C37" s="43" t="s">
        <v>87</v>
      </c>
      <c r="D37" s="70" t="b">
        <v>1</v>
      </c>
    </row>
    <row r="38" spans="1:4" x14ac:dyDescent="0.25">
      <c r="A38" s="7">
        <v>331</v>
      </c>
      <c r="B38" s="8" t="s">
        <v>41</v>
      </c>
      <c r="C38" s="44" t="s">
        <v>88</v>
      </c>
      <c r="D38" s="70" t="b">
        <v>1</v>
      </c>
    </row>
    <row r="39" spans="1:4" x14ac:dyDescent="0.25">
      <c r="A39" s="7">
        <v>332</v>
      </c>
      <c r="B39" s="8" t="s">
        <v>42</v>
      </c>
      <c r="C39" s="45" t="s">
        <v>89</v>
      </c>
      <c r="D39" s="70" t="b">
        <v>1</v>
      </c>
    </row>
    <row r="40" spans="1:4" x14ac:dyDescent="0.25">
      <c r="A40" s="7">
        <v>333</v>
      </c>
      <c r="B40" s="8" t="s">
        <v>43</v>
      </c>
      <c r="C40" s="46" t="s">
        <v>90</v>
      </c>
      <c r="D40" s="70" t="b">
        <v>1</v>
      </c>
    </row>
    <row r="41" spans="1:4" x14ac:dyDescent="0.25">
      <c r="A41" s="7">
        <v>334</v>
      </c>
      <c r="B41" s="8" t="s">
        <v>44</v>
      </c>
      <c r="C41" s="47" t="s">
        <v>91</v>
      </c>
      <c r="D41" s="70" t="b">
        <v>1</v>
      </c>
    </row>
    <row r="42" spans="1:4" x14ac:dyDescent="0.25">
      <c r="A42" s="7">
        <v>335</v>
      </c>
      <c r="B42" s="8" t="s">
        <v>45</v>
      </c>
      <c r="C42" s="48" t="s">
        <v>92</v>
      </c>
      <c r="D42" s="70" t="b">
        <v>1</v>
      </c>
    </row>
    <row r="43" spans="1:4" x14ac:dyDescent="0.25">
      <c r="A43" s="7">
        <v>336</v>
      </c>
      <c r="B43" s="8" t="s">
        <v>46</v>
      </c>
      <c r="C43" s="49" t="s">
        <v>93</v>
      </c>
      <c r="D43" s="70" t="b">
        <v>1</v>
      </c>
    </row>
    <row r="44" spans="1:4" x14ac:dyDescent="0.25">
      <c r="A44" s="7">
        <v>337</v>
      </c>
      <c r="B44" s="8" t="s">
        <v>47</v>
      </c>
      <c r="C44" s="50" t="s">
        <v>94</v>
      </c>
      <c r="D44" s="70" t="b">
        <v>1</v>
      </c>
    </row>
    <row r="45" spans="1:4" x14ac:dyDescent="0.25">
      <c r="A45" s="7">
        <v>338</v>
      </c>
      <c r="B45" s="8" t="s">
        <v>48</v>
      </c>
      <c r="C45" s="51" t="s">
        <v>95</v>
      </c>
      <c r="D45" s="70" t="b">
        <v>1</v>
      </c>
    </row>
    <row r="46" spans="1:4" x14ac:dyDescent="0.25">
      <c r="A46" s="7">
        <v>339</v>
      </c>
      <c r="B46" s="8" t="s">
        <v>49</v>
      </c>
      <c r="C46" s="52" t="s">
        <v>96</v>
      </c>
      <c r="D46" s="70" t="b">
        <v>1</v>
      </c>
    </row>
    <row r="47" spans="1:4" x14ac:dyDescent="0.25">
      <c r="A47" s="7">
        <v>340</v>
      </c>
      <c r="B47" s="8" t="s">
        <v>50</v>
      </c>
      <c r="C47" s="53" t="s">
        <v>97</v>
      </c>
      <c r="D47" s="70" t="b">
        <v>1</v>
      </c>
    </row>
    <row r="48" spans="1:4" x14ac:dyDescent="0.25">
      <c r="A48" s="7">
        <v>341</v>
      </c>
      <c r="B48" s="8" t="s">
        <v>51</v>
      </c>
      <c r="C48" s="54" t="s">
        <v>98</v>
      </c>
      <c r="D48" s="70" t="b">
        <v>1</v>
      </c>
    </row>
    <row r="49" spans="1:4" x14ac:dyDescent="0.25">
      <c r="A49" s="7">
        <v>342</v>
      </c>
      <c r="B49" s="8" t="s">
        <v>52</v>
      </c>
      <c r="C49" s="55" t="s">
        <v>99</v>
      </c>
      <c r="D49" s="70" t="b">
        <v>1</v>
      </c>
    </row>
    <row r="50" spans="1:4" x14ac:dyDescent="0.25">
      <c r="A50" s="7">
        <v>343</v>
      </c>
      <c r="B50" s="8" t="s">
        <v>53</v>
      </c>
      <c r="C50" s="56" t="s">
        <v>100</v>
      </c>
      <c r="D50" s="70" t="b">
        <v>1</v>
      </c>
    </row>
    <row r="51" spans="1:4" x14ac:dyDescent="0.25">
      <c r="A51" s="7">
        <v>344</v>
      </c>
      <c r="B51" s="8" t="s">
        <v>54</v>
      </c>
      <c r="C51" s="57" t="s">
        <v>101</v>
      </c>
      <c r="D51" s="70" t="b">
        <v>1</v>
      </c>
    </row>
    <row r="52" spans="1:4" x14ac:dyDescent="0.25">
      <c r="A52" s="7">
        <v>345</v>
      </c>
      <c r="B52" s="8" t="s">
        <v>55</v>
      </c>
      <c r="C52" s="58" t="s">
        <v>102</v>
      </c>
      <c r="D52" s="70" t="b">
        <v>1</v>
      </c>
    </row>
    <row r="53" spans="1:4" x14ac:dyDescent="0.25">
      <c r="A53" s="7">
        <v>346</v>
      </c>
      <c r="B53" s="8" t="s">
        <v>114</v>
      </c>
      <c r="C53" s="59" t="s">
        <v>103</v>
      </c>
      <c r="D53" s="70" t="b">
        <v>1</v>
      </c>
    </row>
    <row r="54" spans="1:4" x14ac:dyDescent="0.25">
      <c r="A54" s="7">
        <v>347</v>
      </c>
      <c r="B54" s="8" t="s">
        <v>115</v>
      </c>
      <c r="C54" s="60" t="s">
        <v>104</v>
      </c>
      <c r="D54" s="70" t="b">
        <v>1</v>
      </c>
    </row>
    <row r="55" spans="1:4" x14ac:dyDescent="0.25">
      <c r="A55" s="7">
        <v>348</v>
      </c>
      <c r="B55" s="8" t="s">
        <v>116</v>
      </c>
      <c r="C55" s="61" t="s">
        <v>105</v>
      </c>
      <c r="D55" s="70" t="b">
        <v>1</v>
      </c>
    </row>
    <row r="56" spans="1:4" x14ac:dyDescent="0.25">
      <c r="A56" s="7">
        <v>349</v>
      </c>
      <c r="B56" s="8" t="s">
        <v>117</v>
      </c>
      <c r="C56" s="62" t="s">
        <v>106</v>
      </c>
      <c r="D56" s="70" t="b">
        <v>1</v>
      </c>
    </row>
    <row r="57" spans="1:4" x14ac:dyDescent="0.25">
      <c r="A57" s="7">
        <v>350</v>
      </c>
      <c r="B57" s="8" t="s">
        <v>118</v>
      </c>
      <c r="C57" s="63" t="s">
        <v>107</v>
      </c>
      <c r="D57" s="70" t="b">
        <v>1</v>
      </c>
    </row>
    <row r="58" spans="1:4" x14ac:dyDescent="0.25">
      <c r="A58" s="7">
        <v>351</v>
      </c>
      <c r="B58" s="8" t="s">
        <v>119</v>
      </c>
      <c r="C58" s="64" t="s">
        <v>108</v>
      </c>
      <c r="D58" s="70" t="b">
        <v>1</v>
      </c>
    </row>
    <row r="59" spans="1:4" x14ac:dyDescent="0.25">
      <c r="A59" s="7">
        <v>352</v>
      </c>
      <c r="B59" s="8" t="s">
        <v>120</v>
      </c>
      <c r="C59" s="65" t="s">
        <v>109</v>
      </c>
      <c r="D59" s="70" t="b">
        <v>1</v>
      </c>
    </row>
    <row r="60" spans="1:4" x14ac:dyDescent="0.25">
      <c r="A60" s="7">
        <v>353</v>
      </c>
      <c r="B60" s="8" t="s">
        <v>121</v>
      </c>
      <c r="C60" s="66" t="s">
        <v>110</v>
      </c>
      <c r="D60" s="70" t="b">
        <v>1</v>
      </c>
    </row>
    <row r="61" spans="1:4" x14ac:dyDescent="0.25">
      <c r="A61" s="7">
        <v>354</v>
      </c>
      <c r="B61" s="8" t="s">
        <v>122</v>
      </c>
      <c r="C61" s="67" t="s">
        <v>111</v>
      </c>
      <c r="D61" s="70" t="b">
        <v>1</v>
      </c>
    </row>
    <row r="62" spans="1:4" x14ac:dyDescent="0.25">
      <c r="A62" s="7">
        <v>355</v>
      </c>
      <c r="B62" s="8" t="s">
        <v>123</v>
      </c>
      <c r="C62" s="68" t="s">
        <v>112</v>
      </c>
      <c r="D62" s="70" t="b">
        <v>1</v>
      </c>
    </row>
    <row r="63" spans="1:4" x14ac:dyDescent="0.25">
      <c r="A63" s="7">
        <v>356</v>
      </c>
      <c r="B63" s="8" t="s">
        <v>124</v>
      </c>
      <c r="C63" s="69" t="s">
        <v>113</v>
      </c>
      <c r="D63" s="70" t="b">
        <v>1</v>
      </c>
    </row>
    <row r="64" spans="1:4" x14ac:dyDescent="0.25">
      <c r="A64" s="7">
        <v>357</v>
      </c>
      <c r="B64" s="8" t="s">
        <v>125</v>
      </c>
      <c r="C64" s="12" t="s">
        <v>20</v>
      </c>
      <c r="D64" s="70" t="b">
        <v>1</v>
      </c>
    </row>
    <row r="65" spans="1:5" x14ac:dyDescent="0.25">
      <c r="A65" s="9"/>
      <c r="B65" s="10"/>
      <c r="C65" s="10"/>
      <c r="D65" s="10"/>
      <c r="E65" s="5" t="s">
        <v>7</v>
      </c>
    </row>
  </sheetData>
  <phoneticPr fontId="6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8"/>
  <sheetViews>
    <sheetView zoomScale="85" zoomScaleNormal="85" workbookViewId="0">
      <selection activeCell="E1" sqref="E1:E5"/>
    </sheetView>
  </sheetViews>
  <sheetFormatPr defaultColWidth="9.140625" defaultRowHeight="13.5" x14ac:dyDescent="0.25"/>
  <cols>
    <col min="1" max="1" width="12.85546875" style="5" bestFit="1" customWidth="1"/>
    <col min="2" max="2" width="14.28515625" style="5" bestFit="1" customWidth="1"/>
    <col min="3" max="4" width="29" style="5" bestFit="1" customWidth="1"/>
    <col min="5" max="5" width="10.5703125" style="5" bestFit="1" customWidth="1"/>
    <col min="6" max="6" width="11" style="5" bestFit="1" customWidth="1"/>
    <col min="7" max="7" width="20" style="5" customWidth="1"/>
    <col min="8" max="8" width="31.42578125" style="5" customWidth="1"/>
    <col min="9" max="9" width="11" style="5" bestFit="1" customWidth="1"/>
    <col min="10" max="10" width="9.140625" style="5"/>
    <col min="11" max="11" width="24.7109375" style="5" customWidth="1"/>
    <col min="12" max="12" width="22.5703125" style="5" customWidth="1"/>
    <col min="13" max="16384" width="9.140625" style="5"/>
  </cols>
  <sheetData>
    <row r="1" spans="1:6" x14ac:dyDescent="0.25">
      <c r="A1" s="1" t="s">
        <v>5</v>
      </c>
      <c r="B1" s="3"/>
      <c r="C1" s="4" t="s">
        <v>205</v>
      </c>
      <c r="D1" s="4" t="s">
        <v>230</v>
      </c>
      <c r="E1" s="4" t="s">
        <v>132</v>
      </c>
      <c r="F1" s="4" t="s">
        <v>135</v>
      </c>
    </row>
    <row r="2" spans="1:6" x14ac:dyDescent="0.25">
      <c r="A2" s="1" t="s">
        <v>139</v>
      </c>
      <c r="B2" s="3"/>
      <c r="C2" s="4" t="s">
        <v>140</v>
      </c>
      <c r="D2" s="4" t="s">
        <v>140</v>
      </c>
      <c r="E2" s="4" t="s">
        <v>6</v>
      </c>
      <c r="F2" s="4" t="s">
        <v>57</v>
      </c>
    </row>
    <row r="3" spans="1:6" x14ac:dyDescent="0.25">
      <c r="A3" s="2" t="s">
        <v>1</v>
      </c>
      <c r="B3" s="3"/>
      <c r="C3" s="6">
        <v>1</v>
      </c>
      <c r="D3" s="6">
        <v>1</v>
      </c>
      <c r="E3" s="6">
        <v>1</v>
      </c>
      <c r="F3" s="6">
        <v>1</v>
      </c>
    </row>
    <row r="4" spans="1:6" x14ac:dyDescent="0.25">
      <c r="A4" s="2" t="s">
        <v>2</v>
      </c>
      <c r="B4" s="3"/>
      <c r="C4" s="6" t="s">
        <v>0</v>
      </c>
      <c r="D4" s="6" t="s">
        <v>0</v>
      </c>
      <c r="E4" s="6">
        <v>1</v>
      </c>
      <c r="F4" s="6" t="s">
        <v>18</v>
      </c>
    </row>
    <row r="5" spans="1:6" x14ac:dyDescent="0.25">
      <c r="A5" s="2" t="s">
        <v>3</v>
      </c>
      <c r="B5" s="3"/>
      <c r="C5" s="6" t="s">
        <v>0</v>
      </c>
      <c r="D5" s="6" t="s">
        <v>0</v>
      </c>
      <c r="E5" s="6">
        <v>100</v>
      </c>
      <c r="F5" s="6" t="s">
        <v>18</v>
      </c>
    </row>
    <row r="6" spans="1:6" x14ac:dyDescent="0.25">
      <c r="A6" s="2" t="s">
        <v>4</v>
      </c>
      <c r="B6" s="3"/>
      <c r="C6" s="6" t="s">
        <v>0</v>
      </c>
      <c r="D6" s="6" t="s">
        <v>0</v>
      </c>
      <c r="E6" s="6" t="s">
        <v>0</v>
      </c>
      <c r="F6" s="6" t="s">
        <v>18</v>
      </c>
    </row>
    <row r="7" spans="1:6" x14ac:dyDescent="0.25">
      <c r="A7" s="2" t="s">
        <v>8</v>
      </c>
      <c r="B7" s="3"/>
      <c r="C7" s="6" t="s">
        <v>0</v>
      </c>
      <c r="D7" s="6" t="s">
        <v>0</v>
      </c>
      <c r="E7" s="6" t="s">
        <v>133</v>
      </c>
      <c r="F7" s="6" t="s">
        <v>18</v>
      </c>
    </row>
    <row r="8" spans="1:6" x14ac:dyDescent="0.25">
      <c r="A8" s="7">
        <v>401</v>
      </c>
      <c r="B8" s="8" t="s">
        <v>163</v>
      </c>
      <c r="C8" s="11" t="s">
        <v>141</v>
      </c>
      <c r="D8" s="11" t="s">
        <v>141</v>
      </c>
      <c r="E8" s="13">
        <v>1</v>
      </c>
      <c r="F8" s="13" t="b">
        <v>1</v>
      </c>
    </row>
    <row r="9" spans="1:6" x14ac:dyDescent="0.25">
      <c r="A9" s="7">
        <v>402</v>
      </c>
      <c r="B9" s="8" t="s">
        <v>161</v>
      </c>
      <c r="C9" s="11" t="s">
        <v>142</v>
      </c>
      <c r="D9" s="11" t="s">
        <v>142</v>
      </c>
      <c r="E9" s="13">
        <v>1</v>
      </c>
      <c r="F9" s="13" t="b">
        <v>1</v>
      </c>
    </row>
    <row r="10" spans="1:6" x14ac:dyDescent="0.25">
      <c r="A10" s="7">
        <v>403</v>
      </c>
      <c r="B10" s="8" t="s">
        <v>162</v>
      </c>
      <c r="C10" s="11" t="s">
        <v>143</v>
      </c>
      <c r="D10" s="11" t="s">
        <v>143</v>
      </c>
      <c r="E10" s="13">
        <v>1</v>
      </c>
      <c r="F10" s="13" t="b">
        <v>1</v>
      </c>
    </row>
    <row r="11" spans="1:6" x14ac:dyDescent="0.25">
      <c r="A11" s="7">
        <v>404</v>
      </c>
      <c r="B11" s="8" t="s">
        <v>164</v>
      </c>
      <c r="C11" s="11" t="s">
        <v>144</v>
      </c>
      <c r="D11" s="11" t="s">
        <v>144</v>
      </c>
      <c r="E11" s="13">
        <v>1</v>
      </c>
      <c r="F11" s="13" t="b">
        <v>1</v>
      </c>
    </row>
    <row r="12" spans="1:6" x14ac:dyDescent="0.25">
      <c r="A12" s="7">
        <v>405</v>
      </c>
      <c r="B12" s="8" t="s">
        <v>166</v>
      </c>
      <c r="C12" s="11" t="s">
        <v>146</v>
      </c>
      <c r="D12" s="11" t="s">
        <v>146</v>
      </c>
      <c r="E12" s="13">
        <f t="shared" ref="E12:E27" si="0">E8+1</f>
        <v>2</v>
      </c>
      <c r="F12" s="13" t="b">
        <v>1</v>
      </c>
    </row>
    <row r="13" spans="1:6" x14ac:dyDescent="0.25">
      <c r="A13" s="7">
        <v>406</v>
      </c>
      <c r="B13" s="8" t="s">
        <v>168</v>
      </c>
      <c r="C13" s="11" t="s">
        <v>148</v>
      </c>
      <c r="D13" s="11" t="s">
        <v>148</v>
      </c>
      <c r="E13" s="13">
        <f t="shared" si="0"/>
        <v>2</v>
      </c>
      <c r="F13" s="13" t="b">
        <v>1</v>
      </c>
    </row>
    <row r="14" spans="1:6" x14ac:dyDescent="0.25">
      <c r="A14" s="7">
        <v>407</v>
      </c>
      <c r="B14" s="8" t="s">
        <v>172</v>
      </c>
      <c r="C14" s="11" t="s">
        <v>152</v>
      </c>
      <c r="D14" s="11" t="s">
        <v>152</v>
      </c>
      <c r="E14" s="13">
        <f t="shared" si="0"/>
        <v>2</v>
      </c>
      <c r="F14" s="13" t="b">
        <v>1</v>
      </c>
    </row>
    <row r="15" spans="1:6" x14ac:dyDescent="0.25">
      <c r="A15" s="7">
        <v>408</v>
      </c>
      <c r="B15" s="8" t="s">
        <v>173</v>
      </c>
      <c r="C15" s="11" t="s">
        <v>153</v>
      </c>
      <c r="D15" s="11" t="s">
        <v>153</v>
      </c>
      <c r="E15" s="13">
        <f t="shared" si="0"/>
        <v>2</v>
      </c>
      <c r="F15" s="13" t="b">
        <v>1</v>
      </c>
    </row>
    <row r="16" spans="1:6" x14ac:dyDescent="0.25">
      <c r="A16" s="7">
        <v>409</v>
      </c>
      <c r="B16" s="8" t="s">
        <v>175</v>
      </c>
      <c r="C16" s="11" t="s">
        <v>155</v>
      </c>
      <c r="D16" s="11" t="s">
        <v>155</v>
      </c>
      <c r="E16" s="13">
        <f t="shared" si="0"/>
        <v>3</v>
      </c>
      <c r="F16" s="13" t="b">
        <v>1</v>
      </c>
    </row>
    <row r="17" spans="1:7" x14ac:dyDescent="0.25">
      <c r="A17" s="7">
        <v>410</v>
      </c>
      <c r="B17" s="8" t="s">
        <v>176</v>
      </c>
      <c r="C17" s="11" t="s">
        <v>156</v>
      </c>
      <c r="D17" s="11" t="s">
        <v>156</v>
      </c>
      <c r="E17" s="13">
        <f t="shared" si="0"/>
        <v>3</v>
      </c>
      <c r="F17" s="13" t="b">
        <v>1</v>
      </c>
    </row>
    <row r="18" spans="1:7" x14ac:dyDescent="0.25">
      <c r="A18" s="7">
        <v>411</v>
      </c>
      <c r="B18" s="8" t="s">
        <v>179</v>
      </c>
      <c r="C18" s="11" t="s">
        <v>159</v>
      </c>
      <c r="D18" s="11" t="s">
        <v>159</v>
      </c>
      <c r="E18" s="13">
        <f t="shared" si="0"/>
        <v>3</v>
      </c>
      <c r="F18" s="13" t="b">
        <v>1</v>
      </c>
    </row>
    <row r="19" spans="1:7" x14ac:dyDescent="0.25">
      <c r="A19" s="7">
        <v>412</v>
      </c>
      <c r="B19" s="8" t="s">
        <v>180</v>
      </c>
      <c r="C19" s="11" t="s">
        <v>160</v>
      </c>
      <c r="D19" s="11" t="s">
        <v>160</v>
      </c>
      <c r="E19" s="13">
        <f t="shared" si="0"/>
        <v>3</v>
      </c>
      <c r="F19" s="13" t="b">
        <v>1</v>
      </c>
    </row>
    <row r="20" spans="1:7" x14ac:dyDescent="0.25">
      <c r="A20" s="7">
        <v>413</v>
      </c>
      <c r="B20" s="8" t="s">
        <v>174</v>
      </c>
      <c r="C20" s="11" t="s">
        <v>154</v>
      </c>
      <c r="D20" s="11" t="s">
        <v>154</v>
      </c>
      <c r="E20" s="13">
        <f t="shared" si="0"/>
        <v>4</v>
      </c>
      <c r="F20" s="13" t="b">
        <v>1</v>
      </c>
    </row>
    <row r="21" spans="1:7" x14ac:dyDescent="0.25">
      <c r="A21" s="7">
        <v>414</v>
      </c>
      <c r="B21" s="8" t="s">
        <v>177</v>
      </c>
      <c r="C21" s="11" t="s">
        <v>157</v>
      </c>
      <c r="D21" s="11" t="s">
        <v>157</v>
      </c>
      <c r="E21" s="13">
        <f t="shared" si="0"/>
        <v>4</v>
      </c>
      <c r="F21" s="13" t="b">
        <v>1</v>
      </c>
    </row>
    <row r="22" spans="1:7" x14ac:dyDescent="0.25">
      <c r="A22" s="7">
        <v>415</v>
      </c>
      <c r="B22" s="8" t="s">
        <v>178</v>
      </c>
      <c r="C22" s="11" t="s">
        <v>158</v>
      </c>
      <c r="D22" s="11" t="s">
        <v>158</v>
      </c>
      <c r="E22" s="13">
        <f t="shared" si="0"/>
        <v>4</v>
      </c>
      <c r="F22" s="13" t="b">
        <v>1</v>
      </c>
    </row>
    <row r="23" spans="1:7" x14ac:dyDescent="0.25">
      <c r="A23" s="7">
        <v>416</v>
      </c>
      <c r="B23" s="8" t="s">
        <v>169</v>
      </c>
      <c r="C23" s="11" t="s">
        <v>149</v>
      </c>
      <c r="D23" s="11" t="s">
        <v>149</v>
      </c>
      <c r="E23" s="13">
        <f t="shared" si="0"/>
        <v>4</v>
      </c>
      <c r="F23" s="13" t="b">
        <v>1</v>
      </c>
    </row>
    <row r="24" spans="1:7" x14ac:dyDescent="0.25">
      <c r="A24" s="7">
        <v>417</v>
      </c>
      <c r="B24" s="8" t="s">
        <v>170</v>
      </c>
      <c r="C24" s="11" t="s">
        <v>150</v>
      </c>
      <c r="D24" s="11" t="s">
        <v>150</v>
      </c>
      <c r="E24" s="13">
        <f t="shared" si="0"/>
        <v>5</v>
      </c>
      <c r="F24" s="13" t="b">
        <v>1</v>
      </c>
    </row>
    <row r="25" spans="1:7" x14ac:dyDescent="0.25">
      <c r="A25" s="7">
        <v>418</v>
      </c>
      <c r="B25" s="8" t="s">
        <v>167</v>
      </c>
      <c r="C25" s="11" t="s">
        <v>151</v>
      </c>
      <c r="D25" s="11" t="s">
        <v>151</v>
      </c>
      <c r="E25" s="13">
        <f t="shared" si="0"/>
        <v>5</v>
      </c>
      <c r="F25" s="13" t="b">
        <v>1</v>
      </c>
    </row>
    <row r="26" spans="1:7" x14ac:dyDescent="0.25">
      <c r="A26" s="7">
        <v>419</v>
      </c>
      <c r="B26" s="8" t="s">
        <v>171</v>
      </c>
      <c r="C26" s="11" t="s">
        <v>147</v>
      </c>
      <c r="D26" s="11" t="s">
        <v>147</v>
      </c>
      <c r="E26" s="13">
        <f t="shared" si="0"/>
        <v>5</v>
      </c>
      <c r="F26" s="13" t="b">
        <v>1</v>
      </c>
    </row>
    <row r="27" spans="1:7" x14ac:dyDescent="0.25">
      <c r="A27" s="7">
        <v>420</v>
      </c>
      <c r="B27" s="8" t="s">
        <v>165</v>
      </c>
      <c r="C27" s="11" t="s">
        <v>145</v>
      </c>
      <c r="D27" s="11" t="s">
        <v>145</v>
      </c>
      <c r="E27" s="13">
        <f t="shared" si="0"/>
        <v>5</v>
      </c>
      <c r="F27" s="13" t="b">
        <v>1</v>
      </c>
    </row>
    <row r="28" spans="1:7" x14ac:dyDescent="0.25">
      <c r="A28" s="9"/>
      <c r="B28" s="10"/>
      <c r="C28" s="10"/>
      <c r="D28" s="10"/>
      <c r="E28" s="10"/>
      <c r="F28" s="10"/>
      <c r="G28" s="5" t="s">
        <v>7</v>
      </c>
    </row>
  </sheetData>
  <phoneticPr fontId="6" type="noConversion"/>
  <conditionalFormatting sqref="E8:F27">
    <cfRule type="cellIs" dxfId="1" priority="3" operator="equal">
      <formula>FALSE</formula>
    </cfRule>
    <cfRule type="cellIs" dxfId="0" priority="4" operator="equal">
      <formula>TRUE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8070-85F1-4396-B9D4-F9AD6F64B874}">
  <sheetPr codeName="Sheet76">
    <tabColor rgb="FF92D050"/>
  </sheetPr>
  <dimension ref="A1:R70"/>
  <sheetViews>
    <sheetView topLeftCell="A16" zoomScale="70" zoomScaleNormal="70" workbookViewId="0">
      <selection activeCell="J77" sqref="J77"/>
    </sheetView>
  </sheetViews>
  <sheetFormatPr defaultColWidth="9.42578125" defaultRowHeight="13.5" x14ac:dyDescent="0.25"/>
  <cols>
    <col min="1" max="1" width="23.5703125" style="78" bestFit="1" customWidth="1"/>
    <col min="2" max="2" width="18.85546875" style="78" bestFit="1" customWidth="1"/>
    <col min="3" max="4" width="23" style="78" bestFit="1" customWidth="1"/>
    <col min="5" max="5" width="14.28515625" style="78" bestFit="1" customWidth="1"/>
    <col min="6" max="6" width="13.85546875" style="78" bestFit="1" customWidth="1"/>
    <col min="7" max="7" width="9.5703125" style="5" bestFit="1" customWidth="1"/>
    <col min="8" max="8" width="13.5703125" style="5" bestFit="1" customWidth="1"/>
    <col min="9" max="9" width="23" style="78" bestFit="1" customWidth="1"/>
    <col min="10" max="10" width="19" style="78" bestFit="1" customWidth="1"/>
    <col min="11" max="11" width="12.5703125" style="78" bestFit="1" customWidth="1"/>
    <col min="12" max="12" width="11.5703125" style="78" bestFit="1" customWidth="1"/>
    <col min="13" max="13" width="12.5703125" style="78" bestFit="1" customWidth="1"/>
    <col min="14" max="14" width="18.85546875" bestFit="1" customWidth="1"/>
    <col min="15" max="15" width="27.42578125" style="78" customWidth="1"/>
    <col min="16" max="16" width="22.42578125" style="78" bestFit="1" customWidth="1"/>
    <col min="17" max="17" width="29.28515625" style="78" bestFit="1" customWidth="1"/>
    <col min="18" max="19" width="21.5703125" style="78" customWidth="1"/>
    <col min="20" max="20" width="31.5703125" style="78" bestFit="1" customWidth="1"/>
    <col min="21" max="21" width="23.5703125" style="78" customWidth="1"/>
    <col min="22" max="22" width="31.42578125" style="78" customWidth="1"/>
    <col min="23" max="23" width="22.5703125" style="78" bestFit="1" customWidth="1"/>
    <col min="24" max="24" width="20" style="78" bestFit="1" customWidth="1"/>
    <col min="25" max="25" width="21.42578125" style="78" bestFit="1" customWidth="1"/>
    <col min="26" max="27" width="22.5703125" style="78" bestFit="1" customWidth="1"/>
    <col min="28" max="16384" width="9.42578125" style="78"/>
  </cols>
  <sheetData>
    <row r="1" spans="1:18" x14ac:dyDescent="0.25">
      <c r="A1" s="75" t="s">
        <v>5</v>
      </c>
      <c r="B1" s="3"/>
      <c r="C1" s="6" t="s">
        <v>231</v>
      </c>
      <c r="D1" s="6" t="s">
        <v>232</v>
      </c>
      <c r="E1" s="6" t="s">
        <v>233</v>
      </c>
      <c r="F1" s="6" t="s">
        <v>234</v>
      </c>
      <c r="G1" s="3"/>
      <c r="H1" s="76" t="s">
        <v>235</v>
      </c>
      <c r="I1" s="6" t="s">
        <v>236</v>
      </c>
      <c r="J1" s="6" t="s">
        <v>237</v>
      </c>
      <c r="K1" s="10"/>
      <c r="L1" s="77" t="s">
        <v>238</v>
      </c>
      <c r="M1" s="6" t="s">
        <v>239</v>
      </c>
      <c r="N1" s="93" t="s">
        <v>270</v>
      </c>
      <c r="O1" s="10"/>
      <c r="P1" s="77" t="s">
        <v>240</v>
      </c>
      <c r="Q1" s="6" t="s">
        <v>241</v>
      </c>
    </row>
    <row r="2" spans="1:18" x14ac:dyDescent="0.25">
      <c r="A2" s="75" t="s">
        <v>253</v>
      </c>
      <c r="B2" s="3"/>
      <c r="C2" s="6" t="s">
        <v>242</v>
      </c>
      <c r="D2" s="6" t="s">
        <v>242</v>
      </c>
      <c r="E2" s="6" t="s">
        <v>243</v>
      </c>
      <c r="F2" s="6" t="s">
        <v>243</v>
      </c>
      <c r="G2" s="3"/>
      <c r="H2" s="76" t="s">
        <v>6</v>
      </c>
      <c r="I2" s="6" t="s">
        <v>243</v>
      </c>
      <c r="J2" s="6" t="s">
        <v>244</v>
      </c>
      <c r="K2" s="10"/>
      <c r="L2" s="77" t="s">
        <v>243</v>
      </c>
      <c r="M2" s="6" t="s">
        <v>243</v>
      </c>
      <c r="N2" s="93" t="s">
        <v>6</v>
      </c>
      <c r="O2" s="10"/>
      <c r="P2" s="77" t="s">
        <v>243</v>
      </c>
      <c r="Q2" s="6" t="s">
        <v>252</v>
      </c>
    </row>
    <row r="3" spans="1:18" x14ac:dyDescent="0.25">
      <c r="A3" s="75" t="s">
        <v>1</v>
      </c>
      <c r="B3" s="3"/>
      <c r="C3" s="6">
        <v>1</v>
      </c>
      <c r="D3" s="6" t="s">
        <v>245</v>
      </c>
      <c r="E3" s="6">
        <v>1</v>
      </c>
      <c r="F3" s="6">
        <v>1</v>
      </c>
      <c r="G3" s="3"/>
      <c r="H3" s="76" t="s">
        <v>0</v>
      </c>
      <c r="I3" s="6" t="s">
        <v>18</v>
      </c>
      <c r="J3" s="6" t="s">
        <v>18</v>
      </c>
      <c r="K3" s="10"/>
      <c r="L3" s="77" t="s">
        <v>0</v>
      </c>
      <c r="M3" s="6" t="s">
        <v>0</v>
      </c>
      <c r="N3" s="93" t="s">
        <v>0</v>
      </c>
      <c r="O3" s="10"/>
      <c r="P3" s="77" t="s">
        <v>18</v>
      </c>
      <c r="Q3" s="6" t="s">
        <v>18</v>
      </c>
    </row>
    <row r="4" spans="1:18" x14ac:dyDescent="0.25">
      <c r="A4" s="75" t="s">
        <v>246</v>
      </c>
      <c r="B4" s="3"/>
      <c r="C4" s="6" t="s">
        <v>247</v>
      </c>
      <c r="D4" s="6" t="s">
        <v>245</v>
      </c>
      <c r="E4" s="6" t="s">
        <v>247</v>
      </c>
      <c r="F4" s="6" t="s">
        <v>247</v>
      </c>
      <c r="G4" s="3"/>
      <c r="H4" s="76" t="s">
        <v>0</v>
      </c>
      <c r="I4" s="6" t="s">
        <v>18</v>
      </c>
      <c r="J4" s="6" t="s">
        <v>18</v>
      </c>
      <c r="K4" s="10"/>
      <c r="L4" s="77" t="s">
        <v>0</v>
      </c>
      <c r="M4" s="6" t="s">
        <v>0</v>
      </c>
      <c r="N4" s="93" t="s">
        <v>0</v>
      </c>
      <c r="O4" s="10"/>
      <c r="P4" s="77" t="s">
        <v>18</v>
      </c>
      <c r="Q4" s="6" t="s">
        <v>18</v>
      </c>
    </row>
    <row r="5" spans="1:18" x14ac:dyDescent="0.25">
      <c r="A5" s="75" t="s">
        <v>2</v>
      </c>
      <c r="B5" s="3"/>
      <c r="C5" s="6" t="s">
        <v>18</v>
      </c>
      <c r="D5" s="6" t="s">
        <v>18</v>
      </c>
      <c r="E5" s="6" t="s">
        <v>18</v>
      </c>
      <c r="F5" s="6" t="s">
        <v>18</v>
      </c>
      <c r="G5" s="3"/>
      <c r="H5" s="76">
        <f t="array" ref="H5">MIN(IF([1]_enum!$B:$B=G$8,[1]_enum!$D:$D))</f>
        <v>1</v>
      </c>
      <c r="I5" s="6" t="s">
        <v>18</v>
      </c>
      <c r="J5" s="6" t="s">
        <v>18</v>
      </c>
      <c r="K5" s="10"/>
      <c r="L5" s="77">
        <f>IF((LEN(L$8)-LEN(SUBSTITUTE(L$8,CHAR(34),"")))/LEN(CHAR(34))&gt;2,1,INDEX([1]TableIndex!$B:$B,MATCH(SUBSTITUTE(L$8,CHAR(34),""),[1]TableIndex!$A:$A,0),0))</f>
        <v>100000</v>
      </c>
      <c r="M5" s="6" t="s">
        <v>18</v>
      </c>
      <c r="N5" s="93" t="s">
        <v>0</v>
      </c>
      <c r="O5" s="10"/>
      <c r="P5" s="77">
        <f>IF((LEN(P$8)-LEN(SUBSTITUTE(P$8,CHAR(34),"")))/LEN(CHAR(34))&gt;2,1,INDEX([1]TableIndex!$B:$B,MATCH(SUBSTITUTE(P$8,CHAR(34),""),[1]TableIndex!$A:$A,0),0))</f>
        <v>94000000</v>
      </c>
      <c r="Q5" s="6" t="s">
        <v>18</v>
      </c>
    </row>
    <row r="6" spans="1:18" x14ac:dyDescent="0.25">
      <c r="A6" s="75" t="s">
        <v>3</v>
      </c>
      <c r="B6" s="3"/>
      <c r="C6" s="6" t="s">
        <v>18</v>
      </c>
      <c r="D6" s="6" t="s">
        <v>18</v>
      </c>
      <c r="E6" s="6" t="s">
        <v>18</v>
      </c>
      <c r="F6" s="6" t="s">
        <v>18</v>
      </c>
      <c r="G6" s="3"/>
      <c r="H6" s="76">
        <f t="array" ref="H6">MAX(IF([1]_enum!$B:$B=G$8,[1]_enum!$D:$D))</f>
        <v>5</v>
      </c>
      <c r="I6" s="6" t="s">
        <v>18</v>
      </c>
      <c r="J6" s="6" t="s">
        <v>18</v>
      </c>
      <c r="K6" s="10"/>
      <c r="L6" s="77">
        <f>IF((LEN(L$8)-LEN(SUBSTITUTE(L$8,CHAR(34),"")))/LEN(CHAR(34))&gt;2,99999999,INDEX([1]TableIndex!$C:$C,MATCH(SUBSTITUTE(L$8,CHAR(34),""),[1]TableIndex!$A:$A,0),0))</f>
        <v>199999</v>
      </c>
      <c r="M6" s="6" t="s">
        <v>18</v>
      </c>
      <c r="N6" s="93" t="s">
        <v>0</v>
      </c>
      <c r="O6" s="10"/>
      <c r="P6" s="77">
        <f>IF((LEN(P$8)-LEN(SUBSTITUTE(P$8,CHAR(34),"")))/LEN(CHAR(34))&gt;2,99999999,INDEX([1]TableIndex!$C:$C,MATCH(SUBSTITUTE(P$8,CHAR(34),""),[1]TableIndex!$A:$A,0),0))</f>
        <v>95999999</v>
      </c>
      <c r="Q6" s="6" t="s">
        <v>18</v>
      </c>
    </row>
    <row r="7" spans="1:18" x14ac:dyDescent="0.25">
      <c r="A7" s="75" t="s">
        <v>4</v>
      </c>
      <c r="B7" s="3"/>
      <c r="C7" s="6" t="s">
        <v>18</v>
      </c>
      <c r="D7" s="6" t="s">
        <v>18</v>
      </c>
      <c r="E7" s="6" t="s">
        <v>18</v>
      </c>
      <c r="F7" s="6" t="s">
        <v>18</v>
      </c>
      <c r="G7" s="3"/>
      <c r="H7" s="76" t="s">
        <v>0</v>
      </c>
      <c r="I7" s="6" t="s">
        <v>18</v>
      </c>
      <c r="J7" s="6" t="s">
        <v>18</v>
      </c>
      <c r="K7" s="10"/>
      <c r="L7" s="77" t="s">
        <v>18</v>
      </c>
      <c r="M7" s="6" t="s">
        <v>18</v>
      </c>
      <c r="N7" s="93" t="s">
        <v>0</v>
      </c>
      <c r="O7" s="10"/>
      <c r="P7" s="77" t="s">
        <v>18</v>
      </c>
      <c r="Q7" s="6" t="s">
        <v>18</v>
      </c>
    </row>
    <row r="8" spans="1:18" ht="14.25" thickBot="1" x14ac:dyDescent="0.3">
      <c r="A8" s="75" t="s">
        <v>8</v>
      </c>
      <c r="B8" s="3"/>
      <c r="C8" s="6" t="s">
        <v>18</v>
      </c>
      <c r="D8" s="6" t="s">
        <v>18</v>
      </c>
      <c r="E8" s="6" t="s">
        <v>18</v>
      </c>
      <c r="F8" s="6" t="s">
        <v>18</v>
      </c>
      <c r="G8" s="3" t="s">
        <v>235</v>
      </c>
      <c r="H8" s="76" t="s">
        <v>0</v>
      </c>
      <c r="I8" s="6" t="s">
        <v>18</v>
      </c>
      <c r="J8" s="6" t="s">
        <v>18</v>
      </c>
      <c r="K8" s="10"/>
      <c r="L8" s="77" t="s">
        <v>248</v>
      </c>
      <c r="M8" s="6" t="s">
        <v>18</v>
      </c>
      <c r="N8" s="93" t="s">
        <v>0</v>
      </c>
      <c r="O8" s="10"/>
      <c r="P8" s="77" t="s">
        <v>249</v>
      </c>
      <c r="Q8" s="6" t="s">
        <v>18</v>
      </c>
    </row>
    <row r="9" spans="1:18" ht="14.25" thickBot="1" x14ac:dyDescent="0.25">
      <c r="A9" s="79">
        <v>700</v>
      </c>
      <c r="B9" s="80" t="s">
        <v>271</v>
      </c>
      <c r="C9" s="81" t="s">
        <v>271</v>
      </c>
      <c r="D9" s="81" t="s">
        <v>18</v>
      </c>
      <c r="E9" s="81">
        <v>1</v>
      </c>
      <c r="F9" s="81">
        <v>17</v>
      </c>
      <c r="G9" s="82" t="s">
        <v>250</v>
      </c>
      <c r="H9" s="11">
        <f>IFERROR(VLOOKUP(G$8&amp;G9,[1]_enum!$A:$D,4,FALSE),"-")</f>
        <v>3</v>
      </c>
      <c r="I9" s="81">
        <v>1</v>
      </c>
      <c r="J9" s="81">
        <v>1111111</v>
      </c>
      <c r="K9" s="83" t="s">
        <v>251</v>
      </c>
      <c r="L9" s="84">
        <f>IFERROR(INDEX([1]Point!$A:$A,MATCH(K9,[1]Point!$B:$B,0),1),"-")</f>
        <v>100011</v>
      </c>
      <c r="M9" s="81">
        <v>600</v>
      </c>
      <c r="N9" s="95" t="s">
        <v>18</v>
      </c>
      <c r="O9" s="83" t="s">
        <v>316</v>
      </c>
      <c r="P9" s="84">
        <f>IFERROR(INDEX([1]RewardFixed!$A:$A,MATCH(O9,[1]RewardFixed!$B:$B,0),1),"-")</f>
        <v>94013001</v>
      </c>
      <c r="Q9" s="85" t="s">
        <v>361</v>
      </c>
    </row>
    <row r="10" spans="1:18" ht="14.25" thickBot="1" x14ac:dyDescent="0.25">
      <c r="A10" s="79">
        <v>701</v>
      </c>
      <c r="B10" s="80" t="s">
        <v>272</v>
      </c>
      <c r="C10" s="81" t="s">
        <v>272</v>
      </c>
      <c r="D10" s="81" t="s">
        <v>18</v>
      </c>
      <c r="E10" s="81">
        <v>1</v>
      </c>
      <c r="F10" s="81">
        <v>18</v>
      </c>
      <c r="G10" s="82" t="s">
        <v>250</v>
      </c>
      <c r="H10" s="11">
        <f>IFERROR(VLOOKUP(G$8&amp;G10,[1]_enum!$A:$D,4,FALSE),"-")</f>
        <v>3</v>
      </c>
      <c r="I10" s="81">
        <v>1</v>
      </c>
      <c r="J10" s="81">
        <v>1111111</v>
      </c>
      <c r="K10" s="83" t="s">
        <v>251</v>
      </c>
      <c r="L10" s="84">
        <f>IFERROR(INDEX([1]Point!$A:$A,MATCH(K10,[1]Point!$B:$B,0),1),"-")</f>
        <v>100011</v>
      </c>
      <c r="M10" s="81">
        <v>600</v>
      </c>
      <c r="N10" s="95" t="s">
        <v>18</v>
      </c>
      <c r="O10" s="83" t="s">
        <v>317</v>
      </c>
      <c r="P10" s="84">
        <f>IFERROR(INDEX([1]RewardFixed!$A:$A,MATCH(O10,[1]RewardFixed!$B:$B,0),1),"-")</f>
        <v>94013002</v>
      </c>
      <c r="Q10" s="85" t="s">
        <v>362</v>
      </c>
    </row>
    <row r="11" spans="1:18" ht="14.25" thickBot="1" x14ac:dyDescent="0.25">
      <c r="A11" s="79">
        <v>702</v>
      </c>
      <c r="B11" s="80" t="s">
        <v>273</v>
      </c>
      <c r="C11" s="81" t="s">
        <v>273</v>
      </c>
      <c r="D11" s="81" t="s">
        <v>18</v>
      </c>
      <c r="E11" s="81">
        <v>1</v>
      </c>
      <c r="F11" s="81">
        <v>19</v>
      </c>
      <c r="G11" s="82" t="s">
        <v>250</v>
      </c>
      <c r="H11" s="11">
        <f>IFERROR(VLOOKUP(G$8&amp;G11,[1]_enum!$A:$D,4,FALSE),"-")</f>
        <v>3</v>
      </c>
      <c r="I11" s="81">
        <v>1</v>
      </c>
      <c r="J11" s="81">
        <v>1111111</v>
      </c>
      <c r="K11" s="83" t="s">
        <v>251</v>
      </c>
      <c r="L11" s="84">
        <f>IFERROR(INDEX([1]Point!$A:$A,MATCH(K11,[1]Point!$B:$B,0),1),"-")</f>
        <v>100011</v>
      </c>
      <c r="M11" s="81">
        <v>600</v>
      </c>
      <c r="N11" s="95" t="s">
        <v>18</v>
      </c>
      <c r="O11" s="83" t="s">
        <v>318</v>
      </c>
      <c r="P11" s="84">
        <f>IFERROR(INDEX([1]RewardFixed!$A:$A,MATCH(O11,[1]RewardFixed!$B:$B,0),1),"-")</f>
        <v>94013003</v>
      </c>
      <c r="Q11" s="85" t="s">
        <v>363</v>
      </c>
    </row>
    <row r="12" spans="1:18" ht="14.25" thickBot="1" x14ac:dyDescent="0.25">
      <c r="A12" s="79">
        <v>703</v>
      </c>
      <c r="B12" s="80" t="s">
        <v>274</v>
      </c>
      <c r="C12" s="81" t="s">
        <v>274</v>
      </c>
      <c r="D12" s="81" t="s">
        <v>18</v>
      </c>
      <c r="E12" s="81">
        <v>1</v>
      </c>
      <c r="F12" s="81">
        <v>20</v>
      </c>
      <c r="G12" s="82" t="s">
        <v>250</v>
      </c>
      <c r="H12" s="11">
        <f>IFERROR(VLOOKUP(G$8&amp;G12,[1]_enum!$A:$D,4,FALSE),"-")</f>
        <v>3</v>
      </c>
      <c r="I12" s="81">
        <v>1</v>
      </c>
      <c r="J12" s="81">
        <v>1111111</v>
      </c>
      <c r="K12" s="83" t="s">
        <v>251</v>
      </c>
      <c r="L12" s="84">
        <f>IFERROR(INDEX([1]Point!$A:$A,MATCH(K12,[1]Point!$B:$B,0),1),"-")</f>
        <v>100011</v>
      </c>
      <c r="M12" s="81">
        <v>600</v>
      </c>
      <c r="N12" s="95" t="s">
        <v>18</v>
      </c>
      <c r="O12" s="83" t="s">
        <v>319</v>
      </c>
      <c r="P12" s="84">
        <f>IFERROR(INDEX([1]RewardFixed!$A:$A,MATCH(O12,[1]RewardFixed!$B:$B,0),1),"-")</f>
        <v>94013004</v>
      </c>
      <c r="Q12" s="85" t="s">
        <v>364</v>
      </c>
    </row>
    <row r="13" spans="1:18" ht="14.25" thickBot="1" x14ac:dyDescent="0.25">
      <c r="A13" s="79">
        <v>704</v>
      </c>
      <c r="B13" s="88" t="s">
        <v>275</v>
      </c>
      <c r="C13" s="87" t="s">
        <v>275</v>
      </c>
      <c r="D13" s="81" t="s">
        <v>18</v>
      </c>
      <c r="E13" s="81">
        <v>1</v>
      </c>
      <c r="F13" s="81">
        <v>21</v>
      </c>
      <c r="G13" s="82" t="s">
        <v>250</v>
      </c>
      <c r="H13" s="11">
        <f>IFERROR(VLOOKUP(G$8&amp;G13,[1]_enum!$A:$D,4,FALSE),"-")</f>
        <v>3</v>
      </c>
      <c r="I13" s="81">
        <v>1</v>
      </c>
      <c r="J13" s="81">
        <v>1111111</v>
      </c>
      <c r="K13" s="83" t="s">
        <v>251</v>
      </c>
      <c r="L13" s="84">
        <f>IFERROR(INDEX([1]Point!$A:$A,MATCH(K13,[1]Point!$B:$B,0),1),"-")</f>
        <v>100011</v>
      </c>
      <c r="M13" s="81">
        <v>600</v>
      </c>
      <c r="N13" s="95" t="s">
        <v>18</v>
      </c>
      <c r="O13" s="89" t="s">
        <v>320</v>
      </c>
      <c r="P13" s="90">
        <f>IFERROR(INDEX([1]RewardFixed!$A:$A,MATCH(O13,[1]RewardFixed!$B:$B,0),1),"-")</f>
        <v>94013005</v>
      </c>
      <c r="Q13" s="85" t="s">
        <v>365</v>
      </c>
      <c r="R13" s="91"/>
    </row>
    <row r="14" spans="1:18" ht="14.25" thickBot="1" x14ac:dyDescent="0.25">
      <c r="A14" s="79">
        <v>705</v>
      </c>
      <c r="B14" s="88" t="s">
        <v>276</v>
      </c>
      <c r="C14" s="87" t="s">
        <v>276</v>
      </c>
      <c r="D14" s="81" t="s">
        <v>18</v>
      </c>
      <c r="E14" s="81">
        <v>1</v>
      </c>
      <c r="F14" s="81">
        <v>22</v>
      </c>
      <c r="G14" s="82" t="s">
        <v>250</v>
      </c>
      <c r="H14" s="11">
        <f>IFERROR(VLOOKUP(G$8&amp;G14,[1]_enum!$A:$D,4,FALSE),"-")</f>
        <v>3</v>
      </c>
      <c r="I14" s="81">
        <v>1</v>
      </c>
      <c r="J14" s="81">
        <v>1111111</v>
      </c>
      <c r="K14" s="83" t="s">
        <v>251</v>
      </c>
      <c r="L14" s="84">
        <f>IFERROR(INDEX([1]Point!$A:$A,MATCH(K14,[1]Point!$B:$B,0),1),"-")</f>
        <v>100011</v>
      </c>
      <c r="M14" s="81">
        <v>900</v>
      </c>
      <c r="N14" s="95" t="s">
        <v>18</v>
      </c>
      <c r="O14" s="89" t="s">
        <v>321</v>
      </c>
      <c r="P14" s="90">
        <f>IFERROR(INDEX([1]RewardFixed!$A:$A,MATCH(O14,[1]RewardFixed!$B:$B,0),1),"-")</f>
        <v>94013006</v>
      </c>
      <c r="Q14" s="85" t="s">
        <v>366</v>
      </c>
      <c r="R14" s="91"/>
    </row>
    <row r="15" spans="1:18" ht="14.25" thickBot="1" x14ac:dyDescent="0.25">
      <c r="A15" s="79">
        <v>706</v>
      </c>
      <c r="B15" s="88" t="s">
        <v>277</v>
      </c>
      <c r="C15" s="87" t="s">
        <v>277</v>
      </c>
      <c r="D15" s="81" t="s">
        <v>18</v>
      </c>
      <c r="E15" s="81">
        <v>1</v>
      </c>
      <c r="F15" s="81">
        <v>23</v>
      </c>
      <c r="G15" s="82" t="s">
        <v>250</v>
      </c>
      <c r="H15" s="11">
        <f>IFERROR(VLOOKUP(G$8&amp;G15,[1]_enum!$A:$D,4,FALSE),"-")</f>
        <v>3</v>
      </c>
      <c r="I15" s="81">
        <v>1</v>
      </c>
      <c r="J15" s="81">
        <v>1111111</v>
      </c>
      <c r="K15" s="83" t="s">
        <v>251</v>
      </c>
      <c r="L15" s="84">
        <f>IFERROR(INDEX([1]Point!$A:$A,MATCH(K15,[1]Point!$B:$B,0),1),"-")</f>
        <v>100011</v>
      </c>
      <c r="M15" s="81">
        <v>900</v>
      </c>
      <c r="N15" s="95" t="s">
        <v>18</v>
      </c>
      <c r="O15" s="89" t="s">
        <v>322</v>
      </c>
      <c r="P15" s="90">
        <f>IFERROR(INDEX([1]RewardFixed!$A:$A,MATCH(O15,[1]RewardFixed!$B:$B,0),1),"-")</f>
        <v>94013007</v>
      </c>
      <c r="Q15" s="85" t="s">
        <v>367</v>
      </c>
      <c r="R15" s="91"/>
    </row>
    <row r="16" spans="1:18" ht="14.25" thickBot="1" x14ac:dyDescent="0.25">
      <c r="A16" s="79">
        <v>707</v>
      </c>
      <c r="B16" s="88" t="s">
        <v>278</v>
      </c>
      <c r="C16" s="87" t="s">
        <v>278</v>
      </c>
      <c r="D16" s="81" t="s">
        <v>18</v>
      </c>
      <c r="E16" s="81">
        <v>1</v>
      </c>
      <c r="F16" s="81">
        <v>24</v>
      </c>
      <c r="G16" s="82" t="s">
        <v>250</v>
      </c>
      <c r="H16" s="11">
        <f>IFERROR(VLOOKUP(G$8&amp;G16,[1]_enum!$A:$D,4,FALSE),"-")</f>
        <v>3</v>
      </c>
      <c r="I16" s="81">
        <v>1</v>
      </c>
      <c r="J16" s="81">
        <v>1111111</v>
      </c>
      <c r="K16" s="83" t="s">
        <v>251</v>
      </c>
      <c r="L16" s="84">
        <f>IFERROR(INDEX([1]Point!$A:$A,MATCH(K16,[1]Point!$B:$B,0),1),"-")</f>
        <v>100011</v>
      </c>
      <c r="M16" s="81">
        <v>900</v>
      </c>
      <c r="N16" s="95" t="s">
        <v>18</v>
      </c>
      <c r="O16" s="89" t="s">
        <v>323</v>
      </c>
      <c r="P16" s="90">
        <f>IFERROR(INDEX([1]RewardFixed!$A:$A,MATCH(O16,[1]RewardFixed!$B:$B,0),1),"-")</f>
        <v>94013008</v>
      </c>
      <c r="Q16" s="85" t="s">
        <v>368</v>
      </c>
      <c r="R16" s="91"/>
    </row>
    <row r="17" spans="1:18" ht="14.25" thickBot="1" x14ac:dyDescent="0.25">
      <c r="A17" s="79">
        <v>708</v>
      </c>
      <c r="B17" s="80" t="s">
        <v>279</v>
      </c>
      <c r="C17" s="81" t="s">
        <v>279</v>
      </c>
      <c r="D17" s="81" t="s">
        <v>18</v>
      </c>
      <c r="E17" s="81">
        <v>1</v>
      </c>
      <c r="F17" s="81">
        <v>25</v>
      </c>
      <c r="G17" s="82" t="s">
        <v>250</v>
      </c>
      <c r="H17" s="11">
        <f>IFERROR(VLOOKUP(G$8&amp;G17,[1]_enum!$A:$D,4,FALSE),"-")</f>
        <v>3</v>
      </c>
      <c r="I17" s="81">
        <v>1</v>
      </c>
      <c r="J17" s="81">
        <v>1111111</v>
      </c>
      <c r="K17" s="83" t="s">
        <v>251</v>
      </c>
      <c r="L17" s="84">
        <f>IFERROR(INDEX([1]Point!$A:$A,MATCH(K17,[1]Point!$B:$B,0),1),"-")</f>
        <v>100011</v>
      </c>
      <c r="M17" s="81">
        <v>900</v>
      </c>
      <c r="N17" s="95" t="s">
        <v>18</v>
      </c>
      <c r="O17" s="83" t="s">
        <v>324</v>
      </c>
      <c r="P17" s="84">
        <f>IFERROR(INDEX([1]RewardFixed!$A:$A,MATCH(O17,[1]RewardFixed!$B:$B,0),1),"-")</f>
        <v>94013009</v>
      </c>
      <c r="Q17" s="85" t="s">
        <v>369</v>
      </c>
    </row>
    <row r="18" spans="1:18" ht="14.25" thickBot="1" x14ac:dyDescent="0.25">
      <c r="A18" s="79">
        <v>709</v>
      </c>
      <c r="B18" s="80" t="s">
        <v>280</v>
      </c>
      <c r="C18" s="81" t="s">
        <v>280</v>
      </c>
      <c r="D18" s="81" t="s">
        <v>18</v>
      </c>
      <c r="E18" s="81">
        <v>1</v>
      </c>
      <c r="F18" s="81">
        <v>26</v>
      </c>
      <c r="G18" s="82" t="s">
        <v>250</v>
      </c>
      <c r="H18" s="11">
        <f>IFERROR(VLOOKUP(G$8&amp;G18,[1]_enum!$A:$D,4,FALSE),"-")</f>
        <v>3</v>
      </c>
      <c r="I18" s="81">
        <v>1</v>
      </c>
      <c r="J18" s="81">
        <v>1111111</v>
      </c>
      <c r="K18" s="83" t="s">
        <v>251</v>
      </c>
      <c r="L18" s="84">
        <f>IFERROR(INDEX([1]Point!$A:$A,MATCH(K18,[1]Point!$B:$B,0),1),"-")</f>
        <v>100011</v>
      </c>
      <c r="M18" s="81">
        <v>900</v>
      </c>
      <c r="N18" s="95" t="s">
        <v>18</v>
      </c>
      <c r="O18" s="83" t="s">
        <v>325</v>
      </c>
      <c r="P18" s="84">
        <f>IFERROR(INDEX([1]RewardFixed!$A:$A,MATCH(O18,[1]RewardFixed!$B:$B,0),1),"-")</f>
        <v>94013010</v>
      </c>
      <c r="Q18" s="85" t="s">
        <v>370</v>
      </c>
    </row>
    <row r="19" spans="1:18" ht="14.25" thickBot="1" x14ac:dyDescent="0.25">
      <c r="A19" s="79">
        <v>710</v>
      </c>
      <c r="B19" s="80" t="s">
        <v>281</v>
      </c>
      <c r="C19" s="81" t="s">
        <v>281</v>
      </c>
      <c r="D19" s="81" t="s">
        <v>18</v>
      </c>
      <c r="E19" s="81">
        <v>1</v>
      </c>
      <c r="F19" s="81">
        <v>27</v>
      </c>
      <c r="G19" s="82" t="s">
        <v>250</v>
      </c>
      <c r="H19" s="11">
        <f>IFERROR(VLOOKUP(G$8&amp;G19,[1]_enum!$A:$D,4,FALSE),"-")</f>
        <v>3</v>
      </c>
      <c r="I19" s="81">
        <v>1</v>
      </c>
      <c r="J19" s="81">
        <v>1111111</v>
      </c>
      <c r="K19" s="83" t="s">
        <v>251</v>
      </c>
      <c r="L19" s="84">
        <f>IFERROR(INDEX([1]Point!$A:$A,MATCH(K19,[1]Point!$B:$B,0),1),"-")</f>
        <v>100011</v>
      </c>
      <c r="M19" s="81">
        <v>1300</v>
      </c>
      <c r="N19" s="95" t="s">
        <v>18</v>
      </c>
      <c r="O19" s="83" t="s">
        <v>326</v>
      </c>
      <c r="P19" s="84">
        <f>IFERROR(INDEX([1]RewardFixed!$A:$A,MATCH(O19,[1]RewardFixed!$B:$B,0),1),"-")</f>
        <v>94013011</v>
      </c>
      <c r="Q19" s="85" t="s">
        <v>371</v>
      </c>
    </row>
    <row r="20" spans="1:18" ht="14.25" thickBot="1" x14ac:dyDescent="0.25">
      <c r="A20" s="79">
        <v>711</v>
      </c>
      <c r="B20" s="80" t="s">
        <v>282</v>
      </c>
      <c r="C20" s="81" t="s">
        <v>282</v>
      </c>
      <c r="D20" s="81" t="s">
        <v>18</v>
      </c>
      <c r="E20" s="81">
        <v>1</v>
      </c>
      <c r="F20" s="81">
        <v>28</v>
      </c>
      <c r="G20" s="82" t="s">
        <v>250</v>
      </c>
      <c r="H20" s="11">
        <f>IFERROR(VLOOKUP(G$8&amp;G20,[1]_enum!$A:$D,4,FALSE),"-")</f>
        <v>3</v>
      </c>
      <c r="I20" s="81">
        <v>1</v>
      </c>
      <c r="J20" s="81">
        <v>1111111</v>
      </c>
      <c r="K20" s="83" t="s">
        <v>251</v>
      </c>
      <c r="L20" s="84">
        <f>IFERROR(INDEX([1]Point!$A:$A,MATCH(K20,[1]Point!$B:$B,0),1),"-")</f>
        <v>100011</v>
      </c>
      <c r="M20" s="81">
        <v>1300</v>
      </c>
      <c r="N20" s="95" t="s">
        <v>18</v>
      </c>
      <c r="O20" s="83" t="s">
        <v>327</v>
      </c>
      <c r="P20" s="84">
        <f>IFERROR(INDEX([1]RewardFixed!$A:$A,MATCH(O20,[1]RewardFixed!$B:$B,0),1),"-")</f>
        <v>94013012</v>
      </c>
      <c r="Q20" s="85" t="s">
        <v>372</v>
      </c>
    </row>
    <row r="21" spans="1:18" ht="14.25" thickBot="1" x14ac:dyDescent="0.25">
      <c r="A21" s="79">
        <v>712</v>
      </c>
      <c r="B21" s="88" t="s">
        <v>283</v>
      </c>
      <c r="C21" s="87" t="s">
        <v>283</v>
      </c>
      <c r="D21" s="81" t="s">
        <v>18</v>
      </c>
      <c r="E21" s="81">
        <v>1</v>
      </c>
      <c r="F21" s="81">
        <v>29</v>
      </c>
      <c r="G21" s="82" t="s">
        <v>250</v>
      </c>
      <c r="H21" s="11">
        <f>IFERROR(VLOOKUP(G$8&amp;G21,[1]_enum!$A:$D,4,FALSE),"-")</f>
        <v>3</v>
      </c>
      <c r="I21" s="81">
        <v>1</v>
      </c>
      <c r="J21" s="81">
        <v>1111111</v>
      </c>
      <c r="K21" s="83" t="s">
        <v>251</v>
      </c>
      <c r="L21" s="84">
        <f>IFERROR(INDEX([1]Point!$A:$A,MATCH(K21,[1]Point!$B:$B,0),1),"-")</f>
        <v>100011</v>
      </c>
      <c r="M21" s="81">
        <v>1300</v>
      </c>
      <c r="N21" s="95" t="s">
        <v>18</v>
      </c>
      <c r="O21" s="89" t="s">
        <v>328</v>
      </c>
      <c r="P21" s="90">
        <f>IFERROR(INDEX([1]RewardFixed!$A:$A,MATCH(O21,[1]RewardFixed!$B:$B,0),1),"-")</f>
        <v>94013013</v>
      </c>
      <c r="Q21" s="85" t="s">
        <v>373</v>
      </c>
      <c r="R21" s="91"/>
    </row>
    <row r="22" spans="1:18" ht="14.25" thickBot="1" x14ac:dyDescent="0.25">
      <c r="A22" s="79">
        <v>713</v>
      </c>
      <c r="B22" s="88" t="s">
        <v>284</v>
      </c>
      <c r="C22" s="87" t="s">
        <v>284</v>
      </c>
      <c r="D22" s="81" t="s">
        <v>18</v>
      </c>
      <c r="E22" s="81">
        <v>1</v>
      </c>
      <c r="F22" s="81">
        <v>30</v>
      </c>
      <c r="G22" s="82" t="s">
        <v>250</v>
      </c>
      <c r="H22" s="11">
        <f>IFERROR(VLOOKUP(G$8&amp;G22,[1]_enum!$A:$D,4,FALSE),"-")</f>
        <v>3</v>
      </c>
      <c r="I22" s="81">
        <v>1</v>
      </c>
      <c r="J22" s="81">
        <v>1111111</v>
      </c>
      <c r="K22" s="83" t="s">
        <v>251</v>
      </c>
      <c r="L22" s="84">
        <f>IFERROR(INDEX([1]Point!$A:$A,MATCH(K22,[1]Point!$B:$B,0),1),"-")</f>
        <v>100011</v>
      </c>
      <c r="M22" s="81">
        <v>1300</v>
      </c>
      <c r="N22" s="95" t="s">
        <v>18</v>
      </c>
      <c r="O22" s="89" t="s">
        <v>329</v>
      </c>
      <c r="P22" s="90">
        <f>IFERROR(INDEX([1]RewardFixed!$A:$A,MATCH(O22,[1]RewardFixed!$B:$B,0),1),"-")</f>
        <v>94013014</v>
      </c>
      <c r="Q22" s="85" t="s">
        <v>374</v>
      </c>
      <c r="R22" s="91"/>
    </row>
    <row r="23" spans="1:18" ht="14.25" thickBot="1" x14ac:dyDescent="0.25">
      <c r="A23" s="79">
        <v>714</v>
      </c>
      <c r="B23" s="88" t="s">
        <v>285</v>
      </c>
      <c r="C23" s="87" t="s">
        <v>285</v>
      </c>
      <c r="D23" s="81" t="s">
        <v>18</v>
      </c>
      <c r="E23" s="81">
        <v>1</v>
      </c>
      <c r="F23" s="81">
        <v>31</v>
      </c>
      <c r="G23" s="82" t="s">
        <v>250</v>
      </c>
      <c r="H23" s="11">
        <f>IFERROR(VLOOKUP(G$8&amp;G23,[1]_enum!$A:$D,4,FALSE),"-")</f>
        <v>3</v>
      </c>
      <c r="I23" s="81">
        <v>1</v>
      </c>
      <c r="J23" s="81">
        <v>1111111</v>
      </c>
      <c r="K23" s="83" t="s">
        <v>251</v>
      </c>
      <c r="L23" s="84">
        <f>IFERROR(INDEX([1]Point!$A:$A,MATCH(K23,[1]Point!$B:$B,0),1),"-")</f>
        <v>100011</v>
      </c>
      <c r="M23" s="81">
        <v>1300</v>
      </c>
      <c r="N23" s="95" t="s">
        <v>18</v>
      </c>
      <c r="O23" s="89" t="s">
        <v>330</v>
      </c>
      <c r="P23" s="90">
        <f>IFERROR(INDEX([1]RewardFixed!$A:$A,MATCH(O23,[1]RewardFixed!$B:$B,0),1),"-")</f>
        <v>94013015</v>
      </c>
      <c r="Q23" s="85" t="s">
        <v>375</v>
      </c>
      <c r="R23" s="91"/>
    </row>
    <row r="24" spans="1:18" ht="14.25" thickBot="1" x14ac:dyDescent="0.25">
      <c r="A24" s="79">
        <v>715</v>
      </c>
      <c r="B24" s="88" t="s">
        <v>286</v>
      </c>
      <c r="C24" s="87" t="s">
        <v>286</v>
      </c>
      <c r="D24" s="81" t="s">
        <v>18</v>
      </c>
      <c r="E24" s="81">
        <v>1</v>
      </c>
      <c r="F24" s="81">
        <v>32</v>
      </c>
      <c r="G24" s="82" t="s">
        <v>250</v>
      </c>
      <c r="H24" s="11">
        <f>IFERROR(VLOOKUP(G$8&amp;G24,[1]_enum!$A:$D,4,FALSE),"-")</f>
        <v>3</v>
      </c>
      <c r="I24" s="81">
        <v>1</v>
      </c>
      <c r="J24" s="81">
        <v>1111111</v>
      </c>
      <c r="K24" s="83" t="s">
        <v>251</v>
      </c>
      <c r="L24" s="84">
        <f>IFERROR(INDEX([1]Point!$A:$A,MATCH(K24,[1]Point!$B:$B,0),1),"-")</f>
        <v>100011</v>
      </c>
      <c r="M24" s="81">
        <v>1700</v>
      </c>
      <c r="N24" s="95" t="s">
        <v>18</v>
      </c>
      <c r="O24" s="89" t="s">
        <v>331</v>
      </c>
      <c r="P24" s="90">
        <f>IFERROR(INDEX([1]RewardFixed!$A:$A,MATCH(O24,[1]RewardFixed!$B:$B,0),1),"-")</f>
        <v>94013016</v>
      </c>
      <c r="Q24" s="85" t="s">
        <v>376</v>
      </c>
      <c r="R24" s="91"/>
    </row>
    <row r="25" spans="1:18" ht="14.25" thickBot="1" x14ac:dyDescent="0.25">
      <c r="A25" s="79">
        <v>716</v>
      </c>
      <c r="B25" s="80" t="s">
        <v>287</v>
      </c>
      <c r="C25" s="81" t="s">
        <v>287</v>
      </c>
      <c r="D25" s="81" t="s">
        <v>18</v>
      </c>
      <c r="E25" s="81">
        <v>1</v>
      </c>
      <c r="F25" s="81">
        <v>33</v>
      </c>
      <c r="G25" s="82" t="s">
        <v>250</v>
      </c>
      <c r="H25" s="11">
        <f>IFERROR(VLOOKUP(G$8&amp;G25,[1]_enum!$A:$D,4,FALSE),"-")</f>
        <v>3</v>
      </c>
      <c r="I25" s="81">
        <v>1</v>
      </c>
      <c r="J25" s="81">
        <v>1111111</v>
      </c>
      <c r="K25" s="83" t="s">
        <v>251</v>
      </c>
      <c r="L25" s="84">
        <f>IFERROR(INDEX([1]Point!$A:$A,MATCH(K25,[1]Point!$B:$B,0),1),"-")</f>
        <v>100011</v>
      </c>
      <c r="M25" s="81">
        <v>1700</v>
      </c>
      <c r="N25" s="95" t="s">
        <v>18</v>
      </c>
      <c r="O25" s="83" t="s">
        <v>332</v>
      </c>
      <c r="P25" s="84">
        <f>IFERROR(INDEX([1]RewardFixed!$A:$A,MATCH(O25,[1]RewardFixed!$B:$B,0),1),"-")</f>
        <v>94013017</v>
      </c>
      <c r="Q25" s="85" t="s">
        <v>377</v>
      </c>
    </row>
    <row r="26" spans="1:18" ht="14.25" thickBot="1" x14ac:dyDescent="0.25">
      <c r="A26" s="79">
        <v>717</v>
      </c>
      <c r="B26" s="80" t="s">
        <v>288</v>
      </c>
      <c r="C26" s="81" t="s">
        <v>288</v>
      </c>
      <c r="D26" s="81" t="s">
        <v>18</v>
      </c>
      <c r="E26" s="81">
        <v>1</v>
      </c>
      <c r="F26" s="81">
        <v>34</v>
      </c>
      <c r="G26" s="82" t="s">
        <v>250</v>
      </c>
      <c r="H26" s="11">
        <f>IFERROR(VLOOKUP(G$8&amp;G26,[1]_enum!$A:$D,4,FALSE),"-")</f>
        <v>3</v>
      </c>
      <c r="I26" s="81">
        <v>1</v>
      </c>
      <c r="J26" s="81">
        <v>1111111</v>
      </c>
      <c r="K26" s="83" t="s">
        <v>251</v>
      </c>
      <c r="L26" s="84">
        <f>IFERROR(INDEX([1]Point!$A:$A,MATCH(K26,[1]Point!$B:$B,0),1),"-")</f>
        <v>100011</v>
      </c>
      <c r="M26" s="81">
        <v>1700</v>
      </c>
      <c r="N26" s="95" t="s">
        <v>18</v>
      </c>
      <c r="O26" s="83" t="s">
        <v>333</v>
      </c>
      <c r="P26" s="84">
        <f>IFERROR(INDEX([1]RewardFixed!$A:$A,MATCH(O26,[1]RewardFixed!$B:$B,0),1),"-")</f>
        <v>94013018</v>
      </c>
      <c r="Q26" s="85" t="s">
        <v>378</v>
      </c>
    </row>
    <row r="27" spans="1:18" ht="14.25" thickBot="1" x14ac:dyDescent="0.25">
      <c r="A27" s="79">
        <v>718</v>
      </c>
      <c r="B27" s="80" t="s">
        <v>289</v>
      </c>
      <c r="C27" s="81" t="s">
        <v>289</v>
      </c>
      <c r="D27" s="81" t="s">
        <v>18</v>
      </c>
      <c r="E27" s="81">
        <v>1</v>
      </c>
      <c r="F27" s="81">
        <v>35</v>
      </c>
      <c r="G27" s="82" t="s">
        <v>250</v>
      </c>
      <c r="H27" s="11">
        <f>IFERROR(VLOOKUP(G$8&amp;G27,[1]_enum!$A:$D,4,FALSE),"-")</f>
        <v>3</v>
      </c>
      <c r="I27" s="81">
        <v>1</v>
      </c>
      <c r="J27" s="81">
        <v>1111111</v>
      </c>
      <c r="K27" s="83" t="s">
        <v>251</v>
      </c>
      <c r="L27" s="84">
        <f>IFERROR(INDEX([1]Point!$A:$A,MATCH(K27,[1]Point!$B:$B,0),1),"-")</f>
        <v>100011</v>
      </c>
      <c r="M27" s="81">
        <v>1700</v>
      </c>
      <c r="N27" s="95" t="s">
        <v>18</v>
      </c>
      <c r="O27" s="83" t="s">
        <v>334</v>
      </c>
      <c r="P27" s="84">
        <f>IFERROR(INDEX([1]RewardFixed!$A:$A,MATCH(O27,[1]RewardFixed!$B:$B,0),1),"-")</f>
        <v>94013019</v>
      </c>
      <c r="Q27" s="85" t="s">
        <v>379</v>
      </c>
    </row>
    <row r="28" spans="1:18" ht="14.25" thickBot="1" x14ac:dyDescent="0.25">
      <c r="A28" s="79">
        <v>719</v>
      </c>
      <c r="B28" s="80" t="s">
        <v>290</v>
      </c>
      <c r="C28" s="81" t="s">
        <v>290</v>
      </c>
      <c r="D28" s="81" t="s">
        <v>18</v>
      </c>
      <c r="E28" s="81">
        <v>1</v>
      </c>
      <c r="F28" s="81">
        <v>36</v>
      </c>
      <c r="G28" s="82" t="s">
        <v>250</v>
      </c>
      <c r="H28" s="11">
        <f>IFERROR(VLOOKUP(G$8&amp;G28,[1]_enum!$A:$D,4,FALSE),"-")</f>
        <v>3</v>
      </c>
      <c r="I28" s="81">
        <v>1</v>
      </c>
      <c r="J28" s="81">
        <v>1111111</v>
      </c>
      <c r="K28" s="83" t="s">
        <v>251</v>
      </c>
      <c r="L28" s="84">
        <f>IFERROR(INDEX([1]Point!$A:$A,MATCH(K28,[1]Point!$B:$B,0),1),"-")</f>
        <v>100011</v>
      </c>
      <c r="M28" s="81">
        <v>1700</v>
      </c>
      <c r="N28" s="95" t="s">
        <v>18</v>
      </c>
      <c r="O28" s="83" t="s">
        <v>335</v>
      </c>
      <c r="P28" s="84">
        <f>IFERROR(INDEX([1]RewardFixed!$A:$A,MATCH(O28,[1]RewardFixed!$B:$B,0),1),"-")</f>
        <v>94013020</v>
      </c>
      <c r="Q28" s="85" t="s">
        <v>380</v>
      </c>
    </row>
    <row r="29" spans="1:18" ht="14.25" thickBot="1" x14ac:dyDescent="0.25">
      <c r="A29" s="79">
        <v>720</v>
      </c>
      <c r="B29" s="88" t="s">
        <v>291</v>
      </c>
      <c r="C29" s="87" t="s">
        <v>291</v>
      </c>
      <c r="D29" s="81" t="s">
        <v>18</v>
      </c>
      <c r="E29" s="81">
        <v>1</v>
      </c>
      <c r="F29" s="81">
        <v>37</v>
      </c>
      <c r="G29" s="82" t="s">
        <v>250</v>
      </c>
      <c r="H29" s="11">
        <f>IFERROR(VLOOKUP(G$8&amp;G29,[1]_enum!$A:$D,4,FALSE),"-")</f>
        <v>3</v>
      </c>
      <c r="I29" s="81">
        <v>1</v>
      </c>
      <c r="J29" s="81">
        <v>1111111</v>
      </c>
      <c r="K29" s="83" t="s">
        <v>251</v>
      </c>
      <c r="L29" s="84">
        <f>IFERROR(INDEX([1]Point!$A:$A,MATCH(K29,[1]Point!$B:$B,0),1),"-")</f>
        <v>100011</v>
      </c>
      <c r="M29" s="81">
        <v>2600</v>
      </c>
      <c r="N29" s="95">
        <v>2</v>
      </c>
      <c r="O29" s="89" t="s">
        <v>336</v>
      </c>
      <c r="P29" s="90">
        <f>IFERROR(INDEX([1]RewardFixed!$A:$A,MATCH(O29,[1]RewardFixed!$B:$B,0),1),"-")</f>
        <v>94013021</v>
      </c>
      <c r="Q29" s="85" t="s">
        <v>381</v>
      </c>
      <c r="R29" s="91"/>
    </row>
    <row r="30" spans="1:18" ht="14.25" thickBot="1" x14ac:dyDescent="0.25">
      <c r="A30" s="79">
        <v>721</v>
      </c>
      <c r="B30" s="88" t="s">
        <v>292</v>
      </c>
      <c r="C30" s="87" t="s">
        <v>292</v>
      </c>
      <c r="D30" s="81" t="s">
        <v>18</v>
      </c>
      <c r="E30" s="81">
        <v>1</v>
      </c>
      <c r="F30" s="81">
        <v>38</v>
      </c>
      <c r="G30" s="82" t="s">
        <v>250</v>
      </c>
      <c r="H30" s="11">
        <f>IFERROR(VLOOKUP(G$8&amp;G30,[1]_enum!$A:$D,4,FALSE),"-")</f>
        <v>3</v>
      </c>
      <c r="I30" s="81">
        <v>1</v>
      </c>
      <c r="J30" s="81">
        <v>1111111</v>
      </c>
      <c r="K30" s="83" t="s">
        <v>251</v>
      </c>
      <c r="L30" s="84">
        <f>IFERROR(INDEX([1]Point!$A:$A,MATCH(K30,[1]Point!$B:$B,0),1),"-")</f>
        <v>100011</v>
      </c>
      <c r="M30" s="81">
        <v>2600</v>
      </c>
      <c r="N30" s="95">
        <v>2</v>
      </c>
      <c r="O30" s="89" t="s">
        <v>337</v>
      </c>
      <c r="P30" s="90">
        <f>IFERROR(INDEX([1]RewardFixed!$A:$A,MATCH(O30,[1]RewardFixed!$B:$B,0),1),"-")</f>
        <v>94013022</v>
      </c>
      <c r="Q30" s="85" t="s">
        <v>382</v>
      </c>
      <c r="R30" s="91"/>
    </row>
    <row r="31" spans="1:18" ht="14.25" thickBot="1" x14ac:dyDescent="0.25">
      <c r="A31" s="79">
        <v>722</v>
      </c>
      <c r="B31" s="88" t="s">
        <v>293</v>
      </c>
      <c r="C31" s="87" t="s">
        <v>293</v>
      </c>
      <c r="D31" s="81" t="s">
        <v>18</v>
      </c>
      <c r="E31" s="81">
        <v>1</v>
      </c>
      <c r="F31" s="81">
        <v>39</v>
      </c>
      <c r="G31" s="82" t="s">
        <v>250</v>
      </c>
      <c r="H31" s="11">
        <f>IFERROR(VLOOKUP(G$8&amp;G31,[1]_enum!$A:$D,4,FALSE),"-")</f>
        <v>3</v>
      </c>
      <c r="I31" s="81">
        <v>1</v>
      </c>
      <c r="J31" s="81">
        <v>1111111</v>
      </c>
      <c r="K31" s="83" t="s">
        <v>251</v>
      </c>
      <c r="L31" s="84">
        <f>IFERROR(INDEX([1]Point!$A:$A,MATCH(K31,[1]Point!$B:$B,0),1),"-")</f>
        <v>100011</v>
      </c>
      <c r="M31" s="81">
        <v>2600</v>
      </c>
      <c r="N31" s="95">
        <v>2</v>
      </c>
      <c r="O31" s="89" t="s">
        <v>338</v>
      </c>
      <c r="P31" s="90">
        <f>IFERROR(INDEX([1]RewardFixed!$A:$A,MATCH(O31,[1]RewardFixed!$B:$B,0),1),"-")</f>
        <v>94013023</v>
      </c>
      <c r="Q31" s="85" t="s">
        <v>383</v>
      </c>
      <c r="R31" s="91"/>
    </row>
    <row r="32" spans="1:18" ht="14.25" thickBot="1" x14ac:dyDescent="0.25">
      <c r="A32" s="79">
        <v>723</v>
      </c>
      <c r="B32" s="88" t="s">
        <v>294</v>
      </c>
      <c r="C32" s="87" t="s">
        <v>294</v>
      </c>
      <c r="D32" s="81" t="s">
        <v>18</v>
      </c>
      <c r="E32" s="81">
        <v>1</v>
      </c>
      <c r="F32" s="81">
        <v>40</v>
      </c>
      <c r="G32" s="82" t="s">
        <v>250</v>
      </c>
      <c r="H32" s="11">
        <f>IFERROR(VLOOKUP(G$8&amp;G32,[1]_enum!$A:$D,4,FALSE),"-")</f>
        <v>3</v>
      </c>
      <c r="I32" s="81">
        <v>1</v>
      </c>
      <c r="J32" s="81">
        <v>1111111</v>
      </c>
      <c r="K32" s="83" t="s">
        <v>251</v>
      </c>
      <c r="L32" s="84">
        <f>IFERROR(INDEX([1]Point!$A:$A,MATCH(K32,[1]Point!$B:$B,0),1),"-")</f>
        <v>100011</v>
      </c>
      <c r="M32" s="81">
        <v>2600</v>
      </c>
      <c r="N32" s="95">
        <v>2</v>
      </c>
      <c r="O32" s="89" t="s">
        <v>339</v>
      </c>
      <c r="P32" s="90">
        <f>IFERROR(INDEX([1]RewardFixed!$A:$A,MATCH(O32,[1]RewardFixed!$B:$B,0),1),"-")</f>
        <v>94013024</v>
      </c>
      <c r="Q32" s="85" t="s">
        <v>384</v>
      </c>
      <c r="R32" s="91"/>
    </row>
    <row r="33" spans="1:18" ht="14.25" thickBot="1" x14ac:dyDescent="0.25">
      <c r="A33" s="79">
        <v>724</v>
      </c>
      <c r="B33" s="80" t="s">
        <v>295</v>
      </c>
      <c r="C33" s="81" t="s">
        <v>295</v>
      </c>
      <c r="D33" s="81" t="s">
        <v>18</v>
      </c>
      <c r="E33" s="81">
        <v>1</v>
      </c>
      <c r="F33" s="81">
        <v>41</v>
      </c>
      <c r="G33" s="82" t="s">
        <v>250</v>
      </c>
      <c r="H33" s="11">
        <f>IFERROR(VLOOKUP(G$8&amp;G33,[1]_enum!$A:$D,4,FALSE),"-")</f>
        <v>3</v>
      </c>
      <c r="I33" s="81">
        <v>1</v>
      </c>
      <c r="J33" s="81">
        <v>1111111</v>
      </c>
      <c r="K33" s="83" t="s">
        <v>251</v>
      </c>
      <c r="L33" s="84">
        <f>IFERROR(INDEX([1]Point!$A:$A,MATCH(K33,[1]Point!$B:$B,0),1),"-")</f>
        <v>100011</v>
      </c>
      <c r="M33" s="81">
        <v>2600</v>
      </c>
      <c r="N33" s="95">
        <v>2</v>
      </c>
      <c r="O33" s="83" t="s">
        <v>340</v>
      </c>
      <c r="P33" s="84">
        <f>IFERROR(INDEX([1]RewardFixed!$A:$A,MATCH(O33,[1]RewardFixed!$B:$B,0),1),"-")</f>
        <v>94013025</v>
      </c>
      <c r="Q33" s="85" t="s">
        <v>385</v>
      </c>
    </row>
    <row r="34" spans="1:18" ht="14.25" thickBot="1" x14ac:dyDescent="0.25">
      <c r="A34" s="79">
        <v>725</v>
      </c>
      <c r="B34" s="80" t="s">
        <v>296</v>
      </c>
      <c r="C34" s="81" t="s">
        <v>296</v>
      </c>
      <c r="D34" s="81" t="s">
        <v>18</v>
      </c>
      <c r="E34" s="81">
        <v>1</v>
      </c>
      <c r="F34" s="81">
        <v>42</v>
      </c>
      <c r="G34" s="82" t="s">
        <v>250</v>
      </c>
      <c r="H34" s="11">
        <f>IFERROR(VLOOKUP(G$8&amp;G34,[1]_enum!$A:$D,4,FALSE),"-")</f>
        <v>3</v>
      </c>
      <c r="I34" s="81">
        <v>1</v>
      </c>
      <c r="J34" s="81">
        <v>1111111</v>
      </c>
      <c r="K34" s="83" t="s">
        <v>251</v>
      </c>
      <c r="L34" s="84">
        <f>IFERROR(INDEX([1]Point!$A:$A,MATCH(K34,[1]Point!$B:$B,0),1),"-")</f>
        <v>100011</v>
      </c>
      <c r="M34" s="81">
        <v>3600</v>
      </c>
      <c r="N34" s="95">
        <v>3</v>
      </c>
      <c r="O34" s="83" t="s">
        <v>341</v>
      </c>
      <c r="P34" s="84">
        <f>IFERROR(INDEX([1]RewardFixed!$A:$A,MATCH(O34,[1]RewardFixed!$B:$B,0),1),"-")</f>
        <v>94013026</v>
      </c>
      <c r="Q34" s="85" t="s">
        <v>386</v>
      </c>
    </row>
    <row r="35" spans="1:18" ht="14.25" thickBot="1" x14ac:dyDescent="0.25">
      <c r="A35" s="79">
        <v>726</v>
      </c>
      <c r="B35" s="80" t="s">
        <v>297</v>
      </c>
      <c r="C35" s="81" t="s">
        <v>297</v>
      </c>
      <c r="D35" s="81" t="s">
        <v>18</v>
      </c>
      <c r="E35" s="81">
        <v>1</v>
      </c>
      <c r="F35" s="81">
        <v>43</v>
      </c>
      <c r="G35" s="82" t="s">
        <v>250</v>
      </c>
      <c r="H35" s="11">
        <f>IFERROR(VLOOKUP(G$8&amp;G35,[1]_enum!$A:$D,4,FALSE),"-")</f>
        <v>3</v>
      </c>
      <c r="I35" s="81">
        <v>1</v>
      </c>
      <c r="J35" s="81">
        <v>1111111</v>
      </c>
      <c r="K35" s="83" t="s">
        <v>251</v>
      </c>
      <c r="L35" s="84">
        <f>IFERROR(INDEX([1]Point!$A:$A,MATCH(K35,[1]Point!$B:$B,0),1),"-")</f>
        <v>100011</v>
      </c>
      <c r="M35" s="81">
        <v>3600</v>
      </c>
      <c r="N35" s="95">
        <v>3</v>
      </c>
      <c r="O35" s="83" t="s">
        <v>342</v>
      </c>
      <c r="P35" s="84">
        <f>IFERROR(INDEX([1]RewardFixed!$A:$A,MATCH(O35,[1]RewardFixed!$B:$B,0),1),"-")</f>
        <v>94013027</v>
      </c>
      <c r="Q35" s="85" t="s">
        <v>387</v>
      </c>
    </row>
    <row r="36" spans="1:18" ht="14.25" thickBot="1" x14ac:dyDescent="0.25">
      <c r="A36" s="79">
        <v>727</v>
      </c>
      <c r="B36" s="80" t="s">
        <v>298</v>
      </c>
      <c r="C36" s="81" t="s">
        <v>298</v>
      </c>
      <c r="D36" s="81" t="s">
        <v>18</v>
      </c>
      <c r="E36" s="81">
        <v>1</v>
      </c>
      <c r="F36" s="81">
        <v>44</v>
      </c>
      <c r="G36" s="82" t="s">
        <v>250</v>
      </c>
      <c r="H36" s="11">
        <f>IFERROR(VLOOKUP(G$8&amp;G36,[1]_enum!$A:$D,4,FALSE),"-")</f>
        <v>3</v>
      </c>
      <c r="I36" s="81">
        <v>1</v>
      </c>
      <c r="J36" s="81">
        <v>1111111</v>
      </c>
      <c r="K36" s="83" t="s">
        <v>251</v>
      </c>
      <c r="L36" s="84">
        <f>IFERROR(INDEX([1]Point!$A:$A,MATCH(K36,[1]Point!$B:$B,0),1),"-")</f>
        <v>100011</v>
      </c>
      <c r="M36" s="81">
        <v>3600</v>
      </c>
      <c r="N36" s="95">
        <v>3</v>
      </c>
      <c r="O36" s="83" t="s">
        <v>343</v>
      </c>
      <c r="P36" s="84">
        <f>IFERROR(INDEX([1]RewardFixed!$A:$A,MATCH(O36,[1]RewardFixed!$B:$B,0),1),"-")</f>
        <v>94013028</v>
      </c>
      <c r="Q36" s="85" t="s">
        <v>388</v>
      </c>
    </row>
    <row r="37" spans="1:18" ht="14.25" thickBot="1" x14ac:dyDescent="0.25">
      <c r="A37" s="79">
        <v>728</v>
      </c>
      <c r="B37" s="88" t="s">
        <v>299</v>
      </c>
      <c r="C37" s="87" t="s">
        <v>299</v>
      </c>
      <c r="D37" s="81" t="s">
        <v>18</v>
      </c>
      <c r="E37" s="81">
        <v>1</v>
      </c>
      <c r="F37" s="81">
        <v>45</v>
      </c>
      <c r="G37" s="82" t="s">
        <v>250</v>
      </c>
      <c r="H37" s="11">
        <f>IFERROR(VLOOKUP(G$8&amp;G37,[1]_enum!$A:$D,4,FALSE),"-")</f>
        <v>3</v>
      </c>
      <c r="I37" s="81">
        <v>1</v>
      </c>
      <c r="J37" s="81">
        <v>1111111</v>
      </c>
      <c r="K37" s="83" t="s">
        <v>251</v>
      </c>
      <c r="L37" s="84">
        <f>IFERROR(INDEX([1]Point!$A:$A,MATCH(K37,[1]Point!$B:$B,0),1),"-")</f>
        <v>100011</v>
      </c>
      <c r="M37" s="81">
        <v>3600</v>
      </c>
      <c r="N37" s="95">
        <v>3</v>
      </c>
      <c r="O37" s="89" t="s">
        <v>344</v>
      </c>
      <c r="P37" s="90">
        <f>IFERROR(INDEX([1]RewardFixed!$A:$A,MATCH(O37,[1]RewardFixed!$B:$B,0),1),"-")</f>
        <v>94013029</v>
      </c>
      <c r="Q37" s="85" t="s">
        <v>389</v>
      </c>
      <c r="R37" s="91"/>
    </row>
    <row r="38" spans="1:18" ht="14.25" thickBot="1" x14ac:dyDescent="0.25">
      <c r="A38" s="79">
        <v>729</v>
      </c>
      <c r="B38" s="88" t="s">
        <v>300</v>
      </c>
      <c r="C38" s="87" t="s">
        <v>300</v>
      </c>
      <c r="D38" s="81" t="s">
        <v>18</v>
      </c>
      <c r="E38" s="81">
        <v>1</v>
      </c>
      <c r="F38" s="81">
        <v>46</v>
      </c>
      <c r="G38" s="82" t="s">
        <v>250</v>
      </c>
      <c r="H38" s="11">
        <f>IFERROR(VLOOKUP(G$8&amp;G38,[1]_enum!$A:$D,4,FALSE),"-")</f>
        <v>3</v>
      </c>
      <c r="I38" s="81">
        <v>1</v>
      </c>
      <c r="J38" s="81">
        <v>1111111</v>
      </c>
      <c r="K38" s="83" t="s">
        <v>251</v>
      </c>
      <c r="L38" s="84">
        <f>IFERROR(INDEX([1]Point!$A:$A,MATCH(K38,[1]Point!$B:$B,0),1),"-")</f>
        <v>100011</v>
      </c>
      <c r="M38" s="81">
        <v>3600</v>
      </c>
      <c r="N38" s="95">
        <v>3</v>
      </c>
      <c r="O38" s="89" t="s">
        <v>345</v>
      </c>
      <c r="P38" s="90">
        <f>IFERROR(INDEX([1]RewardFixed!$A:$A,MATCH(O38,[1]RewardFixed!$B:$B,0),1),"-")</f>
        <v>94013030</v>
      </c>
      <c r="Q38" s="85" t="s">
        <v>390</v>
      </c>
      <c r="R38" s="91"/>
    </row>
    <row r="39" spans="1:18" ht="14.25" thickBot="1" x14ac:dyDescent="0.25">
      <c r="A39" s="79">
        <v>730</v>
      </c>
      <c r="B39" s="88" t="s">
        <v>301</v>
      </c>
      <c r="C39" s="87" t="s">
        <v>301</v>
      </c>
      <c r="D39" s="81" t="s">
        <v>18</v>
      </c>
      <c r="E39" s="81">
        <v>1</v>
      </c>
      <c r="F39" s="81">
        <v>47</v>
      </c>
      <c r="G39" s="82" t="s">
        <v>250</v>
      </c>
      <c r="H39" s="11">
        <f>IFERROR(VLOOKUP(G$8&amp;G39,[1]_enum!$A:$D,4,FALSE),"-")</f>
        <v>3</v>
      </c>
      <c r="I39" s="81">
        <v>1</v>
      </c>
      <c r="J39" s="81">
        <v>1111111</v>
      </c>
      <c r="K39" s="83" t="s">
        <v>251</v>
      </c>
      <c r="L39" s="84">
        <f>IFERROR(INDEX([1]Point!$A:$A,MATCH(K39,[1]Point!$B:$B,0),1),"-")</f>
        <v>100011</v>
      </c>
      <c r="M39" s="81">
        <v>1000</v>
      </c>
      <c r="N39" s="95" t="s">
        <v>18</v>
      </c>
      <c r="O39" s="89" t="s">
        <v>346</v>
      </c>
      <c r="P39" s="90">
        <f>IFERROR(INDEX([1]RewardFixed!$A:$A,MATCH(O39,[1]RewardFixed!$B:$B,0),1),"-")</f>
        <v>94013031</v>
      </c>
      <c r="Q39" s="85" t="s">
        <v>391</v>
      </c>
      <c r="R39" s="91"/>
    </row>
    <row r="40" spans="1:18" ht="14.25" thickBot="1" x14ac:dyDescent="0.25">
      <c r="A40" s="79">
        <v>731</v>
      </c>
      <c r="B40" s="88" t="s">
        <v>302</v>
      </c>
      <c r="C40" s="87" t="s">
        <v>302</v>
      </c>
      <c r="D40" s="81" t="s">
        <v>18</v>
      </c>
      <c r="E40" s="81">
        <v>1</v>
      </c>
      <c r="F40" s="81">
        <v>48</v>
      </c>
      <c r="G40" s="82" t="s">
        <v>250</v>
      </c>
      <c r="H40" s="11">
        <f>IFERROR(VLOOKUP(G$8&amp;G40,[1]_enum!$A:$D,4,FALSE),"-")</f>
        <v>3</v>
      </c>
      <c r="I40" s="81">
        <v>1</v>
      </c>
      <c r="J40" s="81">
        <v>1111111</v>
      </c>
      <c r="K40" s="83" t="s">
        <v>251</v>
      </c>
      <c r="L40" s="84">
        <f>IFERROR(INDEX([1]Point!$A:$A,MATCH(K40,[1]Point!$B:$B,0),1),"-")</f>
        <v>100011</v>
      </c>
      <c r="M40" s="81">
        <v>1000</v>
      </c>
      <c r="N40" s="95" t="s">
        <v>18</v>
      </c>
      <c r="O40" s="89" t="s">
        <v>347</v>
      </c>
      <c r="P40" s="90">
        <f>IFERROR(INDEX([1]RewardFixed!$A:$A,MATCH(O40,[1]RewardFixed!$B:$B,0),1),"-")</f>
        <v>94013032</v>
      </c>
      <c r="Q40" s="85" t="s">
        <v>392</v>
      </c>
      <c r="R40" s="91"/>
    </row>
    <row r="41" spans="1:18" ht="14.25" thickBot="1" x14ac:dyDescent="0.25">
      <c r="A41" s="79">
        <v>732</v>
      </c>
      <c r="B41" s="80" t="s">
        <v>303</v>
      </c>
      <c r="C41" s="81" t="s">
        <v>303</v>
      </c>
      <c r="D41" s="81" t="s">
        <v>18</v>
      </c>
      <c r="E41" s="81">
        <v>1</v>
      </c>
      <c r="F41" s="81">
        <v>49</v>
      </c>
      <c r="G41" s="82" t="s">
        <v>250</v>
      </c>
      <c r="H41" s="11">
        <f>IFERROR(VLOOKUP(G$8&amp;G41,[1]_enum!$A:$D,4,FALSE),"-")</f>
        <v>3</v>
      </c>
      <c r="I41" s="81">
        <v>1</v>
      </c>
      <c r="J41" s="81">
        <v>1111111</v>
      </c>
      <c r="K41" s="83" t="s">
        <v>251</v>
      </c>
      <c r="L41" s="84">
        <f>IFERROR(INDEX([1]Point!$A:$A,MATCH(K41,[1]Point!$B:$B,0),1),"-")</f>
        <v>100011</v>
      </c>
      <c r="M41" s="81">
        <v>1000</v>
      </c>
      <c r="N41" s="95" t="s">
        <v>18</v>
      </c>
      <c r="O41" s="83" t="s">
        <v>348</v>
      </c>
      <c r="P41" s="84">
        <f>IFERROR(INDEX([1]RewardFixed!$A:$A,MATCH(O41,[1]RewardFixed!$B:$B,0),1),"-")</f>
        <v>94013033</v>
      </c>
      <c r="Q41" s="85" t="s">
        <v>393</v>
      </c>
    </row>
    <row r="42" spans="1:18" ht="14.25" thickBot="1" x14ac:dyDescent="0.25">
      <c r="A42" s="79">
        <v>733</v>
      </c>
      <c r="B42" s="88" t="s">
        <v>304</v>
      </c>
      <c r="C42" s="87" t="s">
        <v>304</v>
      </c>
      <c r="D42" s="81" t="s">
        <v>18</v>
      </c>
      <c r="E42" s="81">
        <v>1</v>
      </c>
      <c r="F42" s="81">
        <v>50</v>
      </c>
      <c r="G42" s="82" t="s">
        <v>250</v>
      </c>
      <c r="H42" s="11">
        <f>IFERROR(VLOOKUP(G$8&amp;G42,[1]_enum!$A:$D,4,FALSE),"-")</f>
        <v>3</v>
      </c>
      <c r="I42" s="81">
        <v>1</v>
      </c>
      <c r="J42" s="81">
        <v>1111111</v>
      </c>
      <c r="K42" s="83" t="s">
        <v>251</v>
      </c>
      <c r="L42" s="84">
        <f>IFERROR(INDEX([1]Point!$A:$A,MATCH(K42,[1]Point!$B:$B,0),1),"-")</f>
        <v>100011</v>
      </c>
      <c r="M42" s="81">
        <v>1000</v>
      </c>
      <c r="N42" s="95" t="s">
        <v>18</v>
      </c>
      <c r="O42" s="89" t="s">
        <v>349</v>
      </c>
      <c r="P42" s="90">
        <f>IFERROR(INDEX([1]RewardFixed!$A:$A,MATCH(O42,[1]RewardFixed!$B:$B,0),1),"-")</f>
        <v>94013034</v>
      </c>
      <c r="Q42" s="85" t="s">
        <v>394</v>
      </c>
      <c r="R42" s="91"/>
    </row>
    <row r="43" spans="1:18" ht="14.25" thickBot="1" x14ac:dyDescent="0.25">
      <c r="A43" s="79">
        <v>734</v>
      </c>
      <c r="B43" s="88" t="s">
        <v>305</v>
      </c>
      <c r="C43" s="87" t="s">
        <v>305</v>
      </c>
      <c r="D43" s="81" t="s">
        <v>18</v>
      </c>
      <c r="E43" s="81">
        <v>1</v>
      </c>
      <c r="F43" s="81">
        <v>51</v>
      </c>
      <c r="G43" s="82" t="s">
        <v>250</v>
      </c>
      <c r="H43" s="11">
        <f>IFERROR(VLOOKUP(G$8&amp;G43,[1]_enum!$A:$D,4,FALSE),"-")</f>
        <v>3</v>
      </c>
      <c r="I43" s="81">
        <v>1</v>
      </c>
      <c r="J43" s="81">
        <v>1111111</v>
      </c>
      <c r="K43" s="83" t="s">
        <v>251</v>
      </c>
      <c r="L43" s="84">
        <f>IFERROR(INDEX([1]Point!$A:$A,MATCH(K43,[1]Point!$B:$B,0),1),"-")</f>
        <v>100011</v>
      </c>
      <c r="M43" s="81">
        <v>1000</v>
      </c>
      <c r="N43" s="95" t="s">
        <v>18</v>
      </c>
      <c r="O43" s="89" t="s">
        <v>350</v>
      </c>
      <c r="P43" s="90">
        <f>IFERROR(INDEX([1]RewardFixed!$A:$A,MATCH(O43,[1]RewardFixed!$B:$B,0),1),"-")</f>
        <v>94013035</v>
      </c>
      <c r="Q43" s="85" t="s">
        <v>395</v>
      </c>
      <c r="R43" s="91"/>
    </row>
    <row r="44" spans="1:18" ht="14.25" thickBot="1" x14ac:dyDescent="0.25">
      <c r="A44" s="79">
        <v>735</v>
      </c>
      <c r="B44" s="88" t="s">
        <v>306</v>
      </c>
      <c r="C44" s="87" t="s">
        <v>306</v>
      </c>
      <c r="D44" s="81" t="s">
        <v>18</v>
      </c>
      <c r="E44" s="81">
        <v>1</v>
      </c>
      <c r="F44" s="81">
        <v>52</v>
      </c>
      <c r="G44" s="82" t="s">
        <v>250</v>
      </c>
      <c r="H44" s="11">
        <f>IFERROR(VLOOKUP(G$8&amp;G44,[1]_enum!$A:$D,4,FALSE),"-")</f>
        <v>3</v>
      </c>
      <c r="I44" s="81">
        <v>1</v>
      </c>
      <c r="J44" s="81">
        <v>1111111</v>
      </c>
      <c r="K44" s="83" t="s">
        <v>251</v>
      </c>
      <c r="L44" s="84">
        <f>IFERROR(INDEX([1]Point!$A:$A,MATCH(K44,[1]Point!$B:$B,0),1),"-")</f>
        <v>100011</v>
      </c>
      <c r="M44" s="81">
        <v>1000</v>
      </c>
      <c r="N44" s="95" t="s">
        <v>18</v>
      </c>
      <c r="O44" s="89" t="s">
        <v>351</v>
      </c>
      <c r="P44" s="90">
        <f>IFERROR(INDEX([1]RewardFixed!$A:$A,MATCH(O44,[1]RewardFixed!$B:$B,0),1),"-")</f>
        <v>94013036</v>
      </c>
      <c r="Q44" s="85" t="s">
        <v>396</v>
      </c>
      <c r="R44" s="91"/>
    </row>
    <row r="45" spans="1:18" ht="14.25" thickBot="1" x14ac:dyDescent="0.25">
      <c r="A45" s="79">
        <v>736</v>
      </c>
      <c r="B45" s="88" t="s">
        <v>307</v>
      </c>
      <c r="C45" s="87" t="s">
        <v>307</v>
      </c>
      <c r="D45" s="81" t="s">
        <v>18</v>
      </c>
      <c r="E45" s="81">
        <v>1</v>
      </c>
      <c r="F45" s="81">
        <v>53</v>
      </c>
      <c r="G45" s="82" t="s">
        <v>250</v>
      </c>
      <c r="H45" s="11">
        <f>IFERROR(VLOOKUP(G$8&amp;G45,[1]_enum!$A:$D,4,FALSE),"-")</f>
        <v>3</v>
      </c>
      <c r="I45" s="81">
        <v>1</v>
      </c>
      <c r="J45" s="81">
        <v>1111111</v>
      </c>
      <c r="K45" s="83" t="s">
        <v>251</v>
      </c>
      <c r="L45" s="84">
        <f>IFERROR(INDEX([1]Point!$A:$A,MATCH(K45,[1]Point!$B:$B,0),1),"-")</f>
        <v>100011</v>
      </c>
      <c r="M45" s="81">
        <v>1000</v>
      </c>
      <c r="N45" s="95" t="s">
        <v>18</v>
      </c>
      <c r="O45" s="89" t="s">
        <v>352</v>
      </c>
      <c r="P45" s="90">
        <f>IFERROR(INDEX([1]RewardFixed!$A:$A,MATCH(O45,[1]RewardFixed!$B:$B,0),1),"-")</f>
        <v>94013037</v>
      </c>
      <c r="Q45" s="85" t="s">
        <v>397</v>
      </c>
      <c r="R45" s="91"/>
    </row>
    <row r="46" spans="1:18" ht="14.25" thickBot="1" x14ac:dyDescent="0.25">
      <c r="A46" s="79">
        <v>737</v>
      </c>
      <c r="B46" s="80" t="s">
        <v>308</v>
      </c>
      <c r="C46" s="81" t="s">
        <v>308</v>
      </c>
      <c r="D46" s="81" t="s">
        <v>18</v>
      </c>
      <c r="E46" s="81">
        <v>1</v>
      </c>
      <c r="F46" s="81">
        <v>54</v>
      </c>
      <c r="G46" s="82" t="s">
        <v>250</v>
      </c>
      <c r="H46" s="11">
        <f>IFERROR(VLOOKUP(G$8&amp;G46,[1]_enum!$A:$D,4,FALSE),"-")</f>
        <v>3</v>
      </c>
      <c r="I46" s="81">
        <v>1</v>
      </c>
      <c r="J46" s="81">
        <v>1111111</v>
      </c>
      <c r="K46" s="83" t="s">
        <v>251</v>
      </c>
      <c r="L46" s="84">
        <f>IFERROR(INDEX([1]Point!$A:$A,MATCH(K46,[1]Point!$B:$B,0),1),"-")</f>
        <v>100011</v>
      </c>
      <c r="M46" s="81">
        <v>1000</v>
      </c>
      <c r="N46" s="95" t="s">
        <v>18</v>
      </c>
      <c r="O46" s="83" t="s">
        <v>353</v>
      </c>
      <c r="P46" s="84">
        <f>IFERROR(INDEX([1]RewardFixed!$A:$A,MATCH(O46,[1]RewardFixed!$B:$B,0),1),"-")</f>
        <v>94013038</v>
      </c>
      <c r="Q46" s="85" t="s">
        <v>398</v>
      </c>
    </row>
    <row r="47" spans="1:18" ht="14.25" thickBot="1" x14ac:dyDescent="0.25">
      <c r="A47" s="79">
        <v>738</v>
      </c>
      <c r="B47" s="80" t="s">
        <v>309</v>
      </c>
      <c r="C47" s="81" t="s">
        <v>309</v>
      </c>
      <c r="D47" s="81" t="s">
        <v>18</v>
      </c>
      <c r="E47" s="81">
        <v>1</v>
      </c>
      <c r="F47" s="81">
        <v>55</v>
      </c>
      <c r="G47" s="82" t="s">
        <v>250</v>
      </c>
      <c r="H47" s="11">
        <f>IFERROR(VLOOKUP(G$8&amp;G47,[1]_enum!$A:$D,4,FALSE),"-")</f>
        <v>3</v>
      </c>
      <c r="I47" s="81">
        <v>1</v>
      </c>
      <c r="J47" s="81">
        <v>1111111</v>
      </c>
      <c r="K47" s="83" t="s">
        <v>251</v>
      </c>
      <c r="L47" s="84">
        <f>IFERROR(INDEX([1]Point!$A:$A,MATCH(K47,[1]Point!$B:$B,0),1),"-")</f>
        <v>100011</v>
      </c>
      <c r="M47" s="81">
        <v>1000</v>
      </c>
      <c r="N47" s="95" t="s">
        <v>18</v>
      </c>
      <c r="O47" s="83" t="s">
        <v>354</v>
      </c>
      <c r="P47" s="84">
        <f>IFERROR(INDEX([1]RewardFixed!$A:$A,MATCH(O47,[1]RewardFixed!$B:$B,0),1),"-")</f>
        <v>94013039</v>
      </c>
      <c r="Q47" s="85" t="s">
        <v>399</v>
      </c>
    </row>
    <row r="48" spans="1:18" ht="14.25" thickBot="1" x14ac:dyDescent="0.25">
      <c r="A48" s="79">
        <v>739</v>
      </c>
      <c r="B48" s="80" t="s">
        <v>310</v>
      </c>
      <c r="C48" s="81" t="s">
        <v>310</v>
      </c>
      <c r="D48" s="81" t="s">
        <v>18</v>
      </c>
      <c r="E48" s="81">
        <v>1</v>
      </c>
      <c r="F48" s="81">
        <v>56</v>
      </c>
      <c r="G48" s="82" t="s">
        <v>250</v>
      </c>
      <c r="H48" s="11">
        <f>IFERROR(VLOOKUP(G$8&amp;G48,[1]_enum!$A:$D,4,FALSE),"-")</f>
        <v>3</v>
      </c>
      <c r="I48" s="81">
        <v>1</v>
      </c>
      <c r="J48" s="81">
        <v>1111111</v>
      </c>
      <c r="K48" s="83" t="s">
        <v>251</v>
      </c>
      <c r="L48" s="84">
        <f>IFERROR(INDEX([1]Point!$A:$A,MATCH(K48,[1]Point!$B:$B,0),1),"-")</f>
        <v>100011</v>
      </c>
      <c r="M48" s="81">
        <v>1000</v>
      </c>
      <c r="N48" s="95" t="s">
        <v>18</v>
      </c>
      <c r="O48" s="83" t="s">
        <v>355</v>
      </c>
      <c r="P48" s="84">
        <f>IFERROR(INDEX([1]RewardFixed!$A:$A,MATCH(O48,[1]RewardFixed!$B:$B,0),1),"-")</f>
        <v>94013040</v>
      </c>
      <c r="Q48" s="85" t="s">
        <v>400</v>
      </c>
    </row>
    <row r="49" spans="1:18" ht="14.25" thickBot="1" x14ac:dyDescent="0.25">
      <c r="A49" s="79">
        <v>740</v>
      </c>
      <c r="B49" s="80" t="s">
        <v>311</v>
      </c>
      <c r="C49" s="81" t="s">
        <v>311</v>
      </c>
      <c r="D49" s="81" t="s">
        <v>18</v>
      </c>
      <c r="E49" s="81">
        <v>1</v>
      </c>
      <c r="F49" s="81">
        <v>57</v>
      </c>
      <c r="G49" s="82" t="s">
        <v>250</v>
      </c>
      <c r="H49" s="11">
        <f>IFERROR(VLOOKUP(G$8&amp;G49,[1]_enum!$A:$D,4,FALSE),"-")</f>
        <v>3</v>
      </c>
      <c r="I49" s="81">
        <v>1</v>
      </c>
      <c r="J49" s="81">
        <v>1111111</v>
      </c>
      <c r="K49" s="83" t="s">
        <v>251</v>
      </c>
      <c r="L49" s="84">
        <f>IFERROR(INDEX([1]Point!$A:$A,MATCH(K49,[1]Point!$B:$B,0),1),"-")</f>
        <v>100011</v>
      </c>
      <c r="M49" s="81">
        <v>1000</v>
      </c>
      <c r="N49" s="95" t="s">
        <v>18</v>
      </c>
      <c r="O49" s="83" t="s">
        <v>356</v>
      </c>
      <c r="P49" s="84">
        <f>IFERROR(INDEX([1]RewardFixed!$A:$A,MATCH(O49,[1]RewardFixed!$B:$B,0),1),"-")</f>
        <v>94013041</v>
      </c>
      <c r="Q49" s="85" t="s">
        <v>401</v>
      </c>
    </row>
    <row r="50" spans="1:18" ht="14.25" thickBot="1" x14ac:dyDescent="0.25">
      <c r="A50" s="79">
        <v>741</v>
      </c>
      <c r="B50" s="88" t="s">
        <v>312</v>
      </c>
      <c r="C50" s="87" t="s">
        <v>312</v>
      </c>
      <c r="D50" s="81" t="s">
        <v>18</v>
      </c>
      <c r="E50" s="81">
        <v>1</v>
      </c>
      <c r="F50" s="81">
        <v>58</v>
      </c>
      <c r="G50" s="82" t="s">
        <v>250</v>
      </c>
      <c r="H50" s="11">
        <f>IFERROR(VLOOKUP(G$8&amp;G50,[1]_enum!$A:$D,4,FALSE),"-")</f>
        <v>3</v>
      </c>
      <c r="I50" s="81">
        <v>1</v>
      </c>
      <c r="J50" s="81">
        <v>1111111</v>
      </c>
      <c r="K50" s="83" t="s">
        <v>251</v>
      </c>
      <c r="L50" s="84">
        <f>IFERROR(INDEX([1]Point!$A:$A,MATCH(K50,[1]Point!$B:$B,0),1),"-")</f>
        <v>100011</v>
      </c>
      <c r="M50" s="81">
        <v>1000</v>
      </c>
      <c r="N50" s="95" t="s">
        <v>18</v>
      </c>
      <c r="O50" s="89" t="s">
        <v>357</v>
      </c>
      <c r="P50" s="90">
        <f>IFERROR(INDEX([1]RewardFixed!$A:$A,MATCH(O50,[1]RewardFixed!$B:$B,0),1),"-")</f>
        <v>94013042</v>
      </c>
      <c r="Q50" s="85" t="s">
        <v>402</v>
      </c>
      <c r="R50" s="91"/>
    </row>
    <row r="51" spans="1:18" ht="14.25" thickBot="1" x14ac:dyDescent="0.25">
      <c r="A51" s="79">
        <v>742</v>
      </c>
      <c r="B51" s="88" t="s">
        <v>313</v>
      </c>
      <c r="C51" s="87" t="s">
        <v>313</v>
      </c>
      <c r="D51" s="81" t="s">
        <v>18</v>
      </c>
      <c r="E51" s="81">
        <v>1</v>
      </c>
      <c r="F51" s="81">
        <v>59</v>
      </c>
      <c r="G51" s="82" t="s">
        <v>250</v>
      </c>
      <c r="H51" s="11">
        <f>IFERROR(VLOOKUP(G$8&amp;G51,[1]_enum!$A:$D,4,FALSE),"-")</f>
        <v>3</v>
      </c>
      <c r="I51" s="81">
        <v>1</v>
      </c>
      <c r="J51" s="81">
        <v>1111111</v>
      </c>
      <c r="K51" s="83" t="s">
        <v>251</v>
      </c>
      <c r="L51" s="84">
        <f>IFERROR(INDEX([1]Point!$A:$A,MATCH(K51,[1]Point!$B:$B,0),1),"-")</f>
        <v>100011</v>
      </c>
      <c r="M51" s="81">
        <v>1000</v>
      </c>
      <c r="N51" s="95" t="s">
        <v>18</v>
      </c>
      <c r="O51" s="89" t="s">
        <v>358</v>
      </c>
      <c r="P51" s="90">
        <f>IFERROR(INDEX([1]RewardFixed!$A:$A,MATCH(O51,[1]RewardFixed!$B:$B,0),1),"-")</f>
        <v>94013043</v>
      </c>
      <c r="Q51" s="85" t="s">
        <v>403</v>
      </c>
      <c r="R51" s="91"/>
    </row>
    <row r="52" spans="1:18" ht="14.25" thickBot="1" x14ac:dyDescent="0.25">
      <c r="A52" s="79">
        <v>743</v>
      </c>
      <c r="B52" s="88" t="s">
        <v>314</v>
      </c>
      <c r="C52" s="87" t="s">
        <v>314</v>
      </c>
      <c r="D52" s="81" t="s">
        <v>18</v>
      </c>
      <c r="E52" s="81">
        <v>1</v>
      </c>
      <c r="F52" s="81">
        <v>60</v>
      </c>
      <c r="G52" s="82" t="s">
        <v>250</v>
      </c>
      <c r="H52" s="11">
        <f>IFERROR(VLOOKUP(G$8&amp;G52,[1]_enum!$A:$D,4,FALSE),"-")</f>
        <v>3</v>
      </c>
      <c r="I52" s="81">
        <v>1</v>
      </c>
      <c r="J52" s="81">
        <v>1111111</v>
      </c>
      <c r="K52" s="83" t="s">
        <v>251</v>
      </c>
      <c r="L52" s="84">
        <f>IFERROR(INDEX([1]Point!$A:$A,MATCH(K52,[1]Point!$B:$B,0),1),"-")</f>
        <v>100011</v>
      </c>
      <c r="M52" s="81">
        <v>1000</v>
      </c>
      <c r="N52" s="95" t="s">
        <v>18</v>
      </c>
      <c r="O52" s="89" t="s">
        <v>359</v>
      </c>
      <c r="P52" s="90">
        <f>IFERROR(INDEX([1]RewardFixed!$A:$A,MATCH(O52,[1]RewardFixed!$B:$B,0),1),"-")</f>
        <v>94013044</v>
      </c>
      <c r="Q52" s="85" t="s">
        <v>404</v>
      </c>
      <c r="R52" s="91"/>
    </row>
    <row r="53" spans="1:18" ht="14.25" thickBot="1" x14ac:dyDescent="0.25">
      <c r="A53" s="79">
        <v>744</v>
      </c>
      <c r="B53" s="88" t="s">
        <v>315</v>
      </c>
      <c r="C53" s="87" t="s">
        <v>315</v>
      </c>
      <c r="D53" s="81" t="s">
        <v>18</v>
      </c>
      <c r="E53" s="81">
        <v>1</v>
      </c>
      <c r="F53" s="81">
        <v>61</v>
      </c>
      <c r="G53" s="82" t="s">
        <v>250</v>
      </c>
      <c r="H53" s="11">
        <f>IFERROR(VLOOKUP(G$8&amp;G53,[1]_enum!$A:$D,4,FALSE),"-")</f>
        <v>3</v>
      </c>
      <c r="I53" s="81">
        <v>1</v>
      </c>
      <c r="J53" s="81">
        <v>1111111</v>
      </c>
      <c r="K53" s="83" t="s">
        <v>251</v>
      </c>
      <c r="L53" s="84">
        <f>IFERROR(INDEX([1]Point!$A:$A,MATCH(K53,[1]Point!$B:$B,0),1),"-")</f>
        <v>100011</v>
      </c>
      <c r="M53" s="81">
        <v>1000</v>
      </c>
      <c r="N53" s="95" t="s">
        <v>18</v>
      </c>
      <c r="O53" s="89" t="s">
        <v>360</v>
      </c>
      <c r="P53" s="90">
        <f>IFERROR(INDEX([1]RewardFixed!$A:$A,MATCH(O53,[1]RewardFixed!$B:$B,0),1),"-")</f>
        <v>94013045</v>
      </c>
      <c r="Q53" s="85" t="s">
        <v>405</v>
      </c>
      <c r="R53" s="91"/>
    </row>
    <row r="54" spans="1:18" ht="14.25" thickBot="1" x14ac:dyDescent="0.25">
      <c r="A54" s="79">
        <v>745</v>
      </c>
      <c r="B54" s="117" t="s">
        <v>626</v>
      </c>
      <c r="C54" s="87" t="s">
        <v>626</v>
      </c>
      <c r="D54" s="81" t="s">
        <v>18</v>
      </c>
      <c r="E54" s="81">
        <v>1</v>
      </c>
      <c r="F54" s="81">
        <v>1</v>
      </c>
      <c r="G54" s="82" t="s">
        <v>250</v>
      </c>
      <c r="H54" s="11">
        <f>IFERROR(VLOOKUP(G$8&amp;G54,[1]_enum!$A:$D,4,FALSE),"-")</f>
        <v>3</v>
      </c>
      <c r="I54" s="81">
        <v>3</v>
      </c>
      <c r="J54" s="81">
        <v>1111111</v>
      </c>
      <c r="K54" s="83" t="s">
        <v>251</v>
      </c>
      <c r="L54" s="84">
        <f>IFERROR(INDEX([1]Point!$A:$A,MATCH(K54,[1]Point!$B:$B,0),1),"-")</f>
        <v>100011</v>
      </c>
      <c r="M54" s="81">
        <v>20</v>
      </c>
      <c r="N54" s="95">
        <v>3</v>
      </c>
      <c r="O54" s="89" t="s">
        <v>627</v>
      </c>
      <c r="P54" s="90">
        <f>IFERROR(INDEX([1]RewardFixed!$A:$A,MATCH(O54,[1]RewardFixed!$B:$B,0),1),"-")</f>
        <v>94013046</v>
      </c>
      <c r="Q54" s="85" t="s">
        <v>628</v>
      </c>
      <c r="R54" s="91"/>
    </row>
    <row r="55" spans="1:18" ht="14.25" thickBot="1" x14ac:dyDescent="0.25">
      <c r="A55" s="79">
        <v>746</v>
      </c>
      <c r="B55" s="117" t="s">
        <v>485</v>
      </c>
      <c r="C55" s="87" t="s">
        <v>485</v>
      </c>
      <c r="D55" s="81" t="s">
        <v>18</v>
      </c>
      <c r="E55" s="81">
        <v>1</v>
      </c>
      <c r="F55" s="81">
        <v>2</v>
      </c>
      <c r="G55" s="82" t="s">
        <v>250</v>
      </c>
      <c r="H55" s="11">
        <f>IFERROR(VLOOKUP(G$8&amp;G55,[1]_enum!$A:$D,4,FALSE),"-")</f>
        <v>3</v>
      </c>
      <c r="I55" s="81">
        <v>1</v>
      </c>
      <c r="J55" s="81">
        <v>1111111</v>
      </c>
      <c r="K55" s="83" t="s">
        <v>251</v>
      </c>
      <c r="L55" s="84">
        <f>IFERROR(INDEX([1]Point!$A:$A,MATCH(K55,[1]Point!$B:$B,0),1),"-")</f>
        <v>100011</v>
      </c>
      <c r="M55" s="81">
        <v>30</v>
      </c>
      <c r="N55" s="95">
        <v>3</v>
      </c>
      <c r="O55" s="89" t="s">
        <v>595</v>
      </c>
      <c r="P55" s="90">
        <f>IFERROR(INDEX([1]RewardFixed!$A:$A,MATCH(O55,[1]RewardFixed!$B:$B,0),1),"-")</f>
        <v>94013047</v>
      </c>
      <c r="Q55" s="85" t="s">
        <v>607</v>
      </c>
      <c r="R55" s="91"/>
    </row>
    <row r="56" spans="1:18" ht="14.25" thickBot="1" x14ac:dyDescent="0.25">
      <c r="A56" s="79">
        <v>747</v>
      </c>
      <c r="B56" s="117" t="s">
        <v>486</v>
      </c>
      <c r="C56" s="87" t="s">
        <v>486</v>
      </c>
      <c r="D56" s="81" t="s">
        <v>18</v>
      </c>
      <c r="E56" s="81">
        <v>1</v>
      </c>
      <c r="F56" s="81">
        <v>3</v>
      </c>
      <c r="G56" s="82" t="s">
        <v>250</v>
      </c>
      <c r="H56" s="11">
        <f>IFERROR(VLOOKUP(G$8&amp;G56,[1]_enum!$A:$D,4,FALSE),"-")</f>
        <v>3</v>
      </c>
      <c r="I56" s="81">
        <v>1</v>
      </c>
      <c r="J56" s="81">
        <v>1111111</v>
      </c>
      <c r="K56" s="83" t="s">
        <v>251</v>
      </c>
      <c r="L56" s="84">
        <f>IFERROR(INDEX([1]Point!$A:$A,MATCH(K56,[1]Point!$B:$B,0),1),"-")</f>
        <v>100011</v>
      </c>
      <c r="M56" s="81">
        <v>30</v>
      </c>
      <c r="N56" s="95">
        <v>3</v>
      </c>
      <c r="O56" s="89" t="s">
        <v>596</v>
      </c>
      <c r="P56" s="90">
        <f>IFERROR(INDEX([1]RewardFixed!$A:$A,MATCH(O56,[1]RewardFixed!$B:$B,0),1),"-")</f>
        <v>94013048</v>
      </c>
      <c r="Q56" s="85" t="s">
        <v>608</v>
      </c>
      <c r="R56" s="91"/>
    </row>
    <row r="57" spans="1:18" ht="14.25" thickBot="1" x14ac:dyDescent="0.25">
      <c r="A57" s="79">
        <v>748</v>
      </c>
      <c r="B57" s="118" t="s">
        <v>487</v>
      </c>
      <c r="C57" s="81" t="s">
        <v>487</v>
      </c>
      <c r="D57" s="81" t="s">
        <v>18</v>
      </c>
      <c r="E57" s="81">
        <v>1</v>
      </c>
      <c r="F57" s="81">
        <v>4</v>
      </c>
      <c r="G57" s="82" t="s">
        <v>250</v>
      </c>
      <c r="H57" s="11">
        <f>IFERROR(VLOOKUP(G$8&amp;G57,[1]_enum!$A:$D,4,FALSE),"-")</f>
        <v>3</v>
      </c>
      <c r="I57" s="81">
        <v>1</v>
      </c>
      <c r="J57" s="81">
        <v>1111111</v>
      </c>
      <c r="K57" s="83" t="s">
        <v>251</v>
      </c>
      <c r="L57" s="84">
        <f>IFERROR(INDEX([1]Point!$A:$A,MATCH(K57,[1]Point!$B:$B,0),1),"-")</f>
        <v>100011</v>
      </c>
      <c r="M57" s="81">
        <v>30</v>
      </c>
      <c r="N57" s="95">
        <v>3</v>
      </c>
      <c r="O57" s="83" t="s">
        <v>597</v>
      </c>
      <c r="P57" s="84">
        <f>IFERROR(INDEX([1]RewardFixed!$A:$A,MATCH(O57,[1]RewardFixed!$B:$B,0),1),"-")</f>
        <v>94013049</v>
      </c>
      <c r="Q57" s="85" t="s">
        <v>609</v>
      </c>
    </row>
    <row r="58" spans="1:18" ht="14.25" thickBot="1" x14ac:dyDescent="0.25">
      <c r="A58" s="79">
        <v>749</v>
      </c>
      <c r="B58" s="117" t="s">
        <v>629</v>
      </c>
      <c r="C58" s="87" t="s">
        <v>629</v>
      </c>
      <c r="D58" s="81" t="s">
        <v>18</v>
      </c>
      <c r="E58" s="81">
        <v>1</v>
      </c>
      <c r="F58" s="81">
        <v>5</v>
      </c>
      <c r="G58" s="82" t="s">
        <v>250</v>
      </c>
      <c r="H58" s="11">
        <f>IFERROR(VLOOKUP(G$8&amp;G58,[1]_enum!$A:$D,4,FALSE),"-")</f>
        <v>3</v>
      </c>
      <c r="I58" s="81">
        <v>3</v>
      </c>
      <c r="J58" s="81">
        <v>1111111</v>
      </c>
      <c r="K58" s="83" t="s">
        <v>251</v>
      </c>
      <c r="L58" s="84">
        <f>IFERROR(INDEX([1]Point!$A:$A,MATCH(K58,[1]Point!$B:$B,0),1),"-")</f>
        <v>100011</v>
      </c>
      <c r="M58" s="81">
        <v>110</v>
      </c>
      <c r="N58" s="95">
        <v>5</v>
      </c>
      <c r="O58" s="89" t="s">
        <v>630</v>
      </c>
      <c r="P58" s="90">
        <f>IFERROR(INDEX([1]RewardFixed!$A:$A,MATCH(O58,[1]RewardFixed!$B:$B,0),1),"-")</f>
        <v>94013050</v>
      </c>
      <c r="Q58" s="85" t="s">
        <v>631</v>
      </c>
      <c r="R58" s="91"/>
    </row>
    <row r="59" spans="1:18" ht="14.25" thickBot="1" x14ac:dyDescent="0.25">
      <c r="A59" s="79">
        <v>750</v>
      </c>
      <c r="B59" s="117" t="s">
        <v>473</v>
      </c>
      <c r="C59" s="87" t="s">
        <v>473</v>
      </c>
      <c r="D59" s="81" t="s">
        <v>18</v>
      </c>
      <c r="E59" s="81">
        <v>1</v>
      </c>
      <c r="F59" s="81">
        <v>6</v>
      </c>
      <c r="G59" s="82" t="s">
        <v>250</v>
      </c>
      <c r="H59" s="11">
        <f>IFERROR(VLOOKUP(G$8&amp;G59,[1]_enum!$A:$D,4,FALSE),"-")</f>
        <v>3</v>
      </c>
      <c r="I59" s="81">
        <v>1</v>
      </c>
      <c r="J59" s="81">
        <v>1111111</v>
      </c>
      <c r="K59" s="83" t="s">
        <v>251</v>
      </c>
      <c r="L59" s="84">
        <f>IFERROR(INDEX([1]Point!$A:$A,MATCH(K59,[1]Point!$B:$B,0),1),"-")</f>
        <v>100011</v>
      </c>
      <c r="M59" s="81">
        <v>140</v>
      </c>
      <c r="N59" s="95">
        <v>5</v>
      </c>
      <c r="O59" s="89" t="s">
        <v>598</v>
      </c>
      <c r="P59" s="90">
        <f>IFERROR(INDEX([1]RewardFixed!$A:$A,MATCH(O59,[1]RewardFixed!$B:$B,0),1),"-")</f>
        <v>94013051</v>
      </c>
      <c r="Q59" s="85" t="s">
        <v>610</v>
      </c>
      <c r="R59" s="91"/>
    </row>
    <row r="60" spans="1:18" ht="14.25" thickBot="1" x14ac:dyDescent="0.25">
      <c r="A60" s="79">
        <v>751</v>
      </c>
      <c r="B60" s="117" t="s">
        <v>474</v>
      </c>
      <c r="C60" s="87" t="s">
        <v>474</v>
      </c>
      <c r="D60" s="81" t="s">
        <v>18</v>
      </c>
      <c r="E60" s="81">
        <v>1</v>
      </c>
      <c r="F60" s="81">
        <v>7</v>
      </c>
      <c r="G60" s="82" t="s">
        <v>250</v>
      </c>
      <c r="H60" s="11">
        <f>IFERROR(VLOOKUP(G$8&amp;G60,[1]_enum!$A:$D,4,FALSE),"-")</f>
        <v>3</v>
      </c>
      <c r="I60" s="81">
        <v>1</v>
      </c>
      <c r="J60" s="81">
        <v>1111111</v>
      </c>
      <c r="K60" s="83" t="s">
        <v>251</v>
      </c>
      <c r="L60" s="84">
        <f>IFERROR(INDEX([1]Point!$A:$A,MATCH(K60,[1]Point!$B:$B,0),1),"-")</f>
        <v>100011</v>
      </c>
      <c r="M60" s="81">
        <v>140</v>
      </c>
      <c r="N60" s="95">
        <v>5</v>
      </c>
      <c r="O60" s="89" t="s">
        <v>599</v>
      </c>
      <c r="P60" s="90">
        <f>IFERROR(INDEX([1]RewardFixed!$A:$A,MATCH(O60,[1]RewardFixed!$B:$B,0),1),"-")</f>
        <v>94013052</v>
      </c>
      <c r="Q60" s="85" t="s">
        <v>611</v>
      </c>
      <c r="R60" s="91"/>
    </row>
    <row r="61" spans="1:18" ht="14.25" thickBot="1" x14ac:dyDescent="0.25">
      <c r="A61" s="79">
        <v>752</v>
      </c>
      <c r="B61" s="117" t="s">
        <v>475</v>
      </c>
      <c r="C61" s="87" t="s">
        <v>475</v>
      </c>
      <c r="D61" s="81" t="s">
        <v>18</v>
      </c>
      <c r="E61" s="81">
        <v>1</v>
      </c>
      <c r="F61" s="81">
        <v>8</v>
      </c>
      <c r="G61" s="82" t="s">
        <v>250</v>
      </c>
      <c r="H61" s="11">
        <f>IFERROR(VLOOKUP(G$8&amp;G61,[1]_enum!$A:$D,4,FALSE),"-")</f>
        <v>3</v>
      </c>
      <c r="I61" s="81">
        <v>1</v>
      </c>
      <c r="J61" s="81">
        <v>1111111</v>
      </c>
      <c r="K61" s="83" t="s">
        <v>251</v>
      </c>
      <c r="L61" s="84">
        <f>IFERROR(INDEX([1]Point!$A:$A,MATCH(K61,[1]Point!$B:$B,0),1),"-")</f>
        <v>100011</v>
      </c>
      <c r="M61" s="81">
        <v>140</v>
      </c>
      <c r="N61" s="95">
        <v>5</v>
      </c>
      <c r="O61" s="89" t="s">
        <v>600</v>
      </c>
      <c r="P61" s="90">
        <f>IFERROR(INDEX([1]RewardFixed!$A:$A,MATCH(O61,[1]RewardFixed!$B:$B,0),1),"-")</f>
        <v>94013053</v>
      </c>
      <c r="Q61" s="85" t="s">
        <v>612</v>
      </c>
      <c r="R61" s="91"/>
    </row>
    <row r="62" spans="1:18" ht="14.25" thickBot="1" x14ac:dyDescent="0.25">
      <c r="A62" s="79">
        <v>753</v>
      </c>
      <c r="B62" s="118" t="s">
        <v>619</v>
      </c>
      <c r="C62" s="81" t="s">
        <v>619</v>
      </c>
      <c r="D62" s="81" t="s">
        <v>18</v>
      </c>
      <c r="E62" s="81">
        <v>1</v>
      </c>
      <c r="F62" s="81">
        <v>9</v>
      </c>
      <c r="G62" s="82" t="s">
        <v>250</v>
      </c>
      <c r="H62" s="11">
        <f>IFERROR(VLOOKUP(G$8&amp;G62,[1]_enum!$A:$D,4,FALSE),"-")</f>
        <v>3</v>
      </c>
      <c r="I62" s="81">
        <v>3</v>
      </c>
      <c r="J62" s="81">
        <v>1111111</v>
      </c>
      <c r="K62" s="83" t="s">
        <v>251</v>
      </c>
      <c r="L62" s="84">
        <f>IFERROR(INDEX([1]Point!$A:$A,MATCH(K62,[1]Point!$B:$B,0),1),"-")</f>
        <v>100011</v>
      </c>
      <c r="M62" s="81">
        <v>360</v>
      </c>
      <c r="N62" s="95">
        <v>3</v>
      </c>
      <c r="O62" s="83" t="s">
        <v>620</v>
      </c>
      <c r="P62" s="84">
        <f>IFERROR(INDEX([1]RewardFixed!$A:$A,MATCH(O62,[1]RewardFixed!$B:$B,0),1),"-")</f>
        <v>94013054</v>
      </c>
      <c r="Q62" s="85" t="s">
        <v>621</v>
      </c>
    </row>
    <row r="63" spans="1:18" ht="14.25" thickBot="1" x14ac:dyDescent="0.25">
      <c r="A63" s="79">
        <v>754</v>
      </c>
      <c r="B63" s="118" t="s">
        <v>488</v>
      </c>
      <c r="C63" s="81" t="s">
        <v>488</v>
      </c>
      <c r="D63" s="81" t="s">
        <v>18</v>
      </c>
      <c r="E63" s="81">
        <v>1</v>
      </c>
      <c r="F63" s="81">
        <v>10</v>
      </c>
      <c r="G63" s="82" t="s">
        <v>250</v>
      </c>
      <c r="H63" s="11">
        <f>IFERROR(VLOOKUP(G$8&amp;G63,[1]_enum!$A:$D,4,FALSE),"-")</f>
        <v>3</v>
      </c>
      <c r="I63" s="81">
        <v>1</v>
      </c>
      <c r="J63" s="81">
        <v>1111111</v>
      </c>
      <c r="K63" s="83" t="s">
        <v>251</v>
      </c>
      <c r="L63" s="84">
        <f>IFERROR(INDEX([1]Point!$A:$A,MATCH(K63,[1]Point!$B:$B,0),1),"-")</f>
        <v>100011</v>
      </c>
      <c r="M63" s="81">
        <v>470</v>
      </c>
      <c r="N63" s="95">
        <v>3</v>
      </c>
      <c r="O63" s="83" t="s">
        <v>601</v>
      </c>
      <c r="P63" s="84">
        <f>IFERROR(INDEX([1]RewardFixed!$A:$A,MATCH(O63,[1]RewardFixed!$B:$B,0),1),"-")</f>
        <v>94013055</v>
      </c>
      <c r="Q63" s="85" t="s">
        <v>613</v>
      </c>
    </row>
    <row r="64" spans="1:18" ht="14.25" thickBot="1" x14ac:dyDescent="0.25">
      <c r="A64" s="79">
        <v>755</v>
      </c>
      <c r="B64" s="118" t="s">
        <v>489</v>
      </c>
      <c r="C64" s="81" t="s">
        <v>489</v>
      </c>
      <c r="D64" s="81" t="s">
        <v>18</v>
      </c>
      <c r="E64" s="81">
        <v>1</v>
      </c>
      <c r="F64" s="81">
        <v>11</v>
      </c>
      <c r="G64" s="82" t="s">
        <v>250</v>
      </c>
      <c r="H64" s="11">
        <f>IFERROR(VLOOKUP(G$8&amp;G64,[1]_enum!$A:$D,4,FALSE),"-")</f>
        <v>3</v>
      </c>
      <c r="I64" s="81">
        <v>1</v>
      </c>
      <c r="J64" s="81">
        <v>1111111</v>
      </c>
      <c r="K64" s="83" t="s">
        <v>251</v>
      </c>
      <c r="L64" s="84">
        <f>IFERROR(INDEX([1]Point!$A:$A,MATCH(K64,[1]Point!$B:$B,0),1),"-")</f>
        <v>100011</v>
      </c>
      <c r="M64" s="81">
        <v>470</v>
      </c>
      <c r="N64" s="95">
        <v>3</v>
      </c>
      <c r="O64" s="83" t="s">
        <v>602</v>
      </c>
      <c r="P64" s="84">
        <f>IFERROR(INDEX([1]RewardFixed!$A:$A,MATCH(O64,[1]RewardFixed!$B:$B,0),1),"-")</f>
        <v>94013056</v>
      </c>
      <c r="Q64" s="85" t="s">
        <v>614</v>
      </c>
    </row>
    <row r="65" spans="1:18" ht="14.25" thickBot="1" x14ac:dyDescent="0.25">
      <c r="A65" s="79">
        <v>756</v>
      </c>
      <c r="B65" s="118" t="s">
        <v>490</v>
      </c>
      <c r="C65" s="81" t="s">
        <v>490</v>
      </c>
      <c r="D65" s="81" t="s">
        <v>18</v>
      </c>
      <c r="E65" s="81">
        <v>1</v>
      </c>
      <c r="F65" s="81">
        <v>12</v>
      </c>
      <c r="G65" s="82" t="s">
        <v>250</v>
      </c>
      <c r="H65" s="11">
        <f>IFERROR(VLOOKUP(G$8&amp;G65,[1]_enum!$A:$D,4,FALSE),"-")</f>
        <v>3</v>
      </c>
      <c r="I65" s="81">
        <v>1</v>
      </c>
      <c r="J65" s="81">
        <v>1111111</v>
      </c>
      <c r="K65" s="83" t="s">
        <v>251</v>
      </c>
      <c r="L65" s="84">
        <f>IFERROR(INDEX([1]Point!$A:$A,MATCH(K65,[1]Point!$B:$B,0),1),"-")</f>
        <v>100011</v>
      </c>
      <c r="M65" s="81">
        <v>470</v>
      </c>
      <c r="N65" s="95">
        <v>3</v>
      </c>
      <c r="O65" s="83" t="s">
        <v>603</v>
      </c>
      <c r="P65" s="84">
        <f>IFERROR(INDEX([1]RewardFixed!$A:$A,MATCH(O65,[1]RewardFixed!$B:$B,0),1),"-")</f>
        <v>94013057</v>
      </c>
      <c r="Q65" s="85" t="s">
        <v>615</v>
      </c>
    </row>
    <row r="66" spans="1:18" ht="14.25" thickBot="1" x14ac:dyDescent="0.25">
      <c r="A66" s="79">
        <v>757</v>
      </c>
      <c r="B66" s="117" t="s">
        <v>622</v>
      </c>
      <c r="C66" s="87" t="s">
        <v>622</v>
      </c>
      <c r="D66" s="81" t="s">
        <v>18</v>
      </c>
      <c r="E66" s="81">
        <v>1</v>
      </c>
      <c r="F66" s="81">
        <v>13</v>
      </c>
      <c r="G66" s="82" t="s">
        <v>250</v>
      </c>
      <c r="H66" s="11">
        <f>IFERROR(VLOOKUP(G$8&amp;G66,[1]_enum!$A:$D,4,FALSE),"-")</f>
        <v>3</v>
      </c>
      <c r="I66" s="81">
        <v>3</v>
      </c>
      <c r="J66" s="81">
        <v>1111111</v>
      </c>
      <c r="K66" s="83" t="s">
        <v>251</v>
      </c>
      <c r="L66" s="84">
        <f>IFERROR(INDEX([1]Point!$A:$A,MATCH(K66,[1]Point!$B:$B,0),1),"-")</f>
        <v>100011</v>
      </c>
      <c r="M66" s="81">
        <v>370</v>
      </c>
      <c r="N66" s="95">
        <v>5</v>
      </c>
      <c r="O66" s="89" t="s">
        <v>623</v>
      </c>
      <c r="P66" s="90">
        <f>IFERROR(INDEX([1]RewardFixed!$A:$A,MATCH(O66,[1]RewardFixed!$B:$B,0),1),"-")</f>
        <v>94013058</v>
      </c>
      <c r="Q66" s="85" t="s">
        <v>624</v>
      </c>
      <c r="R66" s="91"/>
    </row>
    <row r="67" spans="1:18" ht="14.25" thickBot="1" x14ac:dyDescent="0.25">
      <c r="A67" s="79">
        <v>758</v>
      </c>
      <c r="B67" s="117" t="s">
        <v>476</v>
      </c>
      <c r="C67" s="87" t="s">
        <v>476</v>
      </c>
      <c r="D67" s="81" t="s">
        <v>18</v>
      </c>
      <c r="E67" s="81">
        <v>1</v>
      </c>
      <c r="F67" s="81">
        <v>14</v>
      </c>
      <c r="G67" s="82" t="s">
        <v>250</v>
      </c>
      <c r="H67" s="11">
        <f>IFERROR(VLOOKUP(G$8&amp;G67,[1]_enum!$A:$D,4,FALSE),"-")</f>
        <v>3</v>
      </c>
      <c r="I67" s="81">
        <v>1</v>
      </c>
      <c r="J67" s="81">
        <v>1111111</v>
      </c>
      <c r="K67" s="83" t="s">
        <v>251</v>
      </c>
      <c r="L67" s="84">
        <f>IFERROR(INDEX([1]Point!$A:$A,MATCH(K67,[1]Point!$B:$B,0),1),"-")</f>
        <v>100011</v>
      </c>
      <c r="M67" s="81">
        <v>500</v>
      </c>
      <c r="N67" s="95">
        <v>5</v>
      </c>
      <c r="O67" s="89" t="s">
        <v>604</v>
      </c>
      <c r="P67" s="90">
        <f>IFERROR(INDEX([1]RewardFixed!$A:$A,MATCH(O67,[1]RewardFixed!$B:$B,0),1),"-")</f>
        <v>94013059</v>
      </c>
      <c r="Q67" s="85" t="s">
        <v>616</v>
      </c>
      <c r="R67" s="91"/>
    </row>
    <row r="68" spans="1:18" ht="14.25" thickBot="1" x14ac:dyDescent="0.25">
      <c r="A68" s="79">
        <v>759</v>
      </c>
      <c r="B68" s="117" t="s">
        <v>477</v>
      </c>
      <c r="C68" s="87" t="s">
        <v>477</v>
      </c>
      <c r="D68" s="81" t="s">
        <v>18</v>
      </c>
      <c r="E68" s="81">
        <v>1</v>
      </c>
      <c r="F68" s="81">
        <v>15</v>
      </c>
      <c r="G68" s="82" t="s">
        <v>250</v>
      </c>
      <c r="H68" s="11">
        <f>IFERROR(VLOOKUP(G$8&amp;G68,[1]_enum!$A:$D,4,FALSE),"-")</f>
        <v>3</v>
      </c>
      <c r="I68" s="81">
        <v>1</v>
      </c>
      <c r="J68" s="81">
        <v>1111111</v>
      </c>
      <c r="K68" s="83" t="s">
        <v>251</v>
      </c>
      <c r="L68" s="84">
        <f>IFERROR(INDEX([1]Point!$A:$A,MATCH(K68,[1]Point!$B:$B,0),1),"-")</f>
        <v>100011</v>
      </c>
      <c r="M68" s="81">
        <v>500</v>
      </c>
      <c r="N68" s="95">
        <v>5</v>
      </c>
      <c r="O68" s="89" t="s">
        <v>605</v>
      </c>
      <c r="P68" s="90">
        <f>IFERROR(INDEX([1]RewardFixed!$A:$A,MATCH(O68,[1]RewardFixed!$B:$B,0),1),"-")</f>
        <v>94013060</v>
      </c>
      <c r="Q68" s="85" t="s">
        <v>617</v>
      </c>
      <c r="R68" s="91"/>
    </row>
    <row r="69" spans="1:18" ht="14.25" thickBot="1" x14ac:dyDescent="0.25">
      <c r="A69" s="79">
        <v>760</v>
      </c>
      <c r="B69" s="117" t="s">
        <v>478</v>
      </c>
      <c r="C69" s="87" t="s">
        <v>478</v>
      </c>
      <c r="D69" s="81" t="s">
        <v>18</v>
      </c>
      <c r="E69" s="81">
        <v>1</v>
      </c>
      <c r="F69" s="81">
        <v>16</v>
      </c>
      <c r="G69" s="82" t="s">
        <v>250</v>
      </c>
      <c r="H69" s="11">
        <f>IFERROR(VLOOKUP(G$8&amp;G69,[1]_enum!$A:$D,4,FALSE),"-")</f>
        <v>3</v>
      </c>
      <c r="I69" s="81">
        <v>1</v>
      </c>
      <c r="J69" s="81">
        <v>1111111</v>
      </c>
      <c r="K69" s="83" t="s">
        <v>251</v>
      </c>
      <c r="L69" s="84">
        <f>IFERROR(INDEX([1]Point!$A:$A,MATCH(K69,[1]Point!$B:$B,0),1),"-")</f>
        <v>100011</v>
      </c>
      <c r="M69" s="81">
        <v>500</v>
      </c>
      <c r="N69" s="95">
        <v>5</v>
      </c>
      <c r="O69" s="89" t="s">
        <v>606</v>
      </c>
      <c r="P69" s="90">
        <f>IFERROR(INDEX([1]RewardFixed!$A:$A,MATCH(O69,[1]RewardFixed!$B:$B,0),1),"-")</f>
        <v>94013061</v>
      </c>
      <c r="Q69" s="85" t="s">
        <v>618</v>
      </c>
      <c r="R69" s="91"/>
    </row>
    <row r="70" spans="1:18" x14ac:dyDescent="0.2">
      <c r="A70" s="86"/>
      <c r="B70" s="86"/>
      <c r="C70" s="86"/>
      <c r="D70" s="86"/>
      <c r="E70" s="86"/>
      <c r="F70" s="86"/>
      <c r="G70" s="10"/>
      <c r="H70" s="10"/>
      <c r="I70" s="86"/>
      <c r="J70" s="86"/>
      <c r="K70" s="10"/>
      <c r="L70" s="10"/>
      <c r="M70" s="86"/>
      <c r="N70" s="92"/>
      <c r="O70" s="10"/>
      <c r="P70" s="10"/>
      <c r="Q70" s="10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1609-C347-472A-82EA-59D773BA0DCF}">
  <sheetPr codeName="Sheet4">
    <tabColor rgb="FF92D050"/>
  </sheetPr>
  <dimension ref="A1:H28"/>
  <sheetViews>
    <sheetView zoomScale="90" zoomScaleNormal="90" workbookViewId="0">
      <pane xSplit="2" ySplit="7" topLeftCell="C8" activePane="bottomRight" state="frozenSplit"/>
      <selection pane="topRight" activeCell="C1" sqref="C1"/>
      <selection pane="bottomLeft" activeCell="A8" sqref="A8"/>
      <selection pane="bottomRight" activeCell="B9" sqref="B9"/>
    </sheetView>
  </sheetViews>
  <sheetFormatPr defaultRowHeight="20.100000000000001" customHeight="1" x14ac:dyDescent="0.2"/>
  <cols>
    <col min="1" max="1" width="18.42578125" style="108" customWidth="1"/>
    <col min="2" max="2" width="27.42578125" style="108" customWidth="1"/>
    <col min="3" max="4" width="12.5703125" style="100" bestFit="1" customWidth="1"/>
    <col min="5" max="5" width="17.5703125" style="100" bestFit="1" customWidth="1"/>
    <col min="6" max="6" width="32.5703125" style="108" bestFit="1" customWidth="1"/>
    <col min="7" max="7" width="23" style="108" customWidth="1"/>
    <col min="8" max="8" width="9.140625" style="108"/>
    <col min="9" max="16384" width="9.140625" style="97"/>
  </cols>
  <sheetData>
    <row r="1" spans="1:8" s="96" customFormat="1" ht="20.100000000000001" customHeight="1" x14ac:dyDescent="0.2">
      <c r="A1" s="102" t="s">
        <v>254</v>
      </c>
      <c r="B1" s="102" t="s">
        <v>265</v>
      </c>
      <c r="C1" s="98"/>
      <c r="D1" s="93" t="s">
        <v>266</v>
      </c>
      <c r="E1" s="93" t="s">
        <v>267</v>
      </c>
      <c r="F1" s="103"/>
      <c r="G1" s="104" t="s">
        <v>407</v>
      </c>
      <c r="H1" s="105"/>
    </row>
    <row r="2" spans="1:8" s="96" customFormat="1" ht="20.100000000000001" customHeight="1" x14ac:dyDescent="0.2">
      <c r="A2" s="102" t="s">
        <v>261</v>
      </c>
      <c r="B2" s="102" t="s">
        <v>269</v>
      </c>
      <c r="C2" s="98"/>
      <c r="D2" s="93" t="s">
        <v>6</v>
      </c>
      <c r="E2" s="93" t="s">
        <v>6</v>
      </c>
      <c r="F2" s="103"/>
      <c r="G2" s="104" t="s">
        <v>243</v>
      </c>
      <c r="H2" s="105"/>
    </row>
    <row r="3" spans="1:8" s="96" customFormat="1" ht="20.100000000000001" customHeight="1" x14ac:dyDescent="0.2">
      <c r="A3" s="102" t="s">
        <v>255</v>
      </c>
      <c r="B3" s="102">
        <v>1</v>
      </c>
      <c r="C3" s="98"/>
      <c r="D3" s="93">
        <v>1</v>
      </c>
      <c r="E3" s="93" t="s">
        <v>0</v>
      </c>
      <c r="F3" s="103"/>
      <c r="G3" s="104">
        <v>1</v>
      </c>
      <c r="H3" s="105"/>
    </row>
    <row r="4" spans="1:8" s="96" customFormat="1" ht="20.100000000000001" customHeight="1" x14ac:dyDescent="0.25">
      <c r="A4" s="102" t="s">
        <v>256</v>
      </c>
      <c r="B4" s="102" t="s">
        <v>18</v>
      </c>
      <c r="C4" s="98"/>
      <c r="D4" s="93" t="s">
        <v>0</v>
      </c>
      <c r="E4" s="76" t="s">
        <v>0</v>
      </c>
      <c r="F4" s="103"/>
      <c r="G4" s="104">
        <v>92000000</v>
      </c>
      <c r="H4" s="105"/>
    </row>
    <row r="5" spans="1:8" s="96" customFormat="1" ht="20.100000000000001" customHeight="1" x14ac:dyDescent="0.25">
      <c r="A5" s="102" t="s">
        <v>257</v>
      </c>
      <c r="B5" s="102" t="s">
        <v>18</v>
      </c>
      <c r="C5" s="98"/>
      <c r="D5" s="93" t="s">
        <v>0</v>
      </c>
      <c r="E5" s="76" t="s">
        <v>0</v>
      </c>
      <c r="F5" s="103"/>
      <c r="G5" s="104">
        <v>92999999</v>
      </c>
      <c r="H5" s="105"/>
    </row>
    <row r="6" spans="1:8" s="96" customFormat="1" ht="20.100000000000001" customHeight="1" x14ac:dyDescent="0.2">
      <c r="A6" s="102" t="s">
        <v>258</v>
      </c>
      <c r="B6" s="102" t="s">
        <v>18</v>
      </c>
      <c r="C6" s="98"/>
      <c r="D6" s="93" t="s">
        <v>0</v>
      </c>
      <c r="E6" s="93" t="s">
        <v>0</v>
      </c>
      <c r="F6" s="103"/>
      <c r="G6" s="104" t="s">
        <v>18</v>
      </c>
      <c r="H6" s="105"/>
    </row>
    <row r="7" spans="1:8" s="96" customFormat="1" ht="20.100000000000001" customHeight="1" x14ac:dyDescent="0.2">
      <c r="A7" s="102" t="s">
        <v>259</v>
      </c>
      <c r="B7" s="102" t="s">
        <v>260</v>
      </c>
      <c r="C7" s="98" t="s">
        <v>266</v>
      </c>
      <c r="D7" s="93" t="s">
        <v>0</v>
      </c>
      <c r="E7" s="93" t="s">
        <v>0</v>
      </c>
      <c r="F7" s="103"/>
      <c r="G7" s="104" t="s">
        <v>406</v>
      </c>
      <c r="H7" s="105"/>
    </row>
    <row r="8" spans="1:8" ht="20.100000000000001" customHeight="1" x14ac:dyDescent="0.25">
      <c r="A8" s="106">
        <f>MID($A$2,FIND(":",$A$2,1)+1,FIND("~",$A$2,1)-FIND(":",$A$2,1)-1)+COUNTIF(B$7:B8,"*")-1</f>
        <v>1001</v>
      </c>
      <c r="B8" s="107" t="s">
        <v>262</v>
      </c>
      <c r="C8" s="99" t="s">
        <v>268</v>
      </c>
      <c r="D8" s="94">
        <f>IFERROR(VLOOKUP(C$7&amp;C8,[1]_enum!$A:$D,4,FALSE),"-")</f>
        <v>2</v>
      </c>
      <c r="E8" s="95">
        <v>1</v>
      </c>
      <c r="F8" s="112" t="s">
        <v>426</v>
      </c>
      <c r="G8" s="111">
        <f>IFERROR(INDEX([1]Mail!$A:$A,MATCH(F8,[1]Mail!$B:$B,0),1),"-")</f>
        <v>92000201</v>
      </c>
      <c r="H8" s="108" t="s">
        <v>425</v>
      </c>
    </row>
    <row r="9" spans="1:8" ht="20.100000000000001" customHeight="1" x14ac:dyDescent="0.25">
      <c r="A9" s="109">
        <f>MID($A$2,FIND(":",$A$2,1)+1,FIND("~",$A$2,1)-FIND(":",$A$2,1)-1)+COUNTIF(B$7:B9,"*")-1</f>
        <v>1002</v>
      </c>
      <c r="B9" s="107" t="s">
        <v>263</v>
      </c>
      <c r="C9" s="99" t="s">
        <v>268</v>
      </c>
      <c r="D9" s="94">
        <f>IFERROR(VLOOKUP(C$7&amp;C9,[1]_enum!$A:$D,4,FALSE),"-")</f>
        <v>2</v>
      </c>
      <c r="E9" s="95">
        <v>2</v>
      </c>
      <c r="F9" s="112" t="s">
        <v>427</v>
      </c>
      <c r="G9" s="111">
        <f>IFERROR(INDEX([1]Mail!$A:$A,MATCH(F9,[1]Mail!$B:$B,0),1),"-")</f>
        <v>92000202</v>
      </c>
    </row>
    <row r="10" spans="1:8" ht="20.100000000000001" customHeight="1" x14ac:dyDescent="0.25">
      <c r="A10" s="106">
        <f>MID($A$2,FIND(":",$A$2,1)+1,FIND("~",$A$2,1)-FIND(":",$A$2,1)-1)+COUNTIF(B$7:B10,"*")-1</f>
        <v>1003</v>
      </c>
      <c r="B10" s="107" t="s">
        <v>264</v>
      </c>
      <c r="C10" s="99" t="s">
        <v>268</v>
      </c>
      <c r="D10" s="94">
        <f>IFERROR(VLOOKUP(C$7&amp;C10,[1]_enum!$A:$D,4,FALSE),"-")</f>
        <v>2</v>
      </c>
      <c r="E10" s="95">
        <v>3</v>
      </c>
      <c r="F10" s="112" t="s">
        <v>428</v>
      </c>
      <c r="G10" s="111">
        <f>IFERROR(INDEX([1]Mail!$A:$A,MATCH(F10,[1]Mail!$B:$B,0),1),"-")</f>
        <v>92000203</v>
      </c>
    </row>
    <row r="11" spans="1:8" ht="20.100000000000001" customHeight="1" x14ac:dyDescent="0.25">
      <c r="A11" s="109">
        <f>MID($A$2,FIND(":",$A$2,1)+1,FIND("~",$A$2,1)-FIND(":",$A$2,1)-1)+COUNTIF(B$7:B11,"*")-1</f>
        <v>1004</v>
      </c>
      <c r="B11" s="107" t="s">
        <v>408</v>
      </c>
      <c r="C11" s="99" t="s">
        <v>268</v>
      </c>
      <c r="D11" s="94">
        <f>IFERROR(VLOOKUP(C$7&amp;C11,[1]_enum!$A:$D,4,FALSE),"-")</f>
        <v>2</v>
      </c>
      <c r="E11" s="95">
        <v>4</v>
      </c>
      <c r="F11" s="110" t="s">
        <v>429</v>
      </c>
      <c r="G11" s="111">
        <f>IFERROR(INDEX([1]Mail!$A:$A,MATCH(F11,[1]Mail!$B:$B,0),1),"-")</f>
        <v>92000204</v>
      </c>
    </row>
    <row r="12" spans="1:8" ht="20.100000000000001" customHeight="1" x14ac:dyDescent="0.25">
      <c r="A12" s="106">
        <f>MID($A$2,FIND(":",$A$2,1)+1,FIND("~",$A$2,1)-FIND(":",$A$2,1)-1)+COUNTIF(B$7:B12,"*")-1</f>
        <v>1005</v>
      </c>
      <c r="B12" s="107" t="s">
        <v>409</v>
      </c>
      <c r="C12" s="99" t="s">
        <v>268</v>
      </c>
      <c r="D12" s="94">
        <f>IFERROR(VLOOKUP(C$7&amp;C12,[1]_enum!$A:$D,4,FALSE),"-")</f>
        <v>2</v>
      </c>
      <c r="E12" s="95">
        <v>5</v>
      </c>
      <c r="F12" s="110" t="s">
        <v>430</v>
      </c>
      <c r="G12" s="111">
        <f>IFERROR(INDEX([1]Mail!$A:$A,MATCH(F12,[1]Mail!$B:$B,0),1),"-")</f>
        <v>92000205</v>
      </c>
    </row>
    <row r="13" spans="1:8" ht="20.100000000000001" customHeight="1" x14ac:dyDescent="0.25">
      <c r="A13" s="109">
        <f>MID($A$2,FIND(":",$A$2,1)+1,FIND("~",$A$2,1)-FIND(":",$A$2,1)-1)+COUNTIF(B$7:B13,"*")-1</f>
        <v>1006</v>
      </c>
      <c r="B13" s="107" t="s">
        <v>410</v>
      </c>
      <c r="C13" s="99" t="s">
        <v>268</v>
      </c>
      <c r="D13" s="94">
        <f>IFERROR(VLOOKUP(C$7&amp;C13,[1]_enum!$A:$D,4,FALSE),"-")</f>
        <v>2</v>
      </c>
      <c r="E13" s="95">
        <v>6</v>
      </c>
      <c r="F13" s="110" t="s">
        <v>431</v>
      </c>
      <c r="G13" s="111">
        <f>IFERROR(INDEX([1]Mail!$A:$A,MATCH(F13,[1]Mail!$B:$B,0),1),"-")</f>
        <v>92000206</v>
      </c>
    </row>
    <row r="14" spans="1:8" ht="20.100000000000001" customHeight="1" x14ac:dyDescent="0.25">
      <c r="A14" s="106">
        <f>MID($A$2,FIND(":",$A$2,1)+1,FIND("~",$A$2,1)-FIND(":",$A$2,1)-1)+COUNTIF(B$7:B14,"*")-1</f>
        <v>1007</v>
      </c>
      <c r="B14" s="107" t="s">
        <v>411</v>
      </c>
      <c r="C14" s="99" t="s">
        <v>268</v>
      </c>
      <c r="D14" s="94">
        <f>IFERROR(VLOOKUP(C$7&amp;C14,[1]_enum!$A:$D,4,FALSE),"-")</f>
        <v>2</v>
      </c>
      <c r="E14" s="95">
        <v>7</v>
      </c>
      <c r="F14" s="110" t="s">
        <v>432</v>
      </c>
      <c r="G14" s="111">
        <f>IFERROR(INDEX([1]Mail!$A:$A,MATCH(F14,[1]Mail!$B:$B,0),1),"-")</f>
        <v>92000207</v>
      </c>
    </row>
    <row r="15" spans="1:8" ht="20.100000000000001" customHeight="1" x14ac:dyDescent="0.25">
      <c r="A15" s="109">
        <f>MID($A$2,FIND(":",$A$2,1)+1,FIND("~",$A$2,1)-FIND(":",$A$2,1)-1)+COUNTIF(B$7:B15,"*")-1</f>
        <v>1008</v>
      </c>
      <c r="B15" s="107" t="s">
        <v>412</v>
      </c>
      <c r="C15" s="99" t="s">
        <v>268</v>
      </c>
      <c r="D15" s="94">
        <f>IFERROR(VLOOKUP(C$7&amp;C15,[1]_enum!$A:$D,4,FALSE),"-")</f>
        <v>2</v>
      </c>
      <c r="E15" s="95">
        <v>8</v>
      </c>
      <c r="F15" s="110" t="s">
        <v>433</v>
      </c>
      <c r="G15" s="111">
        <f>IFERROR(INDEX([1]Mail!$A:$A,MATCH(F15,[1]Mail!$B:$B,0),1),"-")</f>
        <v>92000208</v>
      </c>
    </row>
    <row r="16" spans="1:8" ht="20.100000000000001" customHeight="1" x14ac:dyDescent="0.25">
      <c r="A16" s="106">
        <f>MID($A$2,FIND(":",$A$2,1)+1,FIND("~",$A$2,1)-FIND(":",$A$2,1)-1)+COUNTIF(B$7:B16,"*")-1</f>
        <v>1009</v>
      </c>
      <c r="B16" s="107" t="s">
        <v>413</v>
      </c>
      <c r="C16" s="99" t="s">
        <v>268</v>
      </c>
      <c r="D16" s="94">
        <f>IFERROR(VLOOKUP(C$7&amp;C16,[1]_enum!$A:$D,4,FALSE),"-")</f>
        <v>2</v>
      </c>
      <c r="E16" s="95">
        <v>9</v>
      </c>
      <c r="F16" s="110" t="s">
        <v>434</v>
      </c>
      <c r="G16" s="111">
        <f>IFERROR(INDEX([1]Mail!$A:$A,MATCH(F16,[1]Mail!$B:$B,0),1),"-")</f>
        <v>92000209</v>
      </c>
    </row>
    <row r="17" spans="1:7" ht="20.100000000000001" customHeight="1" x14ac:dyDescent="0.25">
      <c r="A17" s="109">
        <f>MID($A$2,FIND(":",$A$2,1)+1,FIND("~",$A$2,1)-FIND(":",$A$2,1)-1)+COUNTIF(B$7:B17,"*")-1</f>
        <v>1010</v>
      </c>
      <c r="B17" s="107" t="s">
        <v>414</v>
      </c>
      <c r="C17" s="99" t="s">
        <v>268</v>
      </c>
      <c r="D17" s="94">
        <f>IFERROR(VLOOKUP(C$7&amp;C17,[1]_enum!$A:$D,4,FALSE),"-")</f>
        <v>2</v>
      </c>
      <c r="E17" s="95">
        <v>10</v>
      </c>
      <c r="F17" s="110" t="s">
        <v>435</v>
      </c>
      <c r="G17" s="111">
        <f>IFERROR(INDEX([1]Mail!$A:$A,MATCH(F17,[1]Mail!$B:$B,0),1),"-")</f>
        <v>92000210</v>
      </c>
    </row>
    <row r="18" spans="1:7" ht="20.100000000000001" customHeight="1" x14ac:dyDescent="0.25">
      <c r="A18" s="106">
        <f>MID($A$2,FIND(":",$A$2,1)+1,FIND("~",$A$2,1)-FIND(":",$A$2,1)-1)+COUNTIF(B$7:B18,"*")-1</f>
        <v>1011</v>
      </c>
      <c r="B18" s="107" t="s">
        <v>415</v>
      </c>
      <c r="C18" s="99" t="s">
        <v>268</v>
      </c>
      <c r="D18" s="94">
        <f>IFERROR(VLOOKUP(C$7&amp;C18,[1]_enum!$A:$D,4,FALSE),"-")</f>
        <v>2</v>
      </c>
      <c r="E18" s="95">
        <v>11</v>
      </c>
      <c r="F18" s="110" t="s">
        <v>436</v>
      </c>
      <c r="G18" s="111">
        <f>IFERROR(INDEX([1]Mail!$A:$A,MATCH(F18,[1]Mail!$B:$B,0),1),"-")</f>
        <v>92000211</v>
      </c>
    </row>
    <row r="19" spans="1:7" ht="20.100000000000001" customHeight="1" x14ac:dyDescent="0.25">
      <c r="A19" s="109">
        <f>MID($A$2,FIND(":",$A$2,1)+1,FIND("~",$A$2,1)-FIND(":",$A$2,1)-1)+COUNTIF(B$7:B19,"*")-1</f>
        <v>1012</v>
      </c>
      <c r="B19" s="107" t="s">
        <v>416</v>
      </c>
      <c r="C19" s="99" t="s">
        <v>268</v>
      </c>
      <c r="D19" s="94">
        <f>IFERROR(VLOOKUP(C$7&amp;C19,[1]_enum!$A:$D,4,FALSE),"-")</f>
        <v>2</v>
      </c>
      <c r="E19" s="95">
        <v>12</v>
      </c>
      <c r="F19" s="110" t="s">
        <v>437</v>
      </c>
      <c r="G19" s="111">
        <f>IFERROR(INDEX([1]Mail!$A:$A,MATCH(F19,[1]Mail!$B:$B,0),1),"-")</f>
        <v>92000212</v>
      </c>
    </row>
    <row r="20" spans="1:7" ht="20.100000000000001" customHeight="1" x14ac:dyDescent="0.25">
      <c r="A20" s="106">
        <f>MID($A$2,FIND(":",$A$2,1)+1,FIND("~",$A$2,1)-FIND(":",$A$2,1)-1)+COUNTIF(B$7:B20,"*")-1</f>
        <v>1013</v>
      </c>
      <c r="B20" s="107" t="s">
        <v>417</v>
      </c>
      <c r="C20" s="99" t="s">
        <v>268</v>
      </c>
      <c r="D20" s="94">
        <f>IFERROR(VLOOKUP(C$7&amp;C20,[1]_enum!$A:$D,4,FALSE),"-")</f>
        <v>2</v>
      </c>
      <c r="E20" s="95">
        <v>13</v>
      </c>
      <c r="F20" s="110" t="s">
        <v>438</v>
      </c>
      <c r="G20" s="111">
        <f>IFERROR(INDEX([1]Mail!$A:$A,MATCH(F20,[1]Mail!$B:$B,0),1),"-")</f>
        <v>92000213</v>
      </c>
    </row>
    <row r="21" spans="1:7" ht="20.100000000000001" customHeight="1" x14ac:dyDescent="0.25">
      <c r="A21" s="109">
        <f>MID($A$2,FIND(":",$A$2,1)+1,FIND("~",$A$2,1)-FIND(":",$A$2,1)-1)+COUNTIF(B$7:B21,"*")-1</f>
        <v>1014</v>
      </c>
      <c r="B21" s="107" t="s">
        <v>418</v>
      </c>
      <c r="C21" s="99" t="s">
        <v>268</v>
      </c>
      <c r="D21" s="94">
        <f>IFERROR(VLOOKUP(C$7&amp;C21,[1]_enum!$A:$D,4,FALSE),"-")</f>
        <v>2</v>
      </c>
      <c r="E21" s="95">
        <v>14</v>
      </c>
      <c r="F21" s="110" t="s">
        <v>439</v>
      </c>
      <c r="G21" s="111">
        <f>IFERROR(INDEX([1]Mail!$A:$A,MATCH(F21,[1]Mail!$B:$B,0),1),"-")</f>
        <v>92000214</v>
      </c>
    </row>
    <row r="22" spans="1:7" ht="20.100000000000001" customHeight="1" x14ac:dyDescent="0.25">
      <c r="A22" s="106">
        <f>MID($A$2,FIND(":",$A$2,1)+1,FIND("~",$A$2,1)-FIND(":",$A$2,1)-1)+COUNTIF(B$7:B22,"*")-1</f>
        <v>1015</v>
      </c>
      <c r="B22" s="107" t="s">
        <v>419</v>
      </c>
      <c r="C22" s="99" t="s">
        <v>268</v>
      </c>
      <c r="D22" s="94">
        <f>IFERROR(VLOOKUP(C$7&amp;C22,[1]_enum!$A:$D,4,FALSE),"-")</f>
        <v>2</v>
      </c>
      <c r="E22" s="95">
        <v>15</v>
      </c>
      <c r="F22" s="110" t="s">
        <v>440</v>
      </c>
      <c r="G22" s="111">
        <f>IFERROR(INDEX([1]Mail!$A:$A,MATCH(F22,[1]Mail!$B:$B,0),1),"-")</f>
        <v>92000215</v>
      </c>
    </row>
    <row r="23" spans="1:7" ht="20.100000000000001" customHeight="1" x14ac:dyDescent="0.25">
      <c r="A23" s="109">
        <f>MID($A$2,FIND(":",$A$2,1)+1,FIND("~",$A$2,1)-FIND(":",$A$2,1)-1)+COUNTIF(B$7:B23,"*")-1</f>
        <v>1016</v>
      </c>
      <c r="B23" s="107" t="s">
        <v>420</v>
      </c>
      <c r="C23" s="99" t="s">
        <v>268</v>
      </c>
      <c r="D23" s="94">
        <f>IFERROR(VLOOKUP(C$7&amp;C23,[1]_enum!$A:$D,4,FALSE),"-")</f>
        <v>2</v>
      </c>
      <c r="E23" s="95">
        <v>16</v>
      </c>
      <c r="F23" s="110" t="s">
        <v>441</v>
      </c>
      <c r="G23" s="111">
        <f>IFERROR(INDEX([1]Mail!$A:$A,MATCH(F23,[1]Mail!$B:$B,0),1),"-")</f>
        <v>92000216</v>
      </c>
    </row>
    <row r="24" spans="1:7" ht="20.100000000000001" customHeight="1" x14ac:dyDescent="0.25">
      <c r="A24" s="106">
        <f>MID($A$2,FIND(":",$A$2,1)+1,FIND("~",$A$2,1)-FIND(":",$A$2,1)-1)+COUNTIF(B$7:B24,"*")-1</f>
        <v>1017</v>
      </c>
      <c r="B24" s="107" t="s">
        <v>421</v>
      </c>
      <c r="C24" s="99" t="s">
        <v>268</v>
      </c>
      <c r="D24" s="94">
        <f>IFERROR(VLOOKUP(C$7&amp;C24,[1]_enum!$A:$D,4,FALSE),"-")</f>
        <v>2</v>
      </c>
      <c r="E24" s="95">
        <v>17</v>
      </c>
      <c r="F24" s="110" t="s">
        <v>442</v>
      </c>
      <c r="G24" s="111">
        <f>IFERROR(INDEX([1]Mail!$A:$A,MATCH(F24,[1]Mail!$B:$B,0),1),"-")</f>
        <v>92000217</v>
      </c>
    </row>
    <row r="25" spans="1:7" ht="20.100000000000001" customHeight="1" x14ac:dyDescent="0.25">
      <c r="A25" s="109">
        <f>MID($A$2,FIND(":",$A$2,1)+1,FIND("~",$A$2,1)-FIND(":",$A$2,1)-1)+COUNTIF(B$7:B25,"*")-1</f>
        <v>1018</v>
      </c>
      <c r="B25" s="107" t="s">
        <v>422</v>
      </c>
      <c r="C25" s="99" t="s">
        <v>268</v>
      </c>
      <c r="D25" s="94">
        <f>IFERROR(VLOOKUP(C$7&amp;C25,[1]_enum!$A:$D,4,FALSE),"-")</f>
        <v>2</v>
      </c>
      <c r="E25" s="95">
        <v>18</v>
      </c>
      <c r="F25" s="110" t="s">
        <v>443</v>
      </c>
      <c r="G25" s="111">
        <f>IFERROR(INDEX([1]Mail!$A:$A,MATCH(F25,[1]Mail!$B:$B,0),1),"-")</f>
        <v>92000218</v>
      </c>
    </row>
    <row r="26" spans="1:7" ht="20.100000000000001" customHeight="1" x14ac:dyDescent="0.25">
      <c r="A26" s="106">
        <f>MID($A$2,FIND(":",$A$2,1)+1,FIND("~",$A$2,1)-FIND(":",$A$2,1)-1)+COUNTIF(B$7:B26,"*")-1</f>
        <v>1019</v>
      </c>
      <c r="B26" s="107" t="s">
        <v>423</v>
      </c>
      <c r="C26" s="99" t="s">
        <v>268</v>
      </c>
      <c r="D26" s="94">
        <f>IFERROR(VLOOKUP(C$7&amp;C26,[1]_enum!$A:$D,4,FALSE),"-")</f>
        <v>2</v>
      </c>
      <c r="E26" s="95">
        <v>19</v>
      </c>
      <c r="F26" s="110" t="s">
        <v>444</v>
      </c>
      <c r="G26" s="111">
        <f>IFERROR(INDEX([1]Mail!$A:$A,MATCH(F26,[1]Mail!$B:$B,0),1),"-")</f>
        <v>92000219</v>
      </c>
    </row>
    <row r="27" spans="1:7" ht="20.100000000000001" customHeight="1" x14ac:dyDescent="0.25">
      <c r="A27" s="109">
        <f>MID($A$2,FIND(":",$A$2,1)+1,FIND("~",$A$2,1)-FIND(":",$A$2,1)-1)+COUNTIF(B$7:B27,"*")-1</f>
        <v>1020</v>
      </c>
      <c r="B27" s="107" t="s">
        <v>424</v>
      </c>
      <c r="C27" s="99" t="s">
        <v>268</v>
      </c>
      <c r="D27" s="94">
        <f>IFERROR(VLOOKUP(C$7&amp;C27,[1]_enum!$A:$D,4,FALSE),"-")</f>
        <v>2</v>
      </c>
      <c r="E27" s="95">
        <v>20</v>
      </c>
      <c r="F27" s="110" t="s">
        <v>445</v>
      </c>
      <c r="G27" s="111">
        <f>IFERROR(INDEX([1]Mail!$A:$A,MATCH(F27,[1]Mail!$B:$B,0),1),"-")</f>
        <v>92000220</v>
      </c>
    </row>
    <row r="28" spans="1:7" ht="20.100000000000001" customHeight="1" x14ac:dyDescent="0.2">
      <c r="A28" s="101"/>
      <c r="B28" s="101"/>
      <c r="C28" s="101"/>
      <c r="D28" s="101"/>
      <c r="E28" s="101"/>
      <c r="F28" s="101"/>
      <c r="G28" s="101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CA63-E867-4E8A-84DD-08ED25E83782}">
  <sheetPr>
    <tabColor rgb="FF00B0F0"/>
  </sheetPr>
  <dimension ref="A1:AK130"/>
  <sheetViews>
    <sheetView tabSelected="1" topLeftCell="A28" zoomScale="85" zoomScaleNormal="85" workbookViewId="0">
      <pane xSplit="7" topLeftCell="H1" activePane="topRight" state="frozen"/>
      <selection pane="topRight" activeCell="I44" sqref="I44"/>
    </sheetView>
  </sheetViews>
  <sheetFormatPr defaultColWidth="9.42578125" defaultRowHeight="13.5" x14ac:dyDescent="0.25"/>
  <cols>
    <col min="1" max="1" width="23.5703125" style="78" bestFit="1" customWidth="1"/>
    <col min="2" max="2" width="9.5703125" style="5" bestFit="1" customWidth="1"/>
    <col min="3" max="3" width="13.5703125" style="5" bestFit="1" customWidth="1"/>
    <col min="4" max="4" width="27.42578125" style="78" customWidth="1"/>
    <col min="5" max="5" width="25.5703125" style="78" bestFit="1" customWidth="1"/>
    <col min="6" max="7" width="9.5703125" style="5" bestFit="1" customWidth="1"/>
    <col min="8" max="8" width="9.85546875" style="78" bestFit="1" customWidth="1"/>
    <col min="9" max="9" width="19.42578125" style="78" bestFit="1" customWidth="1"/>
    <col min="10" max="10" width="14.28515625" style="5" customWidth="1"/>
    <col min="11" max="11" width="15.5703125" style="78" bestFit="1" customWidth="1"/>
    <col min="12" max="12" width="11.7109375" style="78" bestFit="1" customWidth="1"/>
    <col min="13" max="13" width="15.140625" style="78" bestFit="1" customWidth="1"/>
    <col min="14" max="14" width="19.5703125" style="78" bestFit="1" customWidth="1"/>
    <col min="15" max="15" width="12.5703125" style="78" bestFit="1" customWidth="1"/>
    <col min="16" max="16" width="11.5703125" style="78" bestFit="1" customWidth="1"/>
    <col min="17" max="17" width="12.5703125" style="78" bestFit="1" customWidth="1"/>
    <col min="18" max="18" width="9.5703125" style="5" bestFit="1" customWidth="1"/>
    <col min="19" max="19" width="13.5703125" style="5" bestFit="1" customWidth="1"/>
    <col min="20" max="20" width="20.5703125" style="114" customWidth="1"/>
    <col min="21" max="21" width="20.42578125" style="111" customWidth="1"/>
    <col min="22" max="22" width="17" style="111" bestFit="1" customWidth="1"/>
    <col min="23" max="23" width="9.5703125" style="5" bestFit="1" customWidth="1"/>
    <col min="24" max="24" width="13.5703125" style="5" bestFit="1" customWidth="1"/>
    <col min="25" max="25" width="20.5703125" style="114" customWidth="1"/>
    <col min="26" max="26" width="20.42578125" style="111" customWidth="1"/>
    <col min="27" max="27" width="17" style="111" bestFit="1" customWidth="1"/>
    <col min="28" max="28" width="9.5703125" style="5" bestFit="1" customWidth="1"/>
    <col min="29" max="29" width="13.5703125" style="5" bestFit="1" customWidth="1"/>
    <col min="30" max="30" width="20.5703125" style="114" customWidth="1"/>
    <col min="31" max="31" width="20.42578125" style="111" customWidth="1"/>
    <col min="32" max="32" width="17" style="111" bestFit="1" customWidth="1"/>
    <col min="33" max="33" width="9.5703125" style="5" bestFit="1" customWidth="1"/>
    <col min="34" max="34" width="13.5703125" style="5" bestFit="1" customWidth="1"/>
    <col min="35" max="35" width="20.5703125" style="114" customWidth="1"/>
    <col min="36" max="36" width="20.42578125" style="111" customWidth="1"/>
    <col min="37" max="37" width="17" style="111" bestFit="1" customWidth="1"/>
    <col min="38" max="16384" width="9.42578125" style="78"/>
  </cols>
  <sheetData>
    <row r="1" spans="1:37" x14ac:dyDescent="0.25">
      <c r="A1" s="75" t="s">
        <v>5</v>
      </c>
      <c r="B1" s="3"/>
      <c r="C1" s="76" t="s">
        <v>463</v>
      </c>
      <c r="D1" s="10"/>
      <c r="E1" s="77" t="s">
        <v>447</v>
      </c>
      <c r="F1" s="3"/>
      <c r="G1" s="3"/>
      <c r="H1" s="6" t="s">
        <v>448</v>
      </c>
      <c r="I1" s="6" t="s">
        <v>270</v>
      </c>
      <c r="J1" s="3"/>
      <c r="K1" s="6" t="s">
        <v>449</v>
      </c>
      <c r="L1" s="6" t="s">
        <v>471</v>
      </c>
      <c r="M1" s="6" t="s">
        <v>472</v>
      </c>
      <c r="N1" s="6" t="s">
        <v>237</v>
      </c>
      <c r="O1" s="10"/>
      <c r="P1" s="77" t="s">
        <v>451</v>
      </c>
      <c r="Q1" s="6" t="s">
        <v>452</v>
      </c>
      <c r="R1" s="3"/>
      <c r="S1" s="76" t="s">
        <v>467</v>
      </c>
      <c r="T1" s="92"/>
      <c r="U1" s="113" t="s">
        <v>455</v>
      </c>
      <c r="V1" s="76" t="s">
        <v>456</v>
      </c>
      <c r="W1" s="3"/>
      <c r="X1" s="76" t="s">
        <v>468</v>
      </c>
      <c r="Y1" s="92"/>
      <c r="Z1" s="113" t="s">
        <v>457</v>
      </c>
      <c r="AA1" s="76" t="s">
        <v>458</v>
      </c>
      <c r="AB1" s="3"/>
      <c r="AC1" s="76" t="s">
        <v>470</v>
      </c>
      <c r="AD1" s="92"/>
      <c r="AE1" s="113" t="s">
        <v>459</v>
      </c>
      <c r="AF1" s="76" t="s">
        <v>460</v>
      </c>
      <c r="AG1" s="3"/>
      <c r="AH1" s="76" t="s">
        <v>469</v>
      </c>
      <c r="AI1" s="92"/>
      <c r="AJ1" s="113" t="s">
        <v>461</v>
      </c>
      <c r="AK1" s="76" t="s">
        <v>462</v>
      </c>
    </row>
    <row r="2" spans="1:37" x14ac:dyDescent="0.25">
      <c r="A2" s="75" t="s">
        <v>446</v>
      </c>
      <c r="B2" s="3"/>
      <c r="C2" s="76" t="s">
        <v>6</v>
      </c>
      <c r="D2" s="10"/>
      <c r="E2" s="77" t="s">
        <v>243</v>
      </c>
      <c r="F2" s="3"/>
      <c r="G2" s="3"/>
      <c r="H2" s="6" t="s">
        <v>243</v>
      </c>
      <c r="I2" s="6" t="s">
        <v>243</v>
      </c>
      <c r="J2" s="3"/>
      <c r="K2" s="6" t="s">
        <v>243</v>
      </c>
      <c r="L2" s="6" t="s">
        <v>243</v>
      </c>
      <c r="M2" s="6" t="s">
        <v>243</v>
      </c>
      <c r="N2" s="6" t="s">
        <v>244</v>
      </c>
      <c r="O2" s="10"/>
      <c r="P2" s="77" t="s">
        <v>243</v>
      </c>
      <c r="Q2" s="6" t="s">
        <v>243</v>
      </c>
      <c r="R2" s="3"/>
      <c r="S2" s="76" t="s">
        <v>6</v>
      </c>
      <c r="T2" s="92"/>
      <c r="U2" s="113" t="s">
        <v>6</v>
      </c>
      <c r="V2" s="76" t="s">
        <v>243</v>
      </c>
      <c r="W2" s="3"/>
      <c r="X2" s="76" t="s">
        <v>6</v>
      </c>
      <c r="Y2" s="92"/>
      <c r="Z2" s="113" t="s">
        <v>6</v>
      </c>
      <c r="AA2" s="76" t="s">
        <v>243</v>
      </c>
      <c r="AB2" s="3"/>
      <c r="AC2" s="76" t="s">
        <v>6</v>
      </c>
      <c r="AD2" s="92"/>
      <c r="AE2" s="113" t="s">
        <v>6</v>
      </c>
      <c r="AF2" s="76" t="s">
        <v>243</v>
      </c>
      <c r="AG2" s="3"/>
      <c r="AH2" s="76" t="s">
        <v>6</v>
      </c>
      <c r="AI2" s="92"/>
      <c r="AJ2" s="113" t="s">
        <v>6</v>
      </c>
      <c r="AK2" s="76" t="s">
        <v>243</v>
      </c>
    </row>
    <row r="3" spans="1:37" x14ac:dyDescent="0.25">
      <c r="A3" s="75" t="s">
        <v>1</v>
      </c>
      <c r="B3" s="3"/>
      <c r="C3" s="76">
        <v>1</v>
      </c>
      <c r="D3" s="10"/>
      <c r="E3" s="77">
        <v>1</v>
      </c>
      <c r="F3" s="3"/>
      <c r="G3" s="3"/>
      <c r="H3" s="6">
        <v>1</v>
      </c>
      <c r="I3" s="6">
        <v>1</v>
      </c>
      <c r="J3" s="3"/>
      <c r="K3" s="6">
        <v>1</v>
      </c>
      <c r="L3" s="6" t="s">
        <v>18</v>
      </c>
      <c r="M3" s="6" t="s">
        <v>18</v>
      </c>
      <c r="N3" s="6" t="s">
        <v>18</v>
      </c>
      <c r="O3" s="10"/>
      <c r="P3" s="77" t="s">
        <v>0</v>
      </c>
      <c r="Q3" s="6" t="s">
        <v>0</v>
      </c>
      <c r="R3" s="3"/>
      <c r="S3" s="76" t="s">
        <v>0</v>
      </c>
      <c r="T3" s="92"/>
      <c r="U3" s="113" t="s">
        <v>0</v>
      </c>
      <c r="V3" s="76" t="s">
        <v>18</v>
      </c>
      <c r="W3" s="3"/>
      <c r="X3" s="76" t="s">
        <v>0</v>
      </c>
      <c r="Y3" s="92"/>
      <c r="Z3" s="113" t="s">
        <v>0</v>
      </c>
      <c r="AA3" s="76" t="s">
        <v>18</v>
      </c>
      <c r="AB3" s="3"/>
      <c r="AC3" s="76" t="s">
        <v>0</v>
      </c>
      <c r="AD3" s="92"/>
      <c r="AE3" s="113" t="s">
        <v>0</v>
      </c>
      <c r="AF3" s="76" t="s">
        <v>18</v>
      </c>
      <c r="AG3" s="3"/>
      <c r="AH3" s="76" t="s">
        <v>0</v>
      </c>
      <c r="AI3" s="92"/>
      <c r="AJ3" s="113" t="s">
        <v>0</v>
      </c>
      <c r="AK3" s="76" t="s">
        <v>18</v>
      </c>
    </row>
    <row r="4" spans="1:37" x14ac:dyDescent="0.25">
      <c r="A4" s="75" t="s">
        <v>246</v>
      </c>
      <c r="B4" s="3"/>
      <c r="C4" s="76" t="s">
        <v>0</v>
      </c>
      <c r="D4" s="10"/>
      <c r="E4" s="77" t="s">
        <v>18</v>
      </c>
      <c r="F4" s="3"/>
      <c r="G4" s="3"/>
      <c r="H4" s="6" t="s">
        <v>0</v>
      </c>
      <c r="I4" s="6" t="s">
        <v>0</v>
      </c>
      <c r="J4" s="3"/>
      <c r="K4" s="6" t="s">
        <v>18</v>
      </c>
      <c r="L4" s="6" t="s">
        <v>18</v>
      </c>
      <c r="M4" s="6" t="s">
        <v>18</v>
      </c>
      <c r="N4" s="6" t="s">
        <v>18</v>
      </c>
      <c r="O4" s="10"/>
      <c r="P4" s="77" t="s">
        <v>0</v>
      </c>
      <c r="Q4" s="6" t="s">
        <v>0</v>
      </c>
      <c r="R4" s="3"/>
      <c r="S4" s="76" t="s">
        <v>0</v>
      </c>
      <c r="T4" s="92"/>
      <c r="U4" s="113" t="s">
        <v>0</v>
      </c>
      <c r="V4" s="76" t="s">
        <v>18</v>
      </c>
      <c r="W4" s="3"/>
      <c r="X4" s="76" t="s">
        <v>0</v>
      </c>
      <c r="Y4" s="92"/>
      <c r="Z4" s="113" t="s">
        <v>0</v>
      </c>
      <c r="AA4" s="76" t="s">
        <v>18</v>
      </c>
      <c r="AB4" s="3"/>
      <c r="AC4" s="76" t="s">
        <v>0</v>
      </c>
      <c r="AD4" s="92"/>
      <c r="AE4" s="113" t="s">
        <v>0</v>
      </c>
      <c r="AF4" s="76" t="s">
        <v>18</v>
      </c>
      <c r="AG4" s="3"/>
      <c r="AH4" s="76" t="s">
        <v>0</v>
      </c>
      <c r="AI4" s="92"/>
      <c r="AJ4" s="113" t="s">
        <v>0</v>
      </c>
      <c r="AK4" s="76" t="s">
        <v>18</v>
      </c>
    </row>
    <row r="5" spans="1:37" x14ac:dyDescent="0.25">
      <c r="A5" s="75" t="s">
        <v>2</v>
      </c>
      <c r="B5" s="3"/>
      <c r="C5" s="76">
        <f t="array" ref="C5">MIN(IF([1]_enum!$B:$B=B$8,[1]_enum!$D:$D))</f>
        <v>0</v>
      </c>
      <c r="D5" s="10"/>
      <c r="E5" s="77" t="s">
        <v>18</v>
      </c>
      <c r="F5" s="3"/>
      <c r="G5" s="3"/>
      <c r="H5" s="6" t="s">
        <v>18</v>
      </c>
      <c r="I5" s="6">
        <v>1</v>
      </c>
      <c r="J5" s="3"/>
      <c r="K5" s="6">
        <v>0</v>
      </c>
      <c r="L5" s="6" t="s">
        <v>18</v>
      </c>
      <c r="M5" s="6" t="s">
        <v>18</v>
      </c>
      <c r="N5" s="6" t="s">
        <v>18</v>
      </c>
      <c r="O5" s="10"/>
      <c r="P5" s="77">
        <f>IF((LEN(P$8)-LEN(SUBSTITUTE(P$8,CHAR(34),"")))/LEN(CHAR(34))&gt;2,1,INDEX([1]TableIndex!$B:$B,MATCH(SUBSTITUTE(P$8,CHAR(34),""),[1]TableIndex!$A:$A,0),0))</f>
        <v>100000</v>
      </c>
      <c r="Q5" s="6" t="s">
        <v>18</v>
      </c>
      <c r="R5" s="3"/>
      <c r="S5" s="76">
        <f t="array" ref="S5">MIN(IF([1]_enum!$B:$B=R$8,[1]_enum!$D:$D))</f>
        <v>0</v>
      </c>
      <c r="T5" s="92"/>
      <c r="U5" s="113">
        <f>IF((LEN(U$8)-LEN(SUBSTITUTE(U$8,CHAR(34),"")))/LEN(CHAR(34))&gt;2,1,INDEX([1]TableIndex!$B:$B,MATCH(SUBSTITUTE(U$8,CHAR(34),""),[1]TableIndex!$A:$A,0),0))</f>
        <v>1</v>
      </c>
      <c r="V5" s="76" t="s">
        <v>18</v>
      </c>
      <c r="W5" s="3"/>
      <c r="X5" s="76">
        <f t="array" ref="X5">MIN(IF([1]_enum!$B:$B=W$8,[1]_enum!$D:$D))</f>
        <v>0</v>
      </c>
      <c r="Y5" s="92"/>
      <c r="Z5" s="113">
        <f>IF((LEN(Z$8)-LEN(SUBSTITUTE(Z$8,CHAR(34),"")))/LEN(CHAR(34))&gt;2,1,INDEX([1]TableIndex!$B:$B,MATCH(SUBSTITUTE(Z$8,CHAR(34),""),[1]TableIndex!$A:$A,0),0))</f>
        <v>1</v>
      </c>
      <c r="AA5" s="76" t="s">
        <v>18</v>
      </c>
      <c r="AB5" s="3"/>
      <c r="AC5" s="76">
        <f t="array" ref="AC5">MIN(IF([1]_enum!$B:$B=AB$8,[1]_enum!$D:$D))</f>
        <v>0</v>
      </c>
      <c r="AD5" s="92"/>
      <c r="AE5" s="113">
        <f>IF((LEN(AE$8)-LEN(SUBSTITUTE(AE$8,CHAR(34),"")))/LEN(CHAR(34))&gt;2,1,INDEX([1]TableIndex!$B:$B,MATCH(SUBSTITUTE(AE$8,CHAR(34),""),[1]TableIndex!$A:$A,0),0))</f>
        <v>1</v>
      </c>
      <c r="AF5" s="76" t="s">
        <v>18</v>
      </c>
      <c r="AG5" s="3"/>
      <c r="AH5" s="76">
        <f t="array" ref="AH5">MIN(IF([1]_enum!$B:$B=AG$8,[1]_enum!$D:$D))</f>
        <v>0</v>
      </c>
      <c r="AI5" s="92"/>
      <c r="AJ5" s="113">
        <f>IF((LEN(AJ$8)-LEN(SUBSTITUTE(AJ$8,CHAR(34),"")))/LEN(CHAR(34))&gt;2,1,INDEX([1]TableIndex!$B:$B,MATCH(SUBSTITUTE(AJ$8,CHAR(34),""),[1]TableIndex!$A:$A,0),0))</f>
        <v>1</v>
      </c>
      <c r="AK5" s="76" t="s">
        <v>18</v>
      </c>
    </row>
    <row r="6" spans="1:37" x14ac:dyDescent="0.25">
      <c r="A6" s="75" t="s">
        <v>3</v>
      </c>
      <c r="B6" s="3"/>
      <c r="C6" s="76">
        <f t="array" ref="C6">MAX(IF([1]_enum!$B:$B=B$8,[1]_enum!$D:$D))</f>
        <v>2</v>
      </c>
      <c r="D6" s="10"/>
      <c r="E6" s="77" t="s">
        <v>18</v>
      </c>
      <c r="F6" s="3"/>
      <c r="G6" s="3"/>
      <c r="H6" s="6" t="s">
        <v>18</v>
      </c>
      <c r="I6" s="6" t="s">
        <v>18</v>
      </c>
      <c r="J6" s="3"/>
      <c r="K6" s="6">
        <v>2</v>
      </c>
      <c r="L6" s="6" t="s">
        <v>18</v>
      </c>
      <c r="M6" s="6" t="s">
        <v>18</v>
      </c>
      <c r="N6" s="6" t="s">
        <v>18</v>
      </c>
      <c r="O6" s="10"/>
      <c r="P6" s="77">
        <f>IF((LEN(P$8)-LEN(SUBSTITUTE(P$8,CHAR(34),"")))/LEN(CHAR(34))&gt;2,99999999,INDEX([1]TableIndex!$C:$C,MATCH(SUBSTITUTE(P$8,CHAR(34),""),[1]TableIndex!$A:$A,0),0))</f>
        <v>199999</v>
      </c>
      <c r="Q6" s="6" t="s">
        <v>18</v>
      </c>
      <c r="R6" s="3"/>
      <c r="S6" s="76">
        <f t="array" ref="S6">MAX(IF([1]_enum!$B:$B=R$8,[1]_enum!$D:$D))</f>
        <v>2</v>
      </c>
      <c r="T6" s="92"/>
      <c r="U6" s="113">
        <f>IF((LEN(U$8)-LEN(SUBSTITUTE(U$8,CHAR(34),"")))/LEN(CHAR(34))&gt;2,99999999,INDEX([1]TableIndex!$C:$C,MATCH(SUBSTITUTE(U$8,CHAR(34),""),[1]TableIndex!$A:$A,0),0))</f>
        <v>99999999</v>
      </c>
      <c r="V6" s="76" t="s">
        <v>18</v>
      </c>
      <c r="W6" s="3"/>
      <c r="X6" s="76">
        <f t="array" ref="X6">MAX(IF([1]_enum!$B:$B=W$8,[1]_enum!$D:$D))</f>
        <v>2</v>
      </c>
      <c r="Y6" s="92"/>
      <c r="Z6" s="113">
        <f>IF((LEN(Z$8)-LEN(SUBSTITUTE(Z$8,CHAR(34),"")))/LEN(CHAR(34))&gt;2,99999999,INDEX([1]TableIndex!$C:$C,MATCH(SUBSTITUTE(Z$8,CHAR(34),""),[1]TableIndex!$A:$A,0),0))</f>
        <v>99999999</v>
      </c>
      <c r="AA6" s="76" t="s">
        <v>18</v>
      </c>
      <c r="AB6" s="3"/>
      <c r="AC6" s="76">
        <f t="array" ref="AC6">MAX(IF([1]_enum!$B:$B=AB$8,[1]_enum!$D:$D))</f>
        <v>2</v>
      </c>
      <c r="AD6" s="92"/>
      <c r="AE6" s="113">
        <f>IF((LEN(AE$8)-LEN(SUBSTITUTE(AE$8,CHAR(34),"")))/LEN(CHAR(34))&gt;2,99999999,INDEX([1]TableIndex!$C:$C,MATCH(SUBSTITUTE(AE$8,CHAR(34),""),[1]TableIndex!$A:$A,0),0))</f>
        <v>99999999</v>
      </c>
      <c r="AF6" s="76" t="s">
        <v>18</v>
      </c>
      <c r="AG6" s="3"/>
      <c r="AH6" s="76">
        <f t="array" ref="AH6">MAX(IF([1]_enum!$B:$B=AG$8,[1]_enum!$D:$D))</f>
        <v>2</v>
      </c>
      <c r="AI6" s="92"/>
      <c r="AJ6" s="113">
        <f>IF((LEN(AJ$8)-LEN(SUBSTITUTE(AJ$8,CHAR(34),"")))/LEN(CHAR(34))&gt;2,99999999,INDEX([1]TableIndex!$C:$C,MATCH(SUBSTITUTE(AJ$8,CHAR(34),""),[1]TableIndex!$A:$A,0),0))</f>
        <v>99999999</v>
      </c>
      <c r="AK6" s="76" t="s">
        <v>18</v>
      </c>
    </row>
    <row r="7" spans="1:37" x14ac:dyDescent="0.25">
      <c r="A7" s="75" t="s">
        <v>4</v>
      </c>
      <c r="B7" s="3"/>
      <c r="C7" s="76" t="s">
        <v>0</v>
      </c>
      <c r="D7" s="10"/>
      <c r="E7" s="77" t="s">
        <v>18</v>
      </c>
      <c r="F7" s="3"/>
      <c r="G7" s="3"/>
      <c r="H7" s="6" t="s">
        <v>18</v>
      </c>
      <c r="I7" s="6" t="s">
        <v>18</v>
      </c>
      <c r="J7" s="3"/>
      <c r="K7" s="6" t="s">
        <v>18</v>
      </c>
      <c r="L7" s="6" t="s">
        <v>18</v>
      </c>
      <c r="M7" s="6" t="s">
        <v>18</v>
      </c>
      <c r="N7" s="6" t="s">
        <v>18</v>
      </c>
      <c r="O7" s="10"/>
      <c r="P7" s="77" t="s">
        <v>18</v>
      </c>
      <c r="Q7" s="6" t="s">
        <v>18</v>
      </c>
      <c r="R7" s="3"/>
      <c r="S7" s="76" t="s">
        <v>0</v>
      </c>
      <c r="T7" s="92"/>
      <c r="U7" s="113" t="s">
        <v>0</v>
      </c>
      <c r="V7" s="76" t="s">
        <v>18</v>
      </c>
      <c r="W7" s="3"/>
      <c r="X7" s="76" t="s">
        <v>0</v>
      </c>
      <c r="Y7" s="92"/>
      <c r="Z7" s="113" t="s">
        <v>0</v>
      </c>
      <c r="AA7" s="76" t="s">
        <v>18</v>
      </c>
      <c r="AB7" s="3"/>
      <c r="AC7" s="76" t="s">
        <v>0</v>
      </c>
      <c r="AD7" s="92"/>
      <c r="AE7" s="113" t="s">
        <v>0</v>
      </c>
      <c r="AF7" s="76" t="s">
        <v>18</v>
      </c>
      <c r="AG7" s="3"/>
      <c r="AH7" s="76" t="s">
        <v>0</v>
      </c>
      <c r="AI7" s="92"/>
      <c r="AJ7" s="113" t="s">
        <v>0</v>
      </c>
      <c r="AK7" s="76" t="s">
        <v>18</v>
      </c>
    </row>
    <row r="8" spans="1:37" x14ac:dyDescent="0.25">
      <c r="A8" s="75" t="s">
        <v>8</v>
      </c>
      <c r="B8" s="3" t="s">
        <v>463</v>
      </c>
      <c r="C8" s="76" t="s">
        <v>0</v>
      </c>
      <c r="D8" s="10"/>
      <c r="E8" s="77" t="s">
        <v>454</v>
      </c>
      <c r="F8" s="3" t="s">
        <v>509</v>
      </c>
      <c r="G8" s="3" t="s">
        <v>491</v>
      </c>
      <c r="H8" s="6" t="s">
        <v>18</v>
      </c>
      <c r="I8" s="6" t="s">
        <v>18</v>
      </c>
      <c r="J8" s="3" t="s">
        <v>449</v>
      </c>
      <c r="K8" s="6" t="s">
        <v>18</v>
      </c>
      <c r="L8" s="6" t="s">
        <v>18</v>
      </c>
      <c r="M8" s="6" t="s">
        <v>18</v>
      </c>
      <c r="N8" s="6" t="s">
        <v>18</v>
      </c>
      <c r="O8" s="10"/>
      <c r="P8" s="77" t="s">
        <v>248</v>
      </c>
      <c r="Q8" s="6" t="s">
        <v>18</v>
      </c>
      <c r="R8" s="3" t="s">
        <v>463</v>
      </c>
      <c r="S8" s="76" t="s">
        <v>0</v>
      </c>
      <c r="T8" s="92"/>
      <c r="U8" s="77" t="s">
        <v>454</v>
      </c>
      <c r="V8" s="76" t="s">
        <v>18</v>
      </c>
      <c r="W8" s="3" t="s">
        <v>463</v>
      </c>
      <c r="X8" s="76" t="s">
        <v>0</v>
      </c>
      <c r="Y8" s="92"/>
      <c r="Z8" s="77" t="s">
        <v>454</v>
      </c>
      <c r="AA8" s="76" t="s">
        <v>18</v>
      </c>
      <c r="AB8" s="3" t="s">
        <v>463</v>
      </c>
      <c r="AC8" s="76" t="s">
        <v>0</v>
      </c>
      <c r="AD8" s="92"/>
      <c r="AE8" s="77" t="s">
        <v>454</v>
      </c>
      <c r="AF8" s="76" t="s">
        <v>18</v>
      </c>
      <c r="AG8" s="3" t="s">
        <v>463</v>
      </c>
      <c r="AH8" s="76" t="s">
        <v>0</v>
      </c>
      <c r="AI8" s="92"/>
      <c r="AJ8" s="77" t="s">
        <v>454</v>
      </c>
      <c r="AK8" s="76" t="s">
        <v>18</v>
      </c>
    </row>
    <row r="9" spans="1:37" x14ac:dyDescent="0.2">
      <c r="A9" s="79">
        <v>2000</v>
      </c>
      <c r="B9" s="82" t="s">
        <v>464</v>
      </c>
      <c r="C9" s="11">
        <f>IFERROR(VLOOKUP(B$8&amp;B9,[1]_enum!$A:$D,4,FALSE),"-")</f>
        <v>0</v>
      </c>
      <c r="D9" s="83" t="s">
        <v>492</v>
      </c>
      <c r="E9" s="115">
        <f>IFERROR(IF(C9=0,INDEX([1]ShipSlot!$A:$A,MATCH(D9,[1]ShipSlot!$C:$C,0)),IF(C9=1,INDEX([1]CEquip!$A:$A,MATCH(D9,[1]CEquip!$B:$B,0)), INDEX([1]Item!$A:$A,MATCH(D9,[1]Item!$B:$B,0)))), "-")</f>
        <v>70100335</v>
      </c>
      <c r="F9" s="82" t="s">
        <v>511</v>
      </c>
      <c r="G9" s="82" t="s">
        <v>495</v>
      </c>
      <c r="H9" s="81">
        <v>1800</v>
      </c>
      <c r="I9" s="81">
        <v>2</v>
      </c>
      <c r="J9" s="82" t="s">
        <v>593</v>
      </c>
      <c r="K9" s="81">
        <f>IFERROR(VLOOKUP(J$8&amp;J9,[1]_enum!$A:$D,4,FALSE),"-")</f>
        <v>0</v>
      </c>
      <c r="L9" s="81">
        <v>100</v>
      </c>
      <c r="M9" s="81">
        <v>100</v>
      </c>
      <c r="N9" s="81">
        <v>1111111</v>
      </c>
      <c r="O9" s="83" t="s">
        <v>450</v>
      </c>
      <c r="P9" s="84">
        <f>IFERROR(INDEX([1]Point!$A:$A,MATCH(O9,[1]Point!$B:$B,0),1),"-")</f>
        <v>100001</v>
      </c>
      <c r="Q9" s="81">
        <v>360000</v>
      </c>
      <c r="R9" s="82" t="s">
        <v>466</v>
      </c>
      <c r="S9" s="11">
        <f>IFERROR(VLOOKUP(R$8&amp;R9,[1]_enum!$A:$D,4,FALSE),"-")</f>
        <v>2</v>
      </c>
      <c r="T9" s="110" t="s">
        <v>619</v>
      </c>
      <c r="U9" s="115">
        <f>IFERROR(IF(S9=0,INDEX([1]ShipSlot!$A:$A,MATCH(T9,[1]ShipSlot!$C:$C,0)),IF(S9=1,INDEX([1]CEquip!$A:$A,MATCH(T9,[1]CEquip!$B:$B,0)), INDEX([1]Item!$A:$A,MATCH(T9,[1]Item!$B:$B,0)))), "-")</f>
        <v>23550013</v>
      </c>
      <c r="V9" s="94">
        <v>10</v>
      </c>
      <c r="W9" s="82" t="s">
        <v>466</v>
      </c>
      <c r="X9" s="11">
        <f>IFERROR(VLOOKUP(W$8&amp;W9,[1]_enum!$A:$D,4,FALSE),"-")</f>
        <v>2</v>
      </c>
      <c r="Y9" s="110" t="s">
        <v>489</v>
      </c>
      <c r="Z9" s="115">
        <f>IFERROR(IF(X9=0,INDEX([1]ShipSlot!$A:$A,MATCH(Y9,[1]ShipSlot!$C:$C,0)),IF(X9=1,INDEX([1]CEquip!$A:$A,MATCH(Y9,[1]CEquip!$B:$B,0)), INDEX([1]Item!$A:$A,MATCH(Y9,[1]Item!$B:$B,0)))), "-")</f>
        <v>23550015</v>
      </c>
      <c r="AA9" s="94">
        <v>100</v>
      </c>
      <c r="AB9" s="82"/>
      <c r="AC9" s="11" t="str">
        <f>IFERROR(VLOOKUP(AB$8&amp;AB9,[1]_enum!$A:$D,4,FALSE),"-")</f>
        <v>-</v>
      </c>
      <c r="AD9" s="110"/>
      <c r="AE9" s="115" t="str">
        <f>IFERROR(IF(AC9=0,INDEX([1]ShipSlot!$A:$A,MATCH(AD9,[1]ShipSlot!$C:$C,0)),IF(AC9=1,INDEX([1]CEquip!$A:$A,MATCH(AD9,[1]CEquip!$B:$B,0)), INDEX([1]Item!$A:$A,MATCH(AD9,[1]Item!$B:$B,0)))), "-")</f>
        <v>-</v>
      </c>
      <c r="AF9" s="94" t="s">
        <v>18</v>
      </c>
      <c r="AG9" s="82"/>
      <c r="AH9" s="11" t="str">
        <f>IFERROR(VLOOKUP(AG$8&amp;AG9,[1]_enum!$A:$D,4,FALSE),"-")</f>
        <v>-</v>
      </c>
      <c r="AI9" s="110" t="s">
        <v>453</v>
      </c>
      <c r="AJ9" s="115" t="str">
        <f>IFERROR(IF(AH9=0,INDEX([1]ShipSlot!$A:$A,MATCH(AI9,[1]ShipSlot!$C:$C,0)),IF(AH9=1,INDEX([1]CEquip!$A:$A,MATCH(AI9,[1]CEquip!$B:$B,0)), INDEX([1]Item!$A:$A,MATCH(AI9,[1]Item!$B:$B,0)))), "-")</f>
        <v>-</v>
      </c>
      <c r="AK9" s="94" t="s">
        <v>18</v>
      </c>
    </row>
    <row r="10" spans="1:37" x14ac:dyDescent="0.2">
      <c r="A10" s="79">
        <v>2001</v>
      </c>
      <c r="B10" s="82" t="s">
        <v>464</v>
      </c>
      <c r="C10" s="11">
        <f>IFERROR(VLOOKUP(B$8&amp;B10,[1]_enum!$A:$D,4,FALSE),"-")</f>
        <v>0</v>
      </c>
      <c r="D10" s="83" t="s">
        <v>493</v>
      </c>
      <c r="E10" s="115">
        <f>IFERROR(IF(C10=0,INDEX([1]ShipSlot!$A:$A,MATCH(D10,[1]ShipSlot!$C:$C,0)),IF(C10=1,INDEX([1]CEquip!$A:$A,MATCH(D10,[1]CEquip!$B:$B,0)), INDEX([1]Item!$A:$A,MATCH(D10,[1]Item!$B:$B,0)))), "-")</f>
        <v>70100739</v>
      </c>
      <c r="F10" s="82" t="s">
        <v>513</v>
      </c>
      <c r="G10" s="82" t="s">
        <v>495</v>
      </c>
      <c r="H10" s="81">
        <v>1800</v>
      </c>
      <c r="I10" s="81">
        <v>2</v>
      </c>
      <c r="J10" s="82" t="s">
        <v>593</v>
      </c>
      <c r="K10" s="81">
        <f>IFERROR(VLOOKUP(J$8&amp;J10,[1]_enum!$A:$D,4,FALSE),"-")</f>
        <v>0</v>
      </c>
      <c r="L10" s="81">
        <v>100</v>
      </c>
      <c r="M10" s="81">
        <v>100</v>
      </c>
      <c r="N10" s="81">
        <v>1111111</v>
      </c>
      <c r="O10" s="83" t="s">
        <v>450</v>
      </c>
      <c r="P10" s="84">
        <f>IFERROR(INDEX([1]Point!$A:$A,MATCH(O10,[1]Point!$B:$B,0),1),"-")</f>
        <v>100001</v>
      </c>
      <c r="Q10" s="81">
        <v>360000</v>
      </c>
      <c r="R10" s="82" t="s">
        <v>466</v>
      </c>
      <c r="S10" s="11">
        <f>IFERROR(VLOOKUP(R$8&amp;R10,[1]_enum!$A:$D,4,FALSE),"-")</f>
        <v>2</v>
      </c>
      <c r="T10" s="110" t="s">
        <v>619</v>
      </c>
      <c r="U10" s="115">
        <f>IFERROR(IF(S10=0,INDEX([1]ShipSlot!$A:$A,MATCH(T10,[1]ShipSlot!$C:$C,0)),IF(S10=1,INDEX([1]CEquip!$A:$A,MATCH(T10,[1]CEquip!$B:$B,0)), INDEX([1]Item!$A:$A,MATCH(T10,[1]Item!$B:$B,0)))), "-")</f>
        <v>23550013</v>
      </c>
      <c r="V10" s="94">
        <v>10</v>
      </c>
      <c r="W10" s="82" t="s">
        <v>466</v>
      </c>
      <c r="X10" s="11">
        <f>IFERROR(VLOOKUP(W$8&amp;W10,[1]_enum!$A:$D,4,FALSE),"-")</f>
        <v>2</v>
      </c>
      <c r="Y10" s="110" t="s">
        <v>488</v>
      </c>
      <c r="Z10" s="115">
        <f>IFERROR(IF(X10=0,INDEX([1]ShipSlot!$A:$A,MATCH(Y10,[1]ShipSlot!$C:$C,0)),IF(X10=1,INDEX([1]CEquip!$A:$A,MATCH(Y10,[1]CEquip!$B:$B,0)), INDEX([1]Item!$A:$A,MATCH(Y10,[1]Item!$B:$B,0)))), "-")</f>
        <v>23550014</v>
      </c>
      <c r="AA10" s="94">
        <v>100</v>
      </c>
      <c r="AB10" s="82"/>
      <c r="AC10" s="11" t="str">
        <f>IFERROR(VLOOKUP(AB$8&amp;AB10,[1]_enum!$A:$D,4,FALSE),"-")</f>
        <v>-</v>
      </c>
      <c r="AD10" s="110"/>
      <c r="AE10" s="115" t="str">
        <f>IFERROR(IF(AC10=0,INDEX([1]ShipSlot!$A:$A,MATCH(AD10,[1]ShipSlot!$C:$C,0)),IF(AC10=1,INDEX([1]CEquip!$A:$A,MATCH(AD10,[1]CEquip!$B:$B,0)), INDEX([1]Item!$A:$A,MATCH(AD10,[1]Item!$B:$B,0)))), "-")</f>
        <v>-</v>
      </c>
      <c r="AF10" s="94" t="s">
        <v>18</v>
      </c>
      <c r="AG10" s="82"/>
      <c r="AH10" s="11" t="str">
        <f>IFERROR(VLOOKUP(AG$8&amp;AG10,[1]_enum!$A:$D,4,FALSE),"-")</f>
        <v>-</v>
      </c>
      <c r="AI10" s="110" t="s">
        <v>453</v>
      </c>
      <c r="AJ10" s="115" t="str">
        <f>IFERROR(IF(AH10=0,INDEX([1]ShipSlot!$A:$A,MATCH(AI10,[1]ShipSlot!$C:$C,0)),IF(AH10=1,INDEX([1]CEquip!$A:$A,MATCH(AI10,[1]CEquip!$B:$B,0)), INDEX([1]Item!$A:$A,MATCH(AI10,[1]Item!$B:$B,0)))), "-")</f>
        <v>-</v>
      </c>
      <c r="AK10" s="94" t="s">
        <v>18</v>
      </c>
    </row>
    <row r="11" spans="1:37" x14ac:dyDescent="0.2">
      <c r="A11" s="79">
        <v>2002</v>
      </c>
      <c r="B11" s="82" t="s">
        <v>464</v>
      </c>
      <c r="C11" s="11">
        <f>IFERROR(VLOOKUP(B$8&amp;B11,[1]_enum!$A:$D,4,FALSE),"-")</f>
        <v>0</v>
      </c>
      <c r="D11" s="83" t="s">
        <v>494</v>
      </c>
      <c r="E11" s="115">
        <f>IFERROR(IF(C11=0,INDEX([1]ShipSlot!$A:$A,MATCH(D11,[1]ShipSlot!$C:$C,0)),IF(C11=1,INDEX([1]CEquip!$A:$A,MATCH(D11,[1]CEquip!$B:$B,0)), INDEX([1]Item!$A:$A,MATCH(D11,[1]Item!$B:$B,0)))), "-")</f>
        <v>70100553</v>
      </c>
      <c r="F11" s="82" t="s">
        <v>515</v>
      </c>
      <c r="G11" s="82" t="s">
        <v>495</v>
      </c>
      <c r="H11" s="81">
        <v>1800</v>
      </c>
      <c r="I11" s="81">
        <v>2</v>
      </c>
      <c r="J11" s="82" t="s">
        <v>593</v>
      </c>
      <c r="K11" s="81">
        <f>IFERROR(VLOOKUP(J$8&amp;J11,[1]_enum!$A:$D,4,FALSE),"-")</f>
        <v>0</v>
      </c>
      <c r="L11" s="81">
        <v>100</v>
      </c>
      <c r="M11" s="81">
        <v>100</v>
      </c>
      <c r="N11" s="81">
        <v>1111111</v>
      </c>
      <c r="O11" s="83" t="s">
        <v>450</v>
      </c>
      <c r="P11" s="84">
        <f>IFERROR(INDEX([1]Point!$A:$A,MATCH(O11,[1]Point!$B:$B,0),1),"-")</f>
        <v>100001</v>
      </c>
      <c r="Q11" s="81">
        <v>360000</v>
      </c>
      <c r="R11" s="82" t="s">
        <v>466</v>
      </c>
      <c r="S11" s="11">
        <f>IFERROR(VLOOKUP(R$8&amp;R11,[1]_enum!$A:$D,4,FALSE),"-")</f>
        <v>2</v>
      </c>
      <c r="T11" s="110" t="s">
        <v>619</v>
      </c>
      <c r="U11" s="115">
        <f>IFERROR(IF(S11=0,INDEX([1]ShipSlot!$A:$A,MATCH(T11,[1]ShipSlot!$C:$C,0)),IF(S11=1,INDEX([1]CEquip!$A:$A,MATCH(T11,[1]CEquip!$B:$B,0)), INDEX([1]Item!$A:$A,MATCH(T11,[1]Item!$B:$B,0)))), "-")</f>
        <v>23550013</v>
      </c>
      <c r="V11" s="94">
        <v>10</v>
      </c>
      <c r="W11" s="82" t="s">
        <v>466</v>
      </c>
      <c r="X11" s="11">
        <f>IFERROR(VLOOKUP(W$8&amp;W11,[1]_enum!$A:$D,4,FALSE),"-")</f>
        <v>2</v>
      </c>
      <c r="Y11" s="110" t="s">
        <v>490</v>
      </c>
      <c r="Z11" s="115">
        <f>IFERROR(IF(X11=0,INDEX([1]ShipSlot!$A:$A,MATCH(Y11,[1]ShipSlot!$C:$C,0)),IF(X11=1,INDEX([1]CEquip!$A:$A,MATCH(Y11,[1]CEquip!$B:$B,0)), INDEX([1]Item!$A:$A,MATCH(Y11,[1]Item!$B:$B,0)))), "-")</f>
        <v>23550016</v>
      </c>
      <c r="AA11" s="94">
        <v>100</v>
      </c>
      <c r="AB11" s="82"/>
      <c r="AC11" s="11" t="str">
        <f>IFERROR(VLOOKUP(AB$8&amp;AB11,[1]_enum!$A:$D,4,FALSE),"-")</f>
        <v>-</v>
      </c>
      <c r="AD11" s="110"/>
      <c r="AE11" s="115" t="str">
        <f>IFERROR(IF(AC11=0,INDEX([1]ShipSlot!$A:$A,MATCH(AD11,[1]ShipSlot!$C:$C,0)),IF(AC11=1,INDEX([1]CEquip!$A:$A,MATCH(AD11,[1]CEquip!$B:$B,0)), INDEX([1]Item!$A:$A,MATCH(AD11,[1]Item!$B:$B,0)))), "-")</f>
        <v>-</v>
      </c>
      <c r="AF11" s="94" t="s">
        <v>18</v>
      </c>
      <c r="AG11" s="82"/>
      <c r="AH11" s="11" t="str">
        <f>IFERROR(VLOOKUP(AG$8&amp;AG11,[1]_enum!$A:$D,4,FALSE),"-")</f>
        <v>-</v>
      </c>
      <c r="AI11" s="110"/>
      <c r="AJ11" s="115" t="str">
        <f>IFERROR(IF(AH11=0,INDEX([1]ShipSlot!$A:$A,MATCH(AI11,[1]ShipSlot!$C:$C,0)),IF(AH11=1,INDEX([1]CEquip!$A:$A,MATCH(AI11,[1]CEquip!$B:$B,0)), INDEX([1]Item!$A:$A,MATCH(AI11,[1]Item!$B:$B,0)))), "-")</f>
        <v>-</v>
      </c>
      <c r="AK11" s="94" t="s">
        <v>18</v>
      </c>
    </row>
    <row r="12" spans="1:37" x14ac:dyDescent="0.2">
      <c r="A12" s="79">
        <v>2003</v>
      </c>
      <c r="B12" s="82" t="s">
        <v>464</v>
      </c>
      <c r="C12" s="11">
        <f>IFERROR(VLOOKUP(B$8&amp;B12,[1]_enum!$A:$D,4,FALSE),"-")</f>
        <v>0</v>
      </c>
      <c r="D12" s="83" t="s">
        <v>496</v>
      </c>
      <c r="E12" s="115">
        <f>IFERROR(IF(C12=0,INDEX([1]ShipSlot!$A:$A,MATCH(D12,[1]ShipSlot!$C:$C,0)),IF(C12=1,INDEX([1]CEquip!$A:$A,MATCH(D12,[1]CEquip!$B:$B,0)), INDEX([1]Item!$A:$A,MATCH(D12,[1]Item!$B:$B,0)))), "-")</f>
        <v>70100329</v>
      </c>
      <c r="F12" s="82" t="s">
        <v>510</v>
      </c>
      <c r="G12" s="82" t="s">
        <v>519</v>
      </c>
      <c r="H12" s="81">
        <v>21600</v>
      </c>
      <c r="I12" s="81">
        <v>5</v>
      </c>
      <c r="J12" s="82" t="s">
        <v>593</v>
      </c>
      <c r="K12" s="81">
        <f>IFERROR(VLOOKUP(J$8&amp;J12,[1]_enum!$A:$D,4,FALSE),"-")</f>
        <v>0</v>
      </c>
      <c r="L12" s="81">
        <v>100</v>
      </c>
      <c r="M12" s="81">
        <v>250</v>
      </c>
      <c r="N12" s="81">
        <v>1111111</v>
      </c>
      <c r="O12" s="83" t="s">
        <v>450</v>
      </c>
      <c r="P12" s="84">
        <f>IFERROR(INDEX([1]Point!$A:$A,MATCH(O12,[1]Point!$B:$B,0),1),"-")</f>
        <v>100001</v>
      </c>
      <c r="Q12" s="81">
        <v>2000000</v>
      </c>
      <c r="R12" s="82" t="s">
        <v>466</v>
      </c>
      <c r="S12" s="11">
        <f>IFERROR(VLOOKUP(R$8&amp;R12,[1]_enum!$A:$D,4,FALSE),"-")</f>
        <v>2</v>
      </c>
      <c r="T12" s="110" t="s">
        <v>622</v>
      </c>
      <c r="U12" s="115">
        <f>IFERROR(IF(S12=0,INDEX([1]ShipSlot!$A:$A,MATCH(T12,[1]ShipSlot!$C:$C,0)),IF(S12=1,INDEX([1]CEquip!$A:$A,MATCH(T12,[1]CEquip!$B:$B,0)), INDEX([1]Item!$A:$A,MATCH(T12,[1]Item!$B:$B,0)))), "-")</f>
        <v>23550017</v>
      </c>
      <c r="V12" s="94">
        <v>10</v>
      </c>
      <c r="W12" s="82" t="s">
        <v>466</v>
      </c>
      <c r="X12" s="11">
        <f>IFERROR(VLOOKUP(W$8&amp;W12,[1]_enum!$A:$D,4,FALSE),"-")</f>
        <v>2</v>
      </c>
      <c r="Y12" s="110" t="s">
        <v>477</v>
      </c>
      <c r="Z12" s="115">
        <f>IFERROR(IF(X12=0,INDEX([1]ShipSlot!$A:$A,MATCH(Y12,[1]ShipSlot!$C:$C,0)),IF(X12=1,INDEX([1]CEquip!$A:$A,MATCH(Y12,[1]CEquip!$B:$B,0)), INDEX([1]Item!$A:$A,MATCH(Y12,[1]Item!$B:$B,0)))), "-")</f>
        <v>23550019</v>
      </c>
      <c r="AA12" s="94">
        <v>100</v>
      </c>
      <c r="AB12" s="82"/>
      <c r="AC12" s="11" t="str">
        <f>IFERROR(VLOOKUP(AB$8&amp;AB12,[1]_enum!$A:$D,4,FALSE),"-")</f>
        <v>-</v>
      </c>
      <c r="AD12" s="110"/>
      <c r="AE12" s="115" t="str">
        <f>IFERROR(IF(AC12=0,INDEX([1]ShipSlot!$A:$A,MATCH(AD12,[1]ShipSlot!$C:$C,0)),IF(AC12=1,INDEX([1]CEquip!$A:$A,MATCH(AD12,[1]CEquip!$B:$B,0)), INDEX([1]Item!$A:$A,MATCH(AD12,[1]Item!$B:$B,0)))), "-")</f>
        <v>-</v>
      </c>
      <c r="AF12" s="94" t="s">
        <v>18</v>
      </c>
      <c r="AG12" s="82"/>
      <c r="AH12" s="11" t="str">
        <f>IFERROR(VLOOKUP(AG$8&amp;AG12,[1]_enum!$A:$D,4,FALSE),"-")</f>
        <v>-</v>
      </c>
      <c r="AI12" s="110"/>
      <c r="AJ12" s="115" t="str">
        <f>IFERROR(IF(AH12=0,INDEX([1]ShipSlot!$A:$A,MATCH(AI12,[1]ShipSlot!$C:$C,0)),IF(AH12=1,INDEX([1]CEquip!$A:$A,MATCH(AI12,[1]CEquip!$B:$B,0)), INDEX([1]Item!$A:$A,MATCH(AI12,[1]Item!$B:$B,0)))), "-")</f>
        <v>-</v>
      </c>
      <c r="AK12" s="94" t="s">
        <v>18</v>
      </c>
    </row>
    <row r="13" spans="1:37" x14ac:dyDescent="0.2">
      <c r="A13" s="79">
        <v>2004</v>
      </c>
      <c r="B13" s="82" t="s">
        <v>464</v>
      </c>
      <c r="C13" s="11">
        <f>IFERROR(VLOOKUP(B$8&amp;B13,[1]_enum!$A:$D,4,FALSE),"-")</f>
        <v>0</v>
      </c>
      <c r="D13" s="89" t="s">
        <v>497</v>
      </c>
      <c r="E13" s="115">
        <f>IFERROR(IF(C13=0,INDEX([1]ShipSlot!$A:$A,MATCH(D13,[1]ShipSlot!$C:$C,0)),IF(C13=1,INDEX([1]CEquip!$A:$A,MATCH(D13,[1]CEquip!$B:$B,0)), INDEX([1]Item!$A:$A,MATCH(D13,[1]Item!$B:$B,0)))), "-")</f>
        <v>70100330</v>
      </c>
      <c r="F13" s="82" t="s">
        <v>510</v>
      </c>
      <c r="G13" s="82" t="s">
        <v>519</v>
      </c>
      <c r="H13" s="81">
        <v>21600</v>
      </c>
      <c r="I13" s="81">
        <v>5</v>
      </c>
      <c r="J13" s="82" t="s">
        <v>593</v>
      </c>
      <c r="K13" s="81">
        <f>IFERROR(VLOOKUP(J$8&amp;J13,[1]_enum!$A:$D,4,FALSE),"-")</f>
        <v>0</v>
      </c>
      <c r="L13" s="81">
        <v>100</v>
      </c>
      <c r="M13" s="81">
        <v>250</v>
      </c>
      <c r="N13" s="81">
        <v>1111111</v>
      </c>
      <c r="O13" s="83" t="s">
        <v>450</v>
      </c>
      <c r="P13" s="84">
        <f>IFERROR(INDEX([1]Point!$A:$A,MATCH(O13,[1]Point!$B:$B,0),1),"-")</f>
        <v>100001</v>
      </c>
      <c r="Q13" s="81">
        <v>2000000</v>
      </c>
      <c r="R13" s="82" t="s">
        <v>466</v>
      </c>
      <c r="S13" s="11">
        <f>IFERROR(VLOOKUP(R$8&amp;R13,[1]_enum!$A:$D,4,FALSE),"-")</f>
        <v>2</v>
      </c>
      <c r="T13" s="110" t="s">
        <v>622</v>
      </c>
      <c r="U13" s="115">
        <f>IFERROR(IF(S13=0,INDEX([1]ShipSlot!$A:$A,MATCH(T13,[1]ShipSlot!$C:$C,0)),IF(S13=1,INDEX([1]CEquip!$A:$A,MATCH(T13,[1]CEquip!$B:$B,0)), INDEX([1]Item!$A:$A,MATCH(T13,[1]Item!$B:$B,0)))), "-")</f>
        <v>23550017</v>
      </c>
      <c r="V13" s="94">
        <v>10</v>
      </c>
      <c r="W13" s="82" t="s">
        <v>466</v>
      </c>
      <c r="X13" s="11">
        <f>IFERROR(VLOOKUP(W$8&amp;W13,[1]_enum!$A:$D,4,FALSE),"-")</f>
        <v>2</v>
      </c>
      <c r="Y13" s="110" t="s">
        <v>477</v>
      </c>
      <c r="Z13" s="115">
        <f>IFERROR(IF(X13=0,INDEX([1]ShipSlot!$A:$A,MATCH(Y13,[1]ShipSlot!$C:$C,0)),IF(X13=1,INDEX([1]CEquip!$A:$A,MATCH(Y13,[1]CEquip!$B:$B,0)), INDEX([1]Item!$A:$A,MATCH(Y13,[1]Item!$B:$B,0)))), "-")</f>
        <v>23550019</v>
      </c>
      <c r="AA13" s="94">
        <v>100</v>
      </c>
      <c r="AB13" s="82"/>
      <c r="AC13" s="11" t="str">
        <f>IFERROR(VLOOKUP(AB$8&amp;AB13,[1]_enum!$A:$D,4,FALSE),"-")</f>
        <v>-</v>
      </c>
      <c r="AD13" s="110"/>
      <c r="AE13" s="115" t="str">
        <f>IFERROR(IF(AC13=0,INDEX([1]ShipSlot!$A:$A,MATCH(AD13,[1]ShipSlot!$C:$C,0)),IF(AC13=1,INDEX([1]CEquip!$A:$A,MATCH(AD13,[1]CEquip!$B:$B,0)), INDEX([1]Item!$A:$A,MATCH(AD13,[1]Item!$B:$B,0)))), "-")</f>
        <v>-</v>
      </c>
      <c r="AF13" s="94" t="s">
        <v>18</v>
      </c>
      <c r="AG13" s="82"/>
      <c r="AH13" s="11" t="str">
        <f>IFERROR(VLOOKUP(AG$8&amp;AG13,[1]_enum!$A:$D,4,FALSE),"-")</f>
        <v>-</v>
      </c>
      <c r="AI13" s="110"/>
      <c r="AJ13" s="115" t="str">
        <f>IFERROR(IF(AH13=0,INDEX([1]ShipSlot!$A:$A,MATCH(AI13,[1]ShipSlot!$C:$C,0)),IF(AH13=1,INDEX([1]CEquip!$A:$A,MATCH(AI13,[1]CEquip!$B:$B,0)), INDEX([1]Item!$A:$A,MATCH(AI13,[1]Item!$B:$B,0)))), "-")</f>
        <v>-</v>
      </c>
      <c r="AK13" s="94" t="s">
        <v>18</v>
      </c>
    </row>
    <row r="14" spans="1:37" x14ac:dyDescent="0.2">
      <c r="A14" s="79">
        <v>2005</v>
      </c>
      <c r="B14" s="82" t="s">
        <v>464</v>
      </c>
      <c r="C14" s="11">
        <f>IFERROR(VLOOKUP(B$8&amp;B14,[1]_enum!$A:$D,4,FALSE),"-")</f>
        <v>0</v>
      </c>
      <c r="D14" s="110" t="s">
        <v>498</v>
      </c>
      <c r="E14" s="115">
        <f>IFERROR(IF(C14=0,INDEX([1]ShipSlot!$A:$A,MATCH(D14,[1]ShipSlot!$C:$C,0)),IF(C14=1,INDEX([1]CEquip!$A:$A,MATCH(D14,[1]CEquip!$B:$B,0)), INDEX([1]Item!$A:$A,MATCH(D14,[1]Item!$B:$B,0)))), "-")</f>
        <v>70100331</v>
      </c>
      <c r="F14" s="82" t="s">
        <v>510</v>
      </c>
      <c r="G14" s="82" t="s">
        <v>519</v>
      </c>
      <c r="H14" s="81">
        <v>21600</v>
      </c>
      <c r="I14" s="81">
        <v>5</v>
      </c>
      <c r="J14" s="82" t="s">
        <v>593</v>
      </c>
      <c r="K14" s="81">
        <f>IFERROR(VLOOKUP(J$8&amp;J14,[1]_enum!$A:$D,4,FALSE),"-")</f>
        <v>0</v>
      </c>
      <c r="L14" s="81">
        <v>100</v>
      </c>
      <c r="M14" s="81">
        <v>250</v>
      </c>
      <c r="N14" s="81">
        <v>1111111</v>
      </c>
      <c r="O14" s="83" t="s">
        <v>450</v>
      </c>
      <c r="P14" s="84">
        <f>IFERROR(INDEX([1]Point!$A:$A,MATCH(O14,[1]Point!$B:$B,0),1),"-")</f>
        <v>100001</v>
      </c>
      <c r="Q14" s="81">
        <v>2000000</v>
      </c>
      <c r="R14" s="82" t="s">
        <v>466</v>
      </c>
      <c r="S14" s="11">
        <f>IFERROR(VLOOKUP(R$8&amp;R14,[1]_enum!$A:$D,4,FALSE),"-")</f>
        <v>2</v>
      </c>
      <c r="T14" s="110" t="s">
        <v>622</v>
      </c>
      <c r="U14" s="115">
        <f>IFERROR(IF(S14=0,INDEX([1]ShipSlot!$A:$A,MATCH(T14,[1]ShipSlot!$C:$C,0)),IF(S14=1,INDEX([1]CEquip!$A:$A,MATCH(T14,[1]CEquip!$B:$B,0)), INDEX([1]Item!$A:$A,MATCH(T14,[1]Item!$B:$B,0)))), "-")</f>
        <v>23550017</v>
      </c>
      <c r="V14" s="94">
        <v>10</v>
      </c>
      <c r="W14" s="82" t="s">
        <v>466</v>
      </c>
      <c r="X14" s="11">
        <f>IFERROR(VLOOKUP(W$8&amp;W14,[1]_enum!$A:$D,4,FALSE),"-")</f>
        <v>2</v>
      </c>
      <c r="Y14" s="110" t="s">
        <v>477</v>
      </c>
      <c r="Z14" s="115">
        <f>IFERROR(IF(X14=0,INDEX([1]ShipSlot!$A:$A,MATCH(Y14,[1]ShipSlot!$C:$C,0)),IF(X14=1,INDEX([1]CEquip!$A:$A,MATCH(Y14,[1]CEquip!$B:$B,0)), INDEX([1]Item!$A:$A,MATCH(Y14,[1]Item!$B:$B,0)))), "-")</f>
        <v>23550019</v>
      </c>
      <c r="AA14" s="94">
        <v>100</v>
      </c>
      <c r="AB14" s="82"/>
      <c r="AC14" s="11" t="str">
        <f>IFERROR(VLOOKUP(AB$8&amp;AB14,[1]_enum!$A:$D,4,FALSE),"-")</f>
        <v>-</v>
      </c>
      <c r="AD14" s="110"/>
      <c r="AE14" s="115" t="str">
        <f>IFERROR(IF(AC14=0,INDEX([1]ShipSlot!$A:$A,MATCH(AD14,[1]ShipSlot!$C:$C,0)),IF(AC14=1,INDEX([1]CEquip!$A:$A,MATCH(AD14,[1]CEquip!$B:$B,0)), INDEX([1]Item!$A:$A,MATCH(AD14,[1]Item!$B:$B,0)))), "-")</f>
        <v>-</v>
      </c>
      <c r="AF14" s="94" t="s">
        <v>18</v>
      </c>
      <c r="AG14" s="82"/>
      <c r="AH14" s="11" t="str">
        <f>IFERROR(VLOOKUP(AG$8&amp;AG14,[1]_enum!$A:$D,4,FALSE),"-")</f>
        <v>-</v>
      </c>
      <c r="AI14" s="110"/>
      <c r="AJ14" s="115" t="str">
        <f>IFERROR(IF(AH14=0,INDEX([1]ShipSlot!$A:$A,MATCH(AI14,[1]ShipSlot!$C:$C,0)),IF(AH14=1,INDEX([1]CEquip!$A:$A,MATCH(AI14,[1]CEquip!$B:$B,0)), INDEX([1]Item!$A:$A,MATCH(AI14,[1]Item!$B:$B,0)))), "-")</f>
        <v>-</v>
      </c>
      <c r="AK14" s="94" t="s">
        <v>18</v>
      </c>
    </row>
    <row r="15" spans="1:37" x14ac:dyDescent="0.2">
      <c r="A15" s="79">
        <v>2006</v>
      </c>
      <c r="B15" s="82" t="s">
        <v>464</v>
      </c>
      <c r="C15" s="11">
        <f>IFERROR(VLOOKUP(B$8&amp;B15,[1]_enum!$A:$D,4,FALSE),"-")</f>
        <v>0</v>
      </c>
      <c r="D15" s="83" t="s">
        <v>499</v>
      </c>
      <c r="E15" s="115">
        <f>IFERROR(IF(C15=0,INDEX([1]ShipSlot!$A:$A,MATCH(D15,[1]ShipSlot!$C:$C,0)),IF(C15=1,INDEX([1]CEquip!$A:$A,MATCH(D15,[1]CEquip!$B:$B,0)), INDEX([1]Item!$A:$A,MATCH(D15,[1]Item!$B:$B,0)))), "-")</f>
        <v>70101375</v>
      </c>
      <c r="F15" s="82" t="s">
        <v>516</v>
      </c>
      <c r="G15" s="82" t="s">
        <v>519</v>
      </c>
      <c r="H15" s="81">
        <v>21600</v>
      </c>
      <c r="I15" s="81">
        <v>5</v>
      </c>
      <c r="J15" s="82" t="s">
        <v>593</v>
      </c>
      <c r="K15" s="81">
        <f>IFERROR(VLOOKUP(J$8&amp;J15,[1]_enum!$A:$D,4,FALSE),"-")</f>
        <v>0</v>
      </c>
      <c r="L15" s="81">
        <v>100</v>
      </c>
      <c r="M15" s="81">
        <v>250</v>
      </c>
      <c r="N15" s="81">
        <v>1111111</v>
      </c>
      <c r="O15" s="83" t="s">
        <v>450</v>
      </c>
      <c r="P15" s="84">
        <f>IFERROR(INDEX([1]Point!$A:$A,MATCH(O15,[1]Point!$B:$B,0),1),"-")</f>
        <v>100001</v>
      </c>
      <c r="Q15" s="81">
        <v>2000000</v>
      </c>
      <c r="R15" s="82" t="s">
        <v>466</v>
      </c>
      <c r="S15" s="11">
        <f>IFERROR(VLOOKUP(R$8&amp;R15,[1]_enum!$A:$D,4,FALSE),"-")</f>
        <v>2</v>
      </c>
      <c r="T15" s="110" t="s">
        <v>622</v>
      </c>
      <c r="U15" s="115">
        <f>IFERROR(IF(S15=0,INDEX([1]ShipSlot!$A:$A,MATCH(T15,[1]ShipSlot!$C:$C,0)),IF(S15=1,INDEX([1]CEquip!$A:$A,MATCH(T15,[1]CEquip!$B:$B,0)), INDEX([1]Item!$A:$A,MATCH(T15,[1]Item!$B:$B,0)))), "-")</f>
        <v>23550017</v>
      </c>
      <c r="V15" s="94">
        <v>10</v>
      </c>
      <c r="W15" s="82" t="s">
        <v>466</v>
      </c>
      <c r="X15" s="11">
        <f>IFERROR(VLOOKUP(W$8&amp;W15,[1]_enum!$A:$D,4,FALSE),"-")</f>
        <v>2</v>
      </c>
      <c r="Y15" s="110" t="s">
        <v>476</v>
      </c>
      <c r="Z15" s="115">
        <f>IFERROR(IF(X15=0,INDEX([1]ShipSlot!$A:$A,MATCH(Y15,[1]ShipSlot!$C:$C,0)),IF(X15=1,INDEX([1]CEquip!$A:$A,MATCH(Y15,[1]CEquip!$B:$B,0)), INDEX([1]Item!$A:$A,MATCH(Y15,[1]Item!$B:$B,0)))), "-")</f>
        <v>23550018</v>
      </c>
      <c r="AA15" s="94">
        <v>100</v>
      </c>
      <c r="AB15" s="82"/>
      <c r="AC15" s="11" t="str">
        <f>IFERROR(VLOOKUP(AB$8&amp;AB15,[1]_enum!$A:$D,4,FALSE),"-")</f>
        <v>-</v>
      </c>
      <c r="AD15" s="110"/>
      <c r="AE15" s="115" t="str">
        <f>IFERROR(IF(AC15=0,INDEX([1]ShipSlot!$A:$A,MATCH(AD15,[1]ShipSlot!$C:$C,0)),IF(AC15=1,INDEX([1]CEquip!$A:$A,MATCH(AD15,[1]CEquip!$B:$B,0)), INDEX([1]Item!$A:$A,MATCH(AD15,[1]Item!$B:$B,0)))), "-")</f>
        <v>-</v>
      </c>
      <c r="AF15" s="94" t="s">
        <v>18</v>
      </c>
      <c r="AG15" s="82"/>
      <c r="AH15" s="11" t="str">
        <f>IFERROR(VLOOKUP(AG$8&amp;AG15,[1]_enum!$A:$D,4,FALSE),"-")</f>
        <v>-</v>
      </c>
      <c r="AI15" s="110" t="s">
        <v>453</v>
      </c>
      <c r="AJ15" s="115" t="str">
        <f>IFERROR(IF(AH15=0,INDEX([1]ShipSlot!$A:$A,MATCH(AI15,[1]ShipSlot!$C:$C,0)),IF(AH15=1,INDEX([1]CEquip!$A:$A,MATCH(AI15,[1]CEquip!$B:$B,0)), INDEX([1]Item!$A:$A,MATCH(AI15,[1]Item!$B:$B,0)))), "-")</f>
        <v>-</v>
      </c>
      <c r="AK15" s="94" t="s">
        <v>18</v>
      </c>
    </row>
    <row r="16" spans="1:37" x14ac:dyDescent="0.2">
      <c r="A16" s="79">
        <v>2007</v>
      </c>
      <c r="B16" s="82" t="s">
        <v>464</v>
      </c>
      <c r="C16" s="11">
        <f>IFERROR(VLOOKUP(B$8&amp;B16,[1]_enum!$A:$D,4,FALSE),"-")</f>
        <v>0</v>
      </c>
      <c r="D16" s="83" t="s">
        <v>500</v>
      </c>
      <c r="E16" s="115">
        <f>IFERROR(IF(C16=0,INDEX([1]ShipSlot!$A:$A,MATCH(D16,[1]ShipSlot!$C:$C,0)),IF(C16=1,INDEX([1]CEquip!$A:$A,MATCH(D16,[1]CEquip!$B:$B,0)), INDEX([1]Item!$A:$A,MATCH(D16,[1]Item!$B:$B,0)))), "-")</f>
        <v>70100476</v>
      </c>
      <c r="F16" s="82" t="s">
        <v>517</v>
      </c>
      <c r="G16" s="82" t="s">
        <v>519</v>
      </c>
      <c r="H16" s="81">
        <v>21600</v>
      </c>
      <c r="I16" s="81">
        <v>5</v>
      </c>
      <c r="J16" s="82" t="s">
        <v>593</v>
      </c>
      <c r="K16" s="81">
        <f>IFERROR(VLOOKUP(J$8&amp;J16,[1]_enum!$A:$D,4,FALSE),"-")</f>
        <v>0</v>
      </c>
      <c r="L16" s="81">
        <v>100</v>
      </c>
      <c r="M16" s="81">
        <v>250</v>
      </c>
      <c r="N16" s="81">
        <v>1111111</v>
      </c>
      <c r="O16" s="83" t="s">
        <v>450</v>
      </c>
      <c r="P16" s="84">
        <f>IFERROR(INDEX([1]Point!$A:$A,MATCH(O16,[1]Point!$B:$B,0),1),"-")</f>
        <v>100001</v>
      </c>
      <c r="Q16" s="81">
        <v>2000000</v>
      </c>
      <c r="R16" s="82" t="s">
        <v>466</v>
      </c>
      <c r="S16" s="11">
        <f>IFERROR(VLOOKUP(R$8&amp;R16,[1]_enum!$A:$D,4,FALSE),"-")</f>
        <v>2</v>
      </c>
      <c r="T16" s="110" t="s">
        <v>622</v>
      </c>
      <c r="U16" s="115">
        <f>IFERROR(IF(S16=0,INDEX([1]ShipSlot!$A:$A,MATCH(T16,[1]ShipSlot!$C:$C,0)),IF(S16=1,INDEX([1]CEquip!$A:$A,MATCH(T16,[1]CEquip!$B:$B,0)), INDEX([1]Item!$A:$A,MATCH(T16,[1]Item!$B:$B,0)))), "-")</f>
        <v>23550017</v>
      </c>
      <c r="V16" s="94">
        <v>10</v>
      </c>
      <c r="W16" s="82" t="s">
        <v>466</v>
      </c>
      <c r="X16" s="11">
        <f>IFERROR(VLOOKUP(W$8&amp;W16,[1]_enum!$A:$D,4,FALSE),"-")</f>
        <v>2</v>
      </c>
      <c r="Y16" s="110" t="s">
        <v>478</v>
      </c>
      <c r="Z16" s="115">
        <f>IFERROR(IF(X16=0,INDEX([1]ShipSlot!$A:$A,MATCH(Y16,[1]ShipSlot!$C:$C,0)),IF(X16=1,INDEX([1]CEquip!$A:$A,MATCH(Y16,[1]CEquip!$B:$B,0)), INDEX([1]Item!$A:$A,MATCH(Y16,[1]Item!$B:$B,0)))), "-")</f>
        <v>23550020</v>
      </c>
      <c r="AA16" s="94">
        <v>100</v>
      </c>
      <c r="AB16" s="82"/>
      <c r="AC16" s="11" t="str">
        <f>IFERROR(VLOOKUP(AB$8&amp;AB16,[1]_enum!$A:$D,4,FALSE),"-")</f>
        <v>-</v>
      </c>
      <c r="AD16" s="110"/>
      <c r="AE16" s="115" t="str">
        <f>IFERROR(IF(AC16=0,INDEX([1]ShipSlot!$A:$A,MATCH(AD16,[1]ShipSlot!$C:$C,0)),IF(AC16=1,INDEX([1]CEquip!$A:$A,MATCH(AD16,[1]CEquip!$B:$B,0)), INDEX([1]Item!$A:$A,MATCH(AD16,[1]Item!$B:$B,0)))), "-")</f>
        <v>-</v>
      </c>
      <c r="AF16" s="94" t="s">
        <v>18</v>
      </c>
      <c r="AG16" s="82"/>
      <c r="AH16" s="11" t="str">
        <f>IFERROR(VLOOKUP(AG$8&amp;AG16,[1]_enum!$A:$D,4,FALSE),"-")</f>
        <v>-</v>
      </c>
      <c r="AI16" s="110" t="s">
        <v>453</v>
      </c>
      <c r="AJ16" s="115" t="str">
        <f>IFERROR(IF(AH16=0,INDEX([1]ShipSlot!$A:$A,MATCH(AI16,[1]ShipSlot!$C:$C,0)),IF(AH16=1,INDEX([1]CEquip!$A:$A,MATCH(AI16,[1]CEquip!$B:$B,0)), INDEX([1]Item!$A:$A,MATCH(AI16,[1]Item!$B:$B,0)))), "-")</f>
        <v>-</v>
      </c>
      <c r="AK16" s="94" t="s">
        <v>18</v>
      </c>
    </row>
    <row r="17" spans="1:37" x14ac:dyDescent="0.2">
      <c r="A17" s="79">
        <v>2008</v>
      </c>
      <c r="B17" s="82" t="s">
        <v>464</v>
      </c>
      <c r="C17" s="11">
        <f>IFERROR(VLOOKUP(B$8&amp;B17,[1]_enum!$A:$D,4,FALSE),"-")</f>
        <v>0</v>
      </c>
      <c r="D17" s="83" t="s">
        <v>501</v>
      </c>
      <c r="E17" s="115">
        <f>IFERROR(IF(C17=0,INDEX([1]ShipSlot!$A:$A,MATCH(D17,[1]ShipSlot!$C:$C,0)),IF(C17=1,INDEX([1]CEquip!$A:$A,MATCH(D17,[1]CEquip!$B:$B,0)), INDEX([1]Item!$A:$A,MATCH(D17,[1]Item!$B:$B,0)))), "-")</f>
        <v>70100477</v>
      </c>
      <c r="F17" s="82" t="s">
        <v>517</v>
      </c>
      <c r="G17" s="82" t="s">
        <v>519</v>
      </c>
      <c r="H17" s="81">
        <v>21600</v>
      </c>
      <c r="I17" s="81">
        <v>5</v>
      </c>
      <c r="J17" s="82" t="s">
        <v>593</v>
      </c>
      <c r="K17" s="81">
        <f>IFERROR(VLOOKUP(J$8&amp;J17,[1]_enum!$A:$D,4,FALSE),"-")</f>
        <v>0</v>
      </c>
      <c r="L17" s="81">
        <v>100</v>
      </c>
      <c r="M17" s="81">
        <v>250</v>
      </c>
      <c r="N17" s="81">
        <v>1111111</v>
      </c>
      <c r="O17" s="83" t="s">
        <v>450</v>
      </c>
      <c r="P17" s="84">
        <f>IFERROR(INDEX([1]Point!$A:$A,MATCH(O17,[1]Point!$B:$B,0),1),"-")</f>
        <v>100001</v>
      </c>
      <c r="Q17" s="81">
        <v>2000000</v>
      </c>
      <c r="R17" s="82" t="s">
        <v>466</v>
      </c>
      <c r="S17" s="11">
        <f>IFERROR(VLOOKUP(R$8&amp;R17,[1]_enum!$A:$D,4,FALSE),"-")</f>
        <v>2</v>
      </c>
      <c r="T17" s="110" t="s">
        <v>622</v>
      </c>
      <c r="U17" s="115">
        <f>IFERROR(IF(S17=0,INDEX([1]ShipSlot!$A:$A,MATCH(T17,[1]ShipSlot!$C:$C,0)),IF(S17=1,INDEX([1]CEquip!$A:$A,MATCH(T17,[1]CEquip!$B:$B,0)), INDEX([1]Item!$A:$A,MATCH(T17,[1]Item!$B:$B,0)))), "-")</f>
        <v>23550017</v>
      </c>
      <c r="V17" s="94">
        <v>10</v>
      </c>
      <c r="W17" s="82" t="s">
        <v>466</v>
      </c>
      <c r="X17" s="11">
        <f>IFERROR(VLOOKUP(W$8&amp;W17,[1]_enum!$A:$D,4,FALSE),"-")</f>
        <v>2</v>
      </c>
      <c r="Y17" s="110" t="s">
        <v>478</v>
      </c>
      <c r="Z17" s="115">
        <f>IFERROR(IF(X17=0,INDEX([1]ShipSlot!$A:$A,MATCH(Y17,[1]ShipSlot!$C:$C,0)),IF(X17=1,INDEX([1]CEquip!$A:$A,MATCH(Y17,[1]CEquip!$B:$B,0)), INDEX([1]Item!$A:$A,MATCH(Y17,[1]Item!$B:$B,0)))), "-")</f>
        <v>23550020</v>
      </c>
      <c r="AA17" s="94">
        <v>100</v>
      </c>
      <c r="AB17" s="82"/>
      <c r="AC17" s="11" t="str">
        <f>IFERROR(VLOOKUP(AB$8&amp;AB17,[1]_enum!$A:$D,4,FALSE),"-")</f>
        <v>-</v>
      </c>
      <c r="AD17" s="110"/>
      <c r="AE17" s="115" t="str">
        <f>IFERROR(IF(AC17=0,INDEX([1]ShipSlot!$A:$A,MATCH(AD17,[1]ShipSlot!$C:$C,0)),IF(AC17=1,INDEX([1]CEquip!$A:$A,MATCH(AD17,[1]CEquip!$B:$B,0)), INDEX([1]Item!$A:$A,MATCH(AD17,[1]Item!$B:$B,0)))), "-")</f>
        <v>-</v>
      </c>
      <c r="AF17" s="94" t="s">
        <v>18</v>
      </c>
      <c r="AG17" s="82"/>
      <c r="AH17" s="11" t="str">
        <f>IFERROR(VLOOKUP(AG$8&amp;AG17,[1]_enum!$A:$D,4,FALSE),"-")</f>
        <v>-</v>
      </c>
      <c r="AI17" s="110"/>
      <c r="AJ17" s="115" t="str">
        <f>IFERROR(IF(AH17=0,INDEX([1]ShipSlot!$A:$A,MATCH(AI17,[1]ShipSlot!$C:$C,0)),IF(AH17=1,INDEX([1]CEquip!$A:$A,MATCH(AI17,[1]CEquip!$B:$B,0)), INDEX([1]Item!$A:$A,MATCH(AI17,[1]Item!$B:$B,0)))), "-")</f>
        <v>-</v>
      </c>
      <c r="AK17" s="94" t="s">
        <v>18</v>
      </c>
    </row>
    <row r="18" spans="1:37" x14ac:dyDescent="0.2">
      <c r="A18" s="79">
        <v>2009</v>
      </c>
      <c r="B18" s="82" t="s">
        <v>464</v>
      </c>
      <c r="C18" s="11">
        <f>IFERROR(VLOOKUP(B$8&amp;B18,[1]_enum!$A:$D,4,FALSE),"-")</f>
        <v>0</v>
      </c>
      <c r="D18" s="83" t="s">
        <v>502</v>
      </c>
      <c r="E18" s="115">
        <f>IFERROR(IF(C18=0,INDEX([1]ShipSlot!$A:$A,MATCH(D18,[1]ShipSlot!$C:$C,0)),IF(C18=1,INDEX([1]CEquip!$A:$A,MATCH(D18,[1]CEquip!$B:$B,0)), INDEX([1]Item!$A:$A,MATCH(D18,[1]Item!$B:$B,0)))), "-")</f>
        <v>70100551</v>
      </c>
      <c r="F18" s="82" t="s">
        <v>514</v>
      </c>
      <c r="G18" s="82" t="s">
        <v>519</v>
      </c>
      <c r="H18" s="81">
        <v>21600</v>
      </c>
      <c r="I18" s="81">
        <v>5</v>
      </c>
      <c r="J18" s="82" t="s">
        <v>593</v>
      </c>
      <c r="K18" s="81">
        <f>IFERROR(VLOOKUP(J$8&amp;J18,[1]_enum!$A:$D,4,FALSE),"-")</f>
        <v>0</v>
      </c>
      <c r="L18" s="81">
        <v>100</v>
      </c>
      <c r="M18" s="81">
        <v>250</v>
      </c>
      <c r="N18" s="81">
        <v>1111111</v>
      </c>
      <c r="O18" s="83" t="s">
        <v>450</v>
      </c>
      <c r="P18" s="84">
        <f>IFERROR(INDEX([1]Point!$A:$A,MATCH(O18,[1]Point!$B:$B,0),1),"-")</f>
        <v>100001</v>
      </c>
      <c r="Q18" s="81">
        <v>2000000</v>
      </c>
      <c r="R18" s="82" t="s">
        <v>466</v>
      </c>
      <c r="S18" s="11">
        <f>IFERROR(VLOOKUP(R$8&amp;R18,[1]_enum!$A:$D,4,FALSE),"-")</f>
        <v>2</v>
      </c>
      <c r="T18" s="110" t="s">
        <v>622</v>
      </c>
      <c r="U18" s="115">
        <f>IFERROR(IF(S18=0,INDEX([1]ShipSlot!$A:$A,MATCH(T18,[1]ShipSlot!$C:$C,0)),IF(S18=1,INDEX([1]CEquip!$A:$A,MATCH(T18,[1]CEquip!$B:$B,0)), INDEX([1]Item!$A:$A,MATCH(T18,[1]Item!$B:$B,0)))), "-")</f>
        <v>23550017</v>
      </c>
      <c r="V18" s="94">
        <v>10</v>
      </c>
      <c r="W18" s="82" t="s">
        <v>466</v>
      </c>
      <c r="X18" s="11">
        <f>IFERROR(VLOOKUP(W$8&amp;W18,[1]_enum!$A:$D,4,FALSE),"-")</f>
        <v>2</v>
      </c>
      <c r="Y18" s="110" t="s">
        <v>478</v>
      </c>
      <c r="Z18" s="115">
        <f>IFERROR(IF(X18=0,INDEX([1]ShipSlot!$A:$A,MATCH(Y18,[1]ShipSlot!$C:$C,0)),IF(X18=1,INDEX([1]CEquip!$A:$A,MATCH(Y18,[1]CEquip!$B:$B,0)), INDEX([1]Item!$A:$A,MATCH(Y18,[1]Item!$B:$B,0)))), "-")</f>
        <v>23550020</v>
      </c>
      <c r="AA18" s="94">
        <v>100</v>
      </c>
      <c r="AB18" s="82"/>
      <c r="AC18" s="11" t="str">
        <f>IFERROR(VLOOKUP(AB$8&amp;AB18,[1]_enum!$A:$D,4,FALSE),"-")</f>
        <v>-</v>
      </c>
      <c r="AD18" s="110"/>
      <c r="AE18" s="115" t="str">
        <f>IFERROR(IF(AC18=0,INDEX([1]ShipSlot!$A:$A,MATCH(AD18,[1]ShipSlot!$C:$C,0)),IF(AC18=1,INDEX([1]CEquip!$A:$A,MATCH(AD18,[1]CEquip!$B:$B,0)), INDEX([1]Item!$A:$A,MATCH(AD18,[1]Item!$B:$B,0)))), "-")</f>
        <v>-</v>
      </c>
      <c r="AF18" s="94" t="s">
        <v>18</v>
      </c>
      <c r="AG18" s="82"/>
      <c r="AH18" s="11" t="str">
        <f>IFERROR(VLOOKUP(AG$8&amp;AG18,[1]_enum!$A:$D,4,FALSE),"-")</f>
        <v>-</v>
      </c>
      <c r="AI18" s="110"/>
      <c r="AJ18" s="115" t="str">
        <f>IFERROR(IF(AH18=0,INDEX([1]ShipSlot!$A:$A,MATCH(AI18,[1]ShipSlot!$C:$C,0)),IF(AH18=1,INDEX([1]CEquip!$A:$A,MATCH(AI18,[1]CEquip!$B:$B,0)), INDEX([1]Item!$A:$A,MATCH(AI18,[1]Item!$B:$B,0)))), "-")</f>
        <v>-</v>
      </c>
      <c r="AK18" s="94" t="s">
        <v>18</v>
      </c>
    </row>
    <row r="19" spans="1:37" x14ac:dyDescent="0.2">
      <c r="A19" s="79">
        <v>2010</v>
      </c>
      <c r="B19" s="82" t="s">
        <v>464</v>
      </c>
      <c r="C19" s="11">
        <f>IFERROR(VLOOKUP(B$8&amp;B19,[1]_enum!$A:$D,4,FALSE),"-")</f>
        <v>0</v>
      </c>
      <c r="D19" s="89" t="s">
        <v>503</v>
      </c>
      <c r="E19" s="115">
        <f>IFERROR(IF(C19=0,INDEX([1]ShipSlot!$A:$A,MATCH(D19,[1]ShipSlot!$C:$C,0)),IF(C19=1,INDEX([1]CEquip!$A:$A,MATCH(D19,[1]CEquip!$B:$B,0)), INDEX([1]Item!$A:$A,MATCH(D19,[1]Item!$B:$B,0)))), "-")</f>
        <v>70100734</v>
      </c>
      <c r="F19" s="82" t="s">
        <v>512</v>
      </c>
      <c r="G19" s="82" t="s">
        <v>519</v>
      </c>
      <c r="H19" s="81">
        <v>21600</v>
      </c>
      <c r="I19" s="81">
        <v>5</v>
      </c>
      <c r="J19" s="82" t="s">
        <v>593</v>
      </c>
      <c r="K19" s="81">
        <f>IFERROR(VLOOKUP(J$8&amp;J19,[1]_enum!$A:$D,4,FALSE),"-")</f>
        <v>0</v>
      </c>
      <c r="L19" s="81">
        <v>100</v>
      </c>
      <c r="M19" s="81">
        <v>250</v>
      </c>
      <c r="N19" s="81">
        <v>1111111</v>
      </c>
      <c r="O19" s="83" t="s">
        <v>450</v>
      </c>
      <c r="P19" s="84">
        <f>IFERROR(INDEX([1]Point!$A:$A,MATCH(O19,[1]Point!$B:$B,0),1),"-")</f>
        <v>100001</v>
      </c>
      <c r="Q19" s="81">
        <v>2000000</v>
      </c>
      <c r="R19" s="82" t="s">
        <v>466</v>
      </c>
      <c r="S19" s="11">
        <f>IFERROR(VLOOKUP(R$8&amp;R19,[1]_enum!$A:$D,4,FALSE),"-")</f>
        <v>2</v>
      </c>
      <c r="T19" s="110" t="s">
        <v>622</v>
      </c>
      <c r="U19" s="115">
        <f>IFERROR(IF(S19=0,INDEX([1]ShipSlot!$A:$A,MATCH(T19,[1]ShipSlot!$C:$C,0)),IF(S19=1,INDEX([1]CEquip!$A:$A,MATCH(T19,[1]CEquip!$B:$B,0)), INDEX([1]Item!$A:$A,MATCH(T19,[1]Item!$B:$B,0)))), "-")</f>
        <v>23550017</v>
      </c>
      <c r="V19" s="94">
        <v>10</v>
      </c>
      <c r="W19" s="82" t="s">
        <v>466</v>
      </c>
      <c r="X19" s="11">
        <f>IFERROR(VLOOKUP(W$8&amp;W19,[1]_enum!$A:$D,4,FALSE),"-")</f>
        <v>2</v>
      </c>
      <c r="Y19" s="110" t="s">
        <v>476</v>
      </c>
      <c r="Z19" s="115">
        <f>IFERROR(IF(X19=0,INDEX([1]ShipSlot!$A:$A,MATCH(Y19,[1]ShipSlot!$C:$C,0)),IF(X19=1,INDEX([1]CEquip!$A:$A,MATCH(Y19,[1]CEquip!$B:$B,0)), INDEX([1]Item!$A:$A,MATCH(Y19,[1]Item!$B:$B,0)))), "-")</f>
        <v>23550018</v>
      </c>
      <c r="AA19" s="94">
        <v>100</v>
      </c>
      <c r="AB19" s="82"/>
      <c r="AC19" s="11" t="str">
        <f>IFERROR(VLOOKUP(AB$8&amp;AB19,[1]_enum!$A:$D,4,FALSE),"-")</f>
        <v>-</v>
      </c>
      <c r="AD19" s="110"/>
      <c r="AE19" s="115" t="str">
        <f>IFERROR(IF(AC19=0,INDEX([1]ShipSlot!$A:$A,MATCH(AD19,[1]ShipSlot!$C:$C,0)),IF(AC19=1,INDEX([1]CEquip!$A:$A,MATCH(AD19,[1]CEquip!$B:$B,0)), INDEX([1]Item!$A:$A,MATCH(AD19,[1]Item!$B:$B,0)))), "-")</f>
        <v>-</v>
      </c>
      <c r="AF19" s="94" t="s">
        <v>18</v>
      </c>
      <c r="AG19" s="82"/>
      <c r="AH19" s="11" t="str">
        <f>IFERROR(VLOOKUP(AG$8&amp;AG19,[1]_enum!$A:$D,4,FALSE),"-")</f>
        <v>-</v>
      </c>
      <c r="AI19" s="110"/>
      <c r="AJ19" s="115" t="str">
        <f>IFERROR(IF(AH19=0,INDEX([1]ShipSlot!$A:$A,MATCH(AI19,[1]ShipSlot!$C:$C,0)),IF(AH19=1,INDEX([1]CEquip!$A:$A,MATCH(AI19,[1]CEquip!$B:$B,0)), INDEX([1]Item!$A:$A,MATCH(AI19,[1]Item!$B:$B,0)))), "-")</f>
        <v>-</v>
      </c>
      <c r="AK19" s="94" t="s">
        <v>18</v>
      </c>
    </row>
    <row r="20" spans="1:37" x14ac:dyDescent="0.2">
      <c r="A20" s="79">
        <v>2011</v>
      </c>
      <c r="B20" s="82" t="s">
        <v>464</v>
      </c>
      <c r="C20" s="11">
        <f>IFERROR(VLOOKUP(B$8&amp;B20,[1]_enum!$A:$D,4,FALSE),"-")</f>
        <v>0</v>
      </c>
      <c r="D20" s="110" t="s">
        <v>504</v>
      </c>
      <c r="E20" s="115">
        <f>IFERROR(IF(C20=0,INDEX([1]ShipSlot!$A:$A,MATCH(D20,[1]ShipSlot!$C:$C,0)),IF(C20=1,INDEX([1]CEquip!$A:$A,MATCH(D20,[1]CEquip!$B:$B,0)), INDEX([1]Item!$A:$A,MATCH(D20,[1]Item!$B:$B,0)))), "-")</f>
        <v>70100735</v>
      </c>
      <c r="F20" s="82" t="s">
        <v>512</v>
      </c>
      <c r="G20" s="82" t="s">
        <v>519</v>
      </c>
      <c r="H20" s="81">
        <v>21600</v>
      </c>
      <c r="I20" s="81">
        <v>5</v>
      </c>
      <c r="J20" s="82" t="s">
        <v>593</v>
      </c>
      <c r="K20" s="81">
        <f>IFERROR(VLOOKUP(J$8&amp;J20,[1]_enum!$A:$D,4,FALSE),"-")</f>
        <v>0</v>
      </c>
      <c r="L20" s="81">
        <v>100</v>
      </c>
      <c r="M20" s="81">
        <v>250</v>
      </c>
      <c r="N20" s="81">
        <v>1111111</v>
      </c>
      <c r="O20" s="83" t="s">
        <v>450</v>
      </c>
      <c r="P20" s="84">
        <f>IFERROR(INDEX([1]Point!$A:$A,MATCH(O20,[1]Point!$B:$B,0),1),"-")</f>
        <v>100001</v>
      </c>
      <c r="Q20" s="81">
        <v>2000000</v>
      </c>
      <c r="R20" s="82" t="s">
        <v>466</v>
      </c>
      <c r="S20" s="11">
        <f>IFERROR(VLOOKUP(R$8&amp;R20,[1]_enum!$A:$D,4,FALSE),"-")</f>
        <v>2</v>
      </c>
      <c r="T20" s="110" t="s">
        <v>622</v>
      </c>
      <c r="U20" s="115">
        <f>IFERROR(IF(S20=0,INDEX([1]ShipSlot!$A:$A,MATCH(T20,[1]ShipSlot!$C:$C,0)),IF(S20=1,INDEX([1]CEquip!$A:$A,MATCH(T20,[1]CEquip!$B:$B,0)), INDEX([1]Item!$A:$A,MATCH(T20,[1]Item!$B:$B,0)))), "-")</f>
        <v>23550017</v>
      </c>
      <c r="V20" s="94">
        <v>10</v>
      </c>
      <c r="W20" s="82" t="s">
        <v>466</v>
      </c>
      <c r="X20" s="11">
        <f>IFERROR(VLOOKUP(W$8&amp;W20,[1]_enum!$A:$D,4,FALSE),"-")</f>
        <v>2</v>
      </c>
      <c r="Y20" s="110" t="s">
        <v>476</v>
      </c>
      <c r="Z20" s="115">
        <f>IFERROR(IF(X20=0,INDEX([1]ShipSlot!$A:$A,MATCH(Y20,[1]ShipSlot!$C:$C,0)),IF(X20=1,INDEX([1]CEquip!$A:$A,MATCH(Y20,[1]CEquip!$B:$B,0)), INDEX([1]Item!$A:$A,MATCH(Y20,[1]Item!$B:$B,0)))), "-")</f>
        <v>23550018</v>
      </c>
      <c r="AA20" s="94">
        <v>100</v>
      </c>
      <c r="AB20" s="82"/>
      <c r="AC20" s="11" t="str">
        <f>IFERROR(VLOOKUP(AB$8&amp;AB20,[1]_enum!$A:$D,4,FALSE),"-")</f>
        <v>-</v>
      </c>
      <c r="AD20" s="110"/>
      <c r="AE20" s="115" t="str">
        <f>IFERROR(IF(AC20=0,INDEX([1]ShipSlot!$A:$A,MATCH(AD20,[1]ShipSlot!$C:$C,0)),IF(AC20=1,INDEX([1]CEquip!$A:$A,MATCH(AD20,[1]CEquip!$B:$B,0)), INDEX([1]Item!$A:$A,MATCH(AD20,[1]Item!$B:$B,0)))), "-")</f>
        <v>-</v>
      </c>
      <c r="AF20" s="94" t="s">
        <v>18</v>
      </c>
      <c r="AG20" s="82"/>
      <c r="AH20" s="11" t="str">
        <f>IFERROR(VLOOKUP(AG$8&amp;AG20,[1]_enum!$A:$D,4,FALSE),"-")</f>
        <v>-</v>
      </c>
      <c r="AI20" s="110"/>
      <c r="AJ20" s="115" t="str">
        <f>IFERROR(IF(AH20=0,INDEX([1]ShipSlot!$A:$A,MATCH(AI20,[1]ShipSlot!$C:$C,0)),IF(AH20=1,INDEX([1]CEquip!$A:$A,MATCH(AI20,[1]CEquip!$B:$B,0)), INDEX([1]Item!$A:$A,MATCH(AI20,[1]Item!$B:$B,0)))), "-")</f>
        <v>-</v>
      </c>
      <c r="AK20" s="94" t="s">
        <v>18</v>
      </c>
    </row>
    <row r="21" spans="1:37" x14ac:dyDescent="0.2">
      <c r="A21" s="79">
        <v>2012</v>
      </c>
      <c r="B21" s="82" t="s">
        <v>464</v>
      </c>
      <c r="C21" s="11">
        <f>IFERROR(VLOOKUP(B$8&amp;B21,[1]_enum!$A:$D,4,FALSE),"-")</f>
        <v>0</v>
      </c>
      <c r="D21" s="83" t="s">
        <v>505</v>
      </c>
      <c r="E21" s="115">
        <f>IFERROR(IF(C21=0,INDEX([1]ShipSlot!$A:$A,MATCH(D21,[1]ShipSlot!$C:$C,0)),IF(C21=1,INDEX([1]CEquip!$A:$A,MATCH(D21,[1]CEquip!$B:$B,0)), INDEX([1]Item!$A:$A,MATCH(D21,[1]Item!$B:$B,0)))), "-")</f>
        <v>70101377</v>
      </c>
      <c r="F21" s="82" t="s">
        <v>518</v>
      </c>
      <c r="G21" s="82" t="s">
        <v>519</v>
      </c>
      <c r="H21" s="81">
        <v>21600</v>
      </c>
      <c r="I21" s="81">
        <v>5</v>
      </c>
      <c r="J21" s="82" t="s">
        <v>593</v>
      </c>
      <c r="K21" s="81">
        <f>IFERROR(VLOOKUP(J$8&amp;J21,[1]_enum!$A:$D,4,FALSE),"-")</f>
        <v>0</v>
      </c>
      <c r="L21" s="81">
        <v>100</v>
      </c>
      <c r="M21" s="81">
        <v>250</v>
      </c>
      <c r="N21" s="81">
        <v>1111111</v>
      </c>
      <c r="O21" s="83" t="s">
        <v>450</v>
      </c>
      <c r="P21" s="84">
        <f>IFERROR(INDEX([1]Point!$A:$A,MATCH(O21,[1]Point!$B:$B,0),1),"-")</f>
        <v>100001</v>
      </c>
      <c r="Q21" s="81">
        <v>2000000</v>
      </c>
      <c r="R21" s="82" t="s">
        <v>466</v>
      </c>
      <c r="S21" s="11">
        <f>IFERROR(VLOOKUP(R$8&amp;R21,[1]_enum!$A:$D,4,FALSE),"-")</f>
        <v>2</v>
      </c>
      <c r="T21" s="110" t="s">
        <v>622</v>
      </c>
      <c r="U21" s="115">
        <f>IFERROR(IF(S21=0,INDEX([1]ShipSlot!$A:$A,MATCH(T21,[1]ShipSlot!$C:$C,0)),IF(S21=1,INDEX([1]CEquip!$A:$A,MATCH(T21,[1]CEquip!$B:$B,0)), INDEX([1]Item!$A:$A,MATCH(T21,[1]Item!$B:$B,0)))), "-")</f>
        <v>23550017</v>
      </c>
      <c r="V21" s="94">
        <v>10</v>
      </c>
      <c r="W21" s="82" t="s">
        <v>466</v>
      </c>
      <c r="X21" s="11">
        <f>IFERROR(VLOOKUP(W$8&amp;W21,[1]_enum!$A:$D,4,FALSE),"-")</f>
        <v>2</v>
      </c>
      <c r="Y21" s="110" t="s">
        <v>477</v>
      </c>
      <c r="Z21" s="115">
        <f>IFERROR(IF(X21=0,INDEX([1]ShipSlot!$A:$A,MATCH(Y21,[1]ShipSlot!$C:$C,0)),IF(X21=1,INDEX([1]CEquip!$A:$A,MATCH(Y21,[1]CEquip!$B:$B,0)), INDEX([1]Item!$A:$A,MATCH(Y21,[1]Item!$B:$B,0)))), "-")</f>
        <v>23550019</v>
      </c>
      <c r="AA21" s="94">
        <v>100</v>
      </c>
      <c r="AB21" s="82"/>
      <c r="AC21" s="11" t="str">
        <f>IFERROR(VLOOKUP(AB$8&amp;AB21,[1]_enum!$A:$D,4,FALSE),"-")</f>
        <v>-</v>
      </c>
      <c r="AD21" s="110"/>
      <c r="AE21" s="115" t="str">
        <f>IFERROR(IF(AC21=0,INDEX([1]ShipSlot!$A:$A,MATCH(AD21,[1]ShipSlot!$C:$C,0)),IF(AC21=1,INDEX([1]CEquip!$A:$A,MATCH(AD21,[1]CEquip!$B:$B,0)), INDEX([1]Item!$A:$A,MATCH(AD21,[1]Item!$B:$B,0)))), "-")</f>
        <v>-</v>
      </c>
      <c r="AF21" s="94" t="s">
        <v>18</v>
      </c>
      <c r="AG21" s="82"/>
      <c r="AH21" s="11" t="str">
        <f>IFERROR(VLOOKUP(AG$8&amp;AG21,[1]_enum!$A:$D,4,FALSE),"-")</f>
        <v>-</v>
      </c>
      <c r="AI21" s="110" t="s">
        <v>453</v>
      </c>
      <c r="AJ21" s="115" t="str">
        <f>IFERROR(IF(AH21=0,INDEX([1]ShipSlot!$A:$A,MATCH(AI21,[1]ShipSlot!$C:$C,0)),IF(AH21=1,INDEX([1]CEquip!$A:$A,MATCH(AI21,[1]CEquip!$B:$B,0)), INDEX([1]Item!$A:$A,MATCH(AI21,[1]Item!$B:$B,0)))), "-")</f>
        <v>-</v>
      </c>
      <c r="AK21" s="94" t="s">
        <v>18</v>
      </c>
    </row>
    <row r="22" spans="1:37" x14ac:dyDescent="0.2">
      <c r="A22" s="79">
        <v>2013</v>
      </c>
      <c r="B22" s="82" t="s">
        <v>464</v>
      </c>
      <c r="C22" s="11">
        <f>IFERROR(VLOOKUP(B$8&amp;B22,[1]_enum!$A:$D,4,FALSE),"-")</f>
        <v>0</v>
      </c>
      <c r="D22" s="83" t="s">
        <v>506</v>
      </c>
      <c r="E22" s="115">
        <f>IFERROR(IF(C22=0,INDEX([1]ShipSlot!$A:$A,MATCH(D22,[1]ShipSlot!$C:$C,0)),IF(C22=1,INDEX([1]CEquip!$A:$A,MATCH(D22,[1]CEquip!$B:$B,0)), INDEX([1]Item!$A:$A,MATCH(D22,[1]Item!$B:$B,0)))), "-")</f>
        <v>70101378</v>
      </c>
      <c r="F22" s="82" t="s">
        <v>518</v>
      </c>
      <c r="G22" s="82" t="s">
        <v>519</v>
      </c>
      <c r="H22" s="81">
        <v>21600</v>
      </c>
      <c r="I22" s="81">
        <v>5</v>
      </c>
      <c r="J22" s="82" t="s">
        <v>593</v>
      </c>
      <c r="K22" s="81">
        <f>IFERROR(VLOOKUP(J$8&amp;J22,[1]_enum!$A:$D,4,FALSE),"-")</f>
        <v>0</v>
      </c>
      <c r="L22" s="81">
        <v>100</v>
      </c>
      <c r="M22" s="81">
        <v>250</v>
      </c>
      <c r="N22" s="81">
        <v>1111111</v>
      </c>
      <c r="O22" s="83" t="s">
        <v>450</v>
      </c>
      <c r="P22" s="84">
        <f>IFERROR(INDEX([1]Point!$A:$A,MATCH(O22,[1]Point!$B:$B,0),1),"-")</f>
        <v>100001</v>
      </c>
      <c r="Q22" s="81">
        <v>2000000</v>
      </c>
      <c r="R22" s="82" t="s">
        <v>466</v>
      </c>
      <c r="S22" s="11">
        <f>IFERROR(VLOOKUP(R$8&amp;R22,[1]_enum!$A:$D,4,FALSE),"-")</f>
        <v>2</v>
      </c>
      <c r="T22" s="110" t="s">
        <v>622</v>
      </c>
      <c r="U22" s="115">
        <f>IFERROR(IF(S22=0,INDEX([1]ShipSlot!$A:$A,MATCH(T22,[1]ShipSlot!$C:$C,0)),IF(S22=1,INDEX([1]CEquip!$A:$A,MATCH(T22,[1]CEquip!$B:$B,0)), INDEX([1]Item!$A:$A,MATCH(T22,[1]Item!$B:$B,0)))), "-")</f>
        <v>23550017</v>
      </c>
      <c r="V22" s="94">
        <v>10</v>
      </c>
      <c r="W22" s="82" t="s">
        <v>466</v>
      </c>
      <c r="X22" s="11">
        <f>IFERROR(VLOOKUP(W$8&amp;W22,[1]_enum!$A:$D,4,FALSE),"-")</f>
        <v>2</v>
      </c>
      <c r="Y22" s="110" t="s">
        <v>477</v>
      </c>
      <c r="Z22" s="115">
        <f>IFERROR(IF(X22=0,INDEX([1]ShipSlot!$A:$A,MATCH(Y22,[1]ShipSlot!$C:$C,0)),IF(X22=1,INDEX([1]CEquip!$A:$A,MATCH(Y22,[1]CEquip!$B:$B,0)), INDEX([1]Item!$A:$A,MATCH(Y22,[1]Item!$B:$B,0)))), "-")</f>
        <v>23550019</v>
      </c>
      <c r="AA22" s="94">
        <v>100</v>
      </c>
      <c r="AB22" s="82"/>
      <c r="AC22" s="11" t="str">
        <f>IFERROR(VLOOKUP(AB$8&amp;AB22,[1]_enum!$A:$D,4,FALSE),"-")</f>
        <v>-</v>
      </c>
      <c r="AD22" s="110"/>
      <c r="AE22" s="115" t="str">
        <f>IFERROR(IF(AC22=0,INDEX([1]ShipSlot!$A:$A,MATCH(AD22,[1]ShipSlot!$C:$C,0)),IF(AC22=1,INDEX([1]CEquip!$A:$A,MATCH(AD22,[1]CEquip!$B:$B,0)), INDEX([1]Item!$A:$A,MATCH(AD22,[1]Item!$B:$B,0)))), "-")</f>
        <v>-</v>
      </c>
      <c r="AF22" s="94" t="s">
        <v>18</v>
      </c>
      <c r="AG22" s="82"/>
      <c r="AH22" s="11" t="str">
        <f>IFERROR(VLOOKUP(AG$8&amp;AG22,[1]_enum!$A:$D,4,FALSE),"-")</f>
        <v>-</v>
      </c>
      <c r="AI22" s="110" t="s">
        <v>453</v>
      </c>
      <c r="AJ22" s="115" t="str">
        <f>IFERROR(IF(AH22=0,INDEX([1]ShipSlot!$A:$A,MATCH(AI22,[1]ShipSlot!$C:$C,0)),IF(AH22=1,INDEX([1]CEquip!$A:$A,MATCH(AI22,[1]CEquip!$B:$B,0)), INDEX([1]Item!$A:$A,MATCH(AI22,[1]Item!$B:$B,0)))), "-")</f>
        <v>-</v>
      </c>
      <c r="AK22" s="94" t="s">
        <v>18</v>
      </c>
    </row>
    <row r="23" spans="1:37" x14ac:dyDescent="0.2">
      <c r="A23" s="79">
        <v>2014</v>
      </c>
      <c r="B23" s="82" t="s">
        <v>464</v>
      </c>
      <c r="C23" s="11">
        <f>IFERROR(VLOOKUP(B$8&amp;B23,[1]_enum!$A:$D,4,FALSE),"-")</f>
        <v>0</v>
      </c>
      <c r="D23" s="83" t="s">
        <v>507</v>
      </c>
      <c r="E23" s="115">
        <f>IFERROR(IF(C23=0,INDEX([1]ShipSlot!$A:$A,MATCH(D23,[1]ShipSlot!$C:$C,0)),IF(C23=1,INDEX([1]CEquip!$A:$A,MATCH(D23,[1]CEquip!$B:$B,0)), INDEX([1]Item!$A:$A,MATCH(D23,[1]Item!$B:$B,0)))), "-")</f>
        <v>70101379</v>
      </c>
      <c r="F23" s="82" t="s">
        <v>518</v>
      </c>
      <c r="G23" s="82" t="s">
        <v>519</v>
      </c>
      <c r="H23" s="81">
        <v>21600</v>
      </c>
      <c r="I23" s="81">
        <v>5</v>
      </c>
      <c r="J23" s="82" t="s">
        <v>593</v>
      </c>
      <c r="K23" s="81">
        <f>IFERROR(VLOOKUP(J$8&amp;J23,[1]_enum!$A:$D,4,FALSE),"-")</f>
        <v>0</v>
      </c>
      <c r="L23" s="81">
        <v>100</v>
      </c>
      <c r="M23" s="81">
        <v>250</v>
      </c>
      <c r="N23" s="81">
        <v>1111111</v>
      </c>
      <c r="O23" s="83" t="s">
        <v>450</v>
      </c>
      <c r="P23" s="84">
        <f>IFERROR(INDEX([1]Point!$A:$A,MATCH(O23,[1]Point!$B:$B,0),1),"-")</f>
        <v>100001</v>
      </c>
      <c r="Q23" s="81">
        <v>2000000</v>
      </c>
      <c r="R23" s="82" t="s">
        <v>466</v>
      </c>
      <c r="S23" s="11">
        <f>IFERROR(VLOOKUP(R$8&amp;R23,[1]_enum!$A:$D,4,FALSE),"-")</f>
        <v>2</v>
      </c>
      <c r="T23" s="110" t="s">
        <v>622</v>
      </c>
      <c r="U23" s="115">
        <f>IFERROR(IF(S23=0,INDEX([1]ShipSlot!$A:$A,MATCH(T23,[1]ShipSlot!$C:$C,0)),IF(S23=1,INDEX([1]CEquip!$A:$A,MATCH(T23,[1]CEquip!$B:$B,0)), INDEX([1]Item!$A:$A,MATCH(T23,[1]Item!$B:$B,0)))), "-")</f>
        <v>23550017</v>
      </c>
      <c r="V23" s="94">
        <v>10</v>
      </c>
      <c r="W23" s="82" t="s">
        <v>466</v>
      </c>
      <c r="X23" s="11">
        <f>IFERROR(VLOOKUP(W$8&amp;W23,[1]_enum!$A:$D,4,FALSE),"-")</f>
        <v>2</v>
      </c>
      <c r="Y23" s="110" t="s">
        <v>477</v>
      </c>
      <c r="Z23" s="115">
        <f>IFERROR(IF(X23=0,INDEX([1]ShipSlot!$A:$A,MATCH(Y23,[1]ShipSlot!$C:$C,0)),IF(X23=1,INDEX([1]CEquip!$A:$A,MATCH(Y23,[1]CEquip!$B:$B,0)), INDEX([1]Item!$A:$A,MATCH(Y23,[1]Item!$B:$B,0)))), "-")</f>
        <v>23550019</v>
      </c>
      <c r="AA23" s="94">
        <v>100</v>
      </c>
      <c r="AB23" s="82"/>
      <c r="AC23" s="11" t="str">
        <f>IFERROR(VLOOKUP(AB$8&amp;AB23,[1]_enum!$A:$D,4,FALSE),"-")</f>
        <v>-</v>
      </c>
      <c r="AD23" s="110"/>
      <c r="AE23" s="115" t="str">
        <f>IFERROR(IF(AC23=0,INDEX([1]ShipSlot!$A:$A,MATCH(AD23,[1]ShipSlot!$C:$C,0)),IF(AC23=1,INDEX([1]CEquip!$A:$A,MATCH(AD23,[1]CEquip!$B:$B,0)), INDEX([1]Item!$A:$A,MATCH(AD23,[1]Item!$B:$B,0)))), "-")</f>
        <v>-</v>
      </c>
      <c r="AF23" s="94" t="s">
        <v>18</v>
      </c>
      <c r="AG23" s="82"/>
      <c r="AH23" s="11" t="str">
        <f>IFERROR(VLOOKUP(AG$8&amp;AG23,[1]_enum!$A:$D,4,FALSE),"-")</f>
        <v>-</v>
      </c>
      <c r="AI23" s="110"/>
      <c r="AJ23" s="115" t="str">
        <f>IFERROR(IF(AH23=0,INDEX([1]ShipSlot!$A:$A,MATCH(AI23,[1]ShipSlot!$C:$C,0)),IF(AH23=1,INDEX([1]CEquip!$A:$A,MATCH(AI23,[1]CEquip!$B:$B,0)), INDEX([1]Item!$A:$A,MATCH(AI23,[1]Item!$B:$B,0)))), "-")</f>
        <v>-</v>
      </c>
      <c r="AK23" s="94" t="s">
        <v>18</v>
      </c>
    </row>
    <row r="24" spans="1:37" x14ac:dyDescent="0.2">
      <c r="A24" s="79">
        <v>2015</v>
      </c>
      <c r="B24" s="82" t="s">
        <v>464</v>
      </c>
      <c r="C24" s="11">
        <f>IFERROR(VLOOKUP(B$8&amp;B24,[1]_enum!$A:$D,4,FALSE),"-")</f>
        <v>0</v>
      </c>
      <c r="D24" s="83" t="s">
        <v>508</v>
      </c>
      <c r="E24" s="115">
        <f>IFERROR(IF(C24=0,INDEX([1]ShipSlot!$A:$A,MATCH(D24,[1]ShipSlot!$C:$C,0)),IF(C24=1,INDEX([1]CEquip!$A:$A,MATCH(D24,[1]CEquip!$B:$B,0)), INDEX([1]Item!$A:$A,MATCH(D24,[1]Item!$B:$B,0)))), "-")</f>
        <v>70101380</v>
      </c>
      <c r="F24" s="82" t="s">
        <v>518</v>
      </c>
      <c r="G24" s="82" t="s">
        <v>519</v>
      </c>
      <c r="H24" s="81">
        <v>21600</v>
      </c>
      <c r="I24" s="81">
        <v>5</v>
      </c>
      <c r="J24" s="82" t="s">
        <v>593</v>
      </c>
      <c r="K24" s="81">
        <f>IFERROR(VLOOKUP(J$8&amp;J24,[1]_enum!$A:$D,4,FALSE),"-")</f>
        <v>0</v>
      </c>
      <c r="L24" s="81">
        <v>100</v>
      </c>
      <c r="M24" s="81">
        <v>250</v>
      </c>
      <c r="N24" s="81">
        <v>1111111</v>
      </c>
      <c r="O24" s="83" t="s">
        <v>450</v>
      </c>
      <c r="P24" s="84">
        <f>IFERROR(INDEX([1]Point!$A:$A,MATCH(O24,[1]Point!$B:$B,0),1),"-")</f>
        <v>100001</v>
      </c>
      <c r="Q24" s="81">
        <v>2000000</v>
      </c>
      <c r="R24" s="82" t="s">
        <v>466</v>
      </c>
      <c r="S24" s="11">
        <f>IFERROR(VLOOKUP(R$8&amp;R24,[1]_enum!$A:$D,4,FALSE),"-")</f>
        <v>2</v>
      </c>
      <c r="T24" s="110" t="s">
        <v>622</v>
      </c>
      <c r="U24" s="115">
        <f>IFERROR(IF(S24=0,INDEX([1]ShipSlot!$A:$A,MATCH(T24,[1]ShipSlot!$C:$C,0)),IF(S24=1,INDEX([1]CEquip!$A:$A,MATCH(T24,[1]CEquip!$B:$B,0)), INDEX([1]Item!$A:$A,MATCH(T24,[1]Item!$B:$B,0)))), "-")</f>
        <v>23550017</v>
      </c>
      <c r="V24" s="94">
        <v>10</v>
      </c>
      <c r="W24" s="82" t="s">
        <v>466</v>
      </c>
      <c r="X24" s="11">
        <f>IFERROR(VLOOKUP(W$8&amp;W24,[1]_enum!$A:$D,4,FALSE),"-")</f>
        <v>2</v>
      </c>
      <c r="Y24" s="110" t="s">
        <v>477</v>
      </c>
      <c r="Z24" s="115">
        <f>IFERROR(IF(X24=0,INDEX([1]ShipSlot!$A:$A,MATCH(Y24,[1]ShipSlot!$C:$C,0)),IF(X24=1,INDEX([1]CEquip!$A:$A,MATCH(Y24,[1]CEquip!$B:$B,0)), INDEX([1]Item!$A:$A,MATCH(Y24,[1]Item!$B:$B,0)))), "-")</f>
        <v>23550019</v>
      </c>
      <c r="AA24" s="94">
        <v>100</v>
      </c>
      <c r="AB24" s="82"/>
      <c r="AC24" s="11" t="str">
        <f>IFERROR(VLOOKUP(AB$8&amp;AB24,[1]_enum!$A:$D,4,FALSE),"-")</f>
        <v>-</v>
      </c>
      <c r="AD24" s="110"/>
      <c r="AE24" s="115" t="str">
        <f>IFERROR(IF(AC24=0,INDEX([1]ShipSlot!$A:$A,MATCH(AD24,[1]ShipSlot!$C:$C,0)),IF(AC24=1,INDEX([1]CEquip!$A:$A,MATCH(AD24,[1]CEquip!$B:$B,0)), INDEX([1]Item!$A:$A,MATCH(AD24,[1]Item!$B:$B,0)))), "-")</f>
        <v>-</v>
      </c>
      <c r="AF24" s="94" t="s">
        <v>18</v>
      </c>
      <c r="AG24" s="82"/>
      <c r="AH24" s="11" t="str">
        <f>IFERROR(VLOOKUP(AG$8&amp;AG24,[1]_enum!$A:$D,4,FALSE),"-")</f>
        <v>-</v>
      </c>
      <c r="AI24" s="110"/>
      <c r="AJ24" s="115" t="str">
        <f>IFERROR(IF(AH24=0,INDEX([1]ShipSlot!$A:$A,MATCH(AI24,[1]ShipSlot!$C:$C,0)),IF(AH24=1,INDEX([1]CEquip!$A:$A,MATCH(AI24,[1]CEquip!$B:$B,0)), INDEX([1]Item!$A:$A,MATCH(AI24,[1]Item!$B:$B,0)))), "-")</f>
        <v>-</v>
      </c>
      <c r="AK24" s="94" t="s">
        <v>18</v>
      </c>
    </row>
    <row r="25" spans="1:37" x14ac:dyDescent="0.2">
      <c r="A25" s="79">
        <v>2016</v>
      </c>
      <c r="B25" s="82" t="s">
        <v>464</v>
      </c>
      <c r="C25" s="11">
        <f>IFERROR(VLOOKUP(B$8&amp;B25,[1]_enum!$A:$D,4,FALSE),"-")</f>
        <v>0</v>
      </c>
      <c r="D25" s="89" t="s">
        <v>520</v>
      </c>
      <c r="E25" s="115">
        <f>IFERROR(IF(C25=0,INDEX([1]ShipSlot!$A:$A,MATCH(D25,[1]ShipSlot!$C:$C,0)),IF(C25=1,INDEX([1]CEquip!$A:$A,MATCH(D25,[1]CEquip!$B:$B,0)), INDEX([1]Item!$A:$A,MATCH(D25,[1]Item!$B:$B,0)))), "-")</f>
        <v>70100332</v>
      </c>
      <c r="F25" s="82" t="s">
        <v>510</v>
      </c>
      <c r="G25" s="82" t="s">
        <v>533</v>
      </c>
      <c r="H25" s="81">
        <v>86400</v>
      </c>
      <c r="I25" s="81">
        <v>8</v>
      </c>
      <c r="J25" s="82" t="s">
        <v>593</v>
      </c>
      <c r="K25" s="81">
        <f>IFERROR(VLOOKUP(J$8&amp;J25,[1]_enum!$A:$D,4,FALSE),"-")</f>
        <v>0</v>
      </c>
      <c r="L25" s="81">
        <v>100</v>
      </c>
      <c r="M25" s="81">
        <v>500</v>
      </c>
      <c r="N25" s="81">
        <v>1111111</v>
      </c>
      <c r="O25" s="83" t="s">
        <v>450</v>
      </c>
      <c r="P25" s="84">
        <f>IFERROR(INDEX([1]Point!$A:$A,MATCH(O25,[1]Point!$B:$B,0),1),"-")</f>
        <v>100001</v>
      </c>
      <c r="Q25" s="81">
        <v>7000000</v>
      </c>
      <c r="R25" s="82" t="s">
        <v>466</v>
      </c>
      <c r="S25" s="11">
        <f>IFERROR(VLOOKUP(R$8&amp;R25,[1]_enum!$A:$D,4,FALSE),"-")</f>
        <v>2</v>
      </c>
      <c r="T25" s="110" t="s">
        <v>625</v>
      </c>
      <c r="U25" s="115">
        <f>IFERROR(IF(S25=0,INDEX([1]ShipSlot!$A:$A,MATCH(T25,[1]ShipSlot!$C:$C,0)),IF(S25=1,INDEX([1]CEquip!$A:$A,MATCH(T25,[1]CEquip!$B:$B,0)), INDEX([1]Item!$A:$A,MATCH(T25,[1]Item!$B:$B,0)))), "-")</f>
        <v>23550021</v>
      </c>
      <c r="V25" s="94">
        <v>10</v>
      </c>
      <c r="W25" s="82" t="s">
        <v>466</v>
      </c>
      <c r="X25" s="11">
        <f>IFERROR(VLOOKUP(W$8&amp;W25,[1]_enum!$A:$D,4,FALSE),"-")</f>
        <v>2</v>
      </c>
      <c r="Y25" s="110" t="s">
        <v>483</v>
      </c>
      <c r="Z25" s="115">
        <f>IFERROR(IF(X25=0,INDEX([1]ShipSlot!$A:$A,MATCH(Y25,[1]ShipSlot!$C:$C,0)),IF(X25=1,INDEX([1]CEquip!$A:$A,MATCH(Y25,[1]CEquip!$B:$B,0)), INDEX([1]Item!$A:$A,MATCH(Y25,[1]Item!$B:$B,0)))), "-")</f>
        <v>23550023</v>
      </c>
      <c r="AA25" s="94">
        <v>100</v>
      </c>
      <c r="AB25" s="82"/>
      <c r="AC25" s="11" t="str">
        <f>IFERROR(VLOOKUP(AB$8&amp;AB25,[1]_enum!$A:$D,4,FALSE),"-")</f>
        <v>-</v>
      </c>
      <c r="AD25" s="110"/>
      <c r="AE25" s="115" t="str">
        <f>IFERROR(IF(AC25=0,INDEX([1]ShipSlot!$A:$A,MATCH(AD25,[1]ShipSlot!$C:$C,0)),IF(AC25=1,INDEX([1]CEquip!$A:$A,MATCH(AD25,[1]CEquip!$B:$B,0)), INDEX([1]Item!$A:$A,MATCH(AD25,[1]Item!$B:$B,0)))), "-")</f>
        <v>-</v>
      </c>
      <c r="AF25" s="94" t="s">
        <v>18</v>
      </c>
      <c r="AG25" s="82"/>
      <c r="AH25" s="11" t="str">
        <f>IFERROR(VLOOKUP(AG$8&amp;AG25,[1]_enum!$A:$D,4,FALSE),"-")</f>
        <v>-</v>
      </c>
      <c r="AI25" s="110"/>
      <c r="AJ25" s="115" t="str">
        <f>IFERROR(IF(AH25=0,INDEX([1]ShipSlot!$A:$A,MATCH(AI25,[1]ShipSlot!$C:$C,0)),IF(AH25=1,INDEX([1]CEquip!$A:$A,MATCH(AI25,[1]CEquip!$B:$B,0)), INDEX([1]Item!$A:$A,MATCH(AI25,[1]Item!$B:$B,0)))), "-")</f>
        <v>-</v>
      </c>
      <c r="AK25" s="94" t="s">
        <v>18</v>
      </c>
    </row>
    <row r="26" spans="1:37" x14ac:dyDescent="0.2">
      <c r="A26" s="79">
        <v>2017</v>
      </c>
      <c r="B26" s="82" t="s">
        <v>464</v>
      </c>
      <c r="C26" s="11">
        <f>IFERROR(VLOOKUP(B$8&amp;B26,[1]_enum!$A:$D,4,FALSE),"-")</f>
        <v>0</v>
      </c>
      <c r="D26" s="110" t="s">
        <v>521</v>
      </c>
      <c r="E26" s="115">
        <f>IFERROR(IF(C26=0,INDEX([1]ShipSlot!$A:$A,MATCH(D26,[1]ShipSlot!$C:$C,0)),IF(C26=1,INDEX([1]CEquip!$A:$A,MATCH(D26,[1]CEquip!$B:$B,0)), INDEX([1]Item!$A:$A,MATCH(D26,[1]Item!$B:$B,0)))), "-")</f>
        <v>70100333</v>
      </c>
      <c r="F26" s="82" t="s">
        <v>510</v>
      </c>
      <c r="G26" s="82" t="s">
        <v>533</v>
      </c>
      <c r="H26" s="81">
        <v>86400</v>
      </c>
      <c r="I26" s="81">
        <v>8</v>
      </c>
      <c r="J26" s="82" t="s">
        <v>593</v>
      </c>
      <c r="K26" s="81">
        <f>IFERROR(VLOOKUP(J$8&amp;J26,[1]_enum!$A:$D,4,FALSE),"-")</f>
        <v>0</v>
      </c>
      <c r="L26" s="81">
        <v>100</v>
      </c>
      <c r="M26" s="81">
        <v>500</v>
      </c>
      <c r="N26" s="81">
        <v>1111111</v>
      </c>
      <c r="O26" s="83" t="s">
        <v>450</v>
      </c>
      <c r="P26" s="84">
        <f>IFERROR(INDEX([1]Point!$A:$A,MATCH(O26,[1]Point!$B:$B,0),1),"-")</f>
        <v>100001</v>
      </c>
      <c r="Q26" s="81">
        <v>7000000</v>
      </c>
      <c r="R26" s="82" t="s">
        <v>466</v>
      </c>
      <c r="S26" s="11">
        <f>IFERROR(VLOOKUP(R$8&amp;R26,[1]_enum!$A:$D,4,FALSE),"-")</f>
        <v>2</v>
      </c>
      <c r="T26" s="110" t="s">
        <v>625</v>
      </c>
      <c r="U26" s="115">
        <f>IFERROR(IF(S26=0,INDEX([1]ShipSlot!$A:$A,MATCH(T26,[1]ShipSlot!$C:$C,0)),IF(S26=1,INDEX([1]CEquip!$A:$A,MATCH(T26,[1]CEquip!$B:$B,0)), INDEX([1]Item!$A:$A,MATCH(T26,[1]Item!$B:$B,0)))), "-")</f>
        <v>23550021</v>
      </c>
      <c r="V26" s="94">
        <v>10</v>
      </c>
      <c r="W26" s="82" t="s">
        <v>466</v>
      </c>
      <c r="X26" s="11">
        <f>IFERROR(VLOOKUP(W$8&amp;W26,[1]_enum!$A:$D,4,FALSE),"-")</f>
        <v>2</v>
      </c>
      <c r="Y26" s="110" t="s">
        <v>483</v>
      </c>
      <c r="Z26" s="115">
        <f>IFERROR(IF(X26=0,INDEX([1]ShipSlot!$A:$A,MATCH(Y26,[1]ShipSlot!$C:$C,0)),IF(X26=1,INDEX([1]CEquip!$A:$A,MATCH(Y26,[1]CEquip!$B:$B,0)), INDEX([1]Item!$A:$A,MATCH(Y26,[1]Item!$B:$B,0)))), "-")</f>
        <v>23550023</v>
      </c>
      <c r="AA26" s="94">
        <v>100</v>
      </c>
      <c r="AB26" s="82"/>
      <c r="AC26" s="11" t="str">
        <f>IFERROR(VLOOKUP(AB$8&amp;AB26,[1]_enum!$A:$D,4,FALSE),"-")</f>
        <v>-</v>
      </c>
      <c r="AD26" s="110"/>
      <c r="AE26" s="115" t="str">
        <f>IFERROR(IF(AC26=0,INDEX([1]ShipSlot!$A:$A,MATCH(AD26,[1]ShipSlot!$C:$C,0)),IF(AC26=1,INDEX([1]CEquip!$A:$A,MATCH(AD26,[1]CEquip!$B:$B,0)), INDEX([1]Item!$A:$A,MATCH(AD26,[1]Item!$B:$B,0)))), "-")</f>
        <v>-</v>
      </c>
      <c r="AF26" s="94" t="s">
        <v>18</v>
      </c>
      <c r="AG26" s="82"/>
      <c r="AH26" s="11" t="str">
        <f>IFERROR(VLOOKUP(AG$8&amp;AG26,[1]_enum!$A:$D,4,FALSE),"-")</f>
        <v>-</v>
      </c>
      <c r="AI26" s="110"/>
      <c r="AJ26" s="115" t="str">
        <f>IFERROR(IF(AH26=0,INDEX([1]ShipSlot!$A:$A,MATCH(AI26,[1]ShipSlot!$C:$C,0)),IF(AH26=1,INDEX([1]CEquip!$A:$A,MATCH(AI26,[1]CEquip!$B:$B,0)), INDEX([1]Item!$A:$A,MATCH(AI26,[1]Item!$B:$B,0)))), "-")</f>
        <v>-</v>
      </c>
      <c r="AK26" s="94" t="s">
        <v>18</v>
      </c>
    </row>
    <row r="27" spans="1:37" x14ac:dyDescent="0.2">
      <c r="A27" s="79">
        <v>2018</v>
      </c>
      <c r="B27" s="82" t="s">
        <v>464</v>
      </c>
      <c r="C27" s="11">
        <f>IFERROR(VLOOKUP(B$8&amp;B27,[1]_enum!$A:$D,4,FALSE),"-")</f>
        <v>0</v>
      </c>
      <c r="D27" s="83" t="s">
        <v>522</v>
      </c>
      <c r="E27" s="115">
        <f>IFERROR(IF(C27=0,INDEX([1]ShipSlot!$A:$A,MATCH(D27,[1]ShipSlot!$C:$C,0)),IF(C27=1,INDEX([1]CEquip!$A:$A,MATCH(D27,[1]CEquip!$B:$B,0)), INDEX([1]Item!$A:$A,MATCH(D27,[1]Item!$B:$B,0)))), "-")</f>
        <v>70100334</v>
      </c>
      <c r="F27" s="82" t="s">
        <v>510</v>
      </c>
      <c r="G27" s="82" t="s">
        <v>533</v>
      </c>
      <c r="H27" s="81">
        <v>86400</v>
      </c>
      <c r="I27" s="81">
        <v>8</v>
      </c>
      <c r="J27" s="82" t="s">
        <v>593</v>
      </c>
      <c r="K27" s="81">
        <f>IFERROR(VLOOKUP(J$8&amp;J27,[1]_enum!$A:$D,4,FALSE),"-")</f>
        <v>0</v>
      </c>
      <c r="L27" s="81">
        <v>100</v>
      </c>
      <c r="M27" s="81">
        <v>500</v>
      </c>
      <c r="N27" s="81">
        <v>1111111</v>
      </c>
      <c r="O27" s="83" t="s">
        <v>450</v>
      </c>
      <c r="P27" s="84">
        <f>IFERROR(INDEX([1]Point!$A:$A,MATCH(O27,[1]Point!$B:$B,0),1),"-")</f>
        <v>100001</v>
      </c>
      <c r="Q27" s="81">
        <v>7000000</v>
      </c>
      <c r="R27" s="82" t="s">
        <v>466</v>
      </c>
      <c r="S27" s="11">
        <f>IFERROR(VLOOKUP(R$8&amp;R27,[1]_enum!$A:$D,4,FALSE),"-")</f>
        <v>2</v>
      </c>
      <c r="T27" s="110" t="s">
        <v>625</v>
      </c>
      <c r="U27" s="115">
        <f>IFERROR(IF(S27=0,INDEX([1]ShipSlot!$A:$A,MATCH(T27,[1]ShipSlot!$C:$C,0)),IF(S27=1,INDEX([1]CEquip!$A:$A,MATCH(T27,[1]CEquip!$B:$B,0)), INDEX([1]Item!$A:$A,MATCH(T27,[1]Item!$B:$B,0)))), "-")</f>
        <v>23550021</v>
      </c>
      <c r="V27" s="94">
        <v>10</v>
      </c>
      <c r="W27" s="82" t="s">
        <v>466</v>
      </c>
      <c r="X27" s="11">
        <f>IFERROR(VLOOKUP(W$8&amp;W27,[1]_enum!$A:$D,4,FALSE),"-")</f>
        <v>2</v>
      </c>
      <c r="Y27" s="110" t="s">
        <v>483</v>
      </c>
      <c r="Z27" s="115">
        <f>IFERROR(IF(X27=0,INDEX([1]ShipSlot!$A:$A,MATCH(Y27,[1]ShipSlot!$C:$C,0)),IF(X27=1,INDEX([1]CEquip!$A:$A,MATCH(Y27,[1]CEquip!$B:$B,0)), INDEX([1]Item!$A:$A,MATCH(Y27,[1]Item!$B:$B,0)))), "-")</f>
        <v>23550023</v>
      </c>
      <c r="AA27" s="94">
        <v>100</v>
      </c>
      <c r="AB27" s="82"/>
      <c r="AC27" s="11" t="str">
        <f>IFERROR(VLOOKUP(AB$8&amp;AB27,[1]_enum!$A:$D,4,FALSE),"-")</f>
        <v>-</v>
      </c>
      <c r="AD27" s="110"/>
      <c r="AE27" s="115" t="str">
        <f>IFERROR(IF(AC27=0,INDEX([1]ShipSlot!$A:$A,MATCH(AD27,[1]ShipSlot!$C:$C,0)),IF(AC27=1,INDEX([1]CEquip!$A:$A,MATCH(AD27,[1]CEquip!$B:$B,0)), INDEX([1]Item!$A:$A,MATCH(AD27,[1]Item!$B:$B,0)))), "-")</f>
        <v>-</v>
      </c>
      <c r="AF27" s="94" t="s">
        <v>18</v>
      </c>
      <c r="AG27" s="82"/>
      <c r="AH27" s="11" t="str">
        <f>IFERROR(VLOOKUP(AG$8&amp;AG27,[1]_enum!$A:$D,4,FALSE),"-")</f>
        <v>-</v>
      </c>
      <c r="AI27" s="110" t="s">
        <v>453</v>
      </c>
      <c r="AJ27" s="115" t="str">
        <f>IFERROR(IF(AH27=0,INDEX([1]ShipSlot!$A:$A,MATCH(AI27,[1]ShipSlot!$C:$C,0)),IF(AH27=1,INDEX([1]CEquip!$A:$A,MATCH(AI27,[1]CEquip!$B:$B,0)), INDEX([1]Item!$A:$A,MATCH(AI27,[1]Item!$B:$B,0)))), "-")</f>
        <v>-</v>
      </c>
      <c r="AK27" s="94" t="s">
        <v>18</v>
      </c>
    </row>
    <row r="28" spans="1:37" x14ac:dyDescent="0.2">
      <c r="A28" s="79">
        <v>2019</v>
      </c>
      <c r="B28" s="82" t="s">
        <v>464</v>
      </c>
      <c r="C28" s="11">
        <f>IFERROR(VLOOKUP(B$8&amp;B28,[1]_enum!$A:$D,4,FALSE),"-")</f>
        <v>0</v>
      </c>
      <c r="D28" s="83" t="s">
        <v>523</v>
      </c>
      <c r="E28" s="115">
        <f>IFERROR(IF(C28=0,INDEX([1]ShipSlot!$A:$A,MATCH(D28,[1]ShipSlot!$C:$C,0)),IF(C28=1,INDEX([1]CEquip!$A:$A,MATCH(D28,[1]CEquip!$B:$B,0)), INDEX([1]Item!$A:$A,MATCH(D28,[1]Item!$B:$B,0)))), "-")</f>
        <v>70101376</v>
      </c>
      <c r="F28" s="82" t="s">
        <v>516</v>
      </c>
      <c r="G28" s="82" t="s">
        <v>533</v>
      </c>
      <c r="H28" s="81">
        <v>86400</v>
      </c>
      <c r="I28" s="81">
        <v>8</v>
      </c>
      <c r="J28" s="82" t="s">
        <v>593</v>
      </c>
      <c r="K28" s="81">
        <f>IFERROR(VLOOKUP(J$8&amp;J28,[1]_enum!$A:$D,4,FALSE),"-")</f>
        <v>0</v>
      </c>
      <c r="L28" s="81">
        <v>100</v>
      </c>
      <c r="M28" s="81">
        <v>500</v>
      </c>
      <c r="N28" s="81">
        <v>1111111</v>
      </c>
      <c r="O28" s="83" t="s">
        <v>450</v>
      </c>
      <c r="P28" s="84">
        <f>IFERROR(INDEX([1]Point!$A:$A,MATCH(O28,[1]Point!$B:$B,0),1),"-")</f>
        <v>100001</v>
      </c>
      <c r="Q28" s="81">
        <v>7000000</v>
      </c>
      <c r="R28" s="82" t="s">
        <v>466</v>
      </c>
      <c r="S28" s="11">
        <f>IFERROR(VLOOKUP(R$8&amp;R28,[1]_enum!$A:$D,4,FALSE),"-")</f>
        <v>2</v>
      </c>
      <c r="T28" s="110" t="s">
        <v>625</v>
      </c>
      <c r="U28" s="115">
        <f>IFERROR(IF(S28=0,INDEX([1]ShipSlot!$A:$A,MATCH(T28,[1]ShipSlot!$C:$C,0)),IF(S28=1,INDEX([1]CEquip!$A:$A,MATCH(T28,[1]CEquip!$B:$B,0)), INDEX([1]Item!$A:$A,MATCH(T28,[1]Item!$B:$B,0)))), "-")</f>
        <v>23550021</v>
      </c>
      <c r="V28" s="94">
        <v>10</v>
      </c>
      <c r="W28" s="82" t="s">
        <v>466</v>
      </c>
      <c r="X28" s="11">
        <f>IFERROR(VLOOKUP(W$8&amp;W28,[1]_enum!$A:$D,4,FALSE),"-")</f>
        <v>2</v>
      </c>
      <c r="Y28" s="110" t="s">
        <v>482</v>
      </c>
      <c r="Z28" s="115">
        <f>IFERROR(IF(X28=0,INDEX([1]ShipSlot!$A:$A,MATCH(Y28,[1]ShipSlot!$C:$C,0)),IF(X28=1,INDEX([1]CEquip!$A:$A,MATCH(Y28,[1]CEquip!$B:$B,0)), INDEX([1]Item!$A:$A,MATCH(Y28,[1]Item!$B:$B,0)))), "-")</f>
        <v>23550022</v>
      </c>
      <c r="AA28" s="94">
        <v>100</v>
      </c>
      <c r="AB28" s="82"/>
      <c r="AC28" s="11" t="str">
        <f>IFERROR(VLOOKUP(AB$8&amp;AB28,[1]_enum!$A:$D,4,FALSE),"-")</f>
        <v>-</v>
      </c>
      <c r="AD28" s="110"/>
      <c r="AE28" s="115" t="str">
        <f>IFERROR(IF(AC28=0,INDEX([1]ShipSlot!$A:$A,MATCH(AD28,[1]ShipSlot!$C:$C,0)),IF(AC28=1,INDEX([1]CEquip!$A:$A,MATCH(AD28,[1]CEquip!$B:$B,0)), INDEX([1]Item!$A:$A,MATCH(AD28,[1]Item!$B:$B,0)))), "-")</f>
        <v>-</v>
      </c>
      <c r="AF28" s="94" t="s">
        <v>18</v>
      </c>
      <c r="AG28" s="82"/>
      <c r="AH28" s="11" t="str">
        <f>IFERROR(VLOOKUP(AG$8&amp;AG28,[1]_enum!$A:$D,4,FALSE),"-")</f>
        <v>-</v>
      </c>
      <c r="AI28" s="110" t="s">
        <v>453</v>
      </c>
      <c r="AJ28" s="115" t="str">
        <f>IFERROR(IF(AH28=0,INDEX([1]ShipSlot!$A:$A,MATCH(AI28,[1]ShipSlot!$C:$C,0)),IF(AH28=1,INDEX([1]CEquip!$A:$A,MATCH(AI28,[1]CEquip!$B:$B,0)), INDEX([1]Item!$A:$A,MATCH(AI28,[1]Item!$B:$B,0)))), "-")</f>
        <v>-</v>
      </c>
      <c r="AK28" s="94" t="s">
        <v>18</v>
      </c>
    </row>
    <row r="29" spans="1:37" x14ac:dyDescent="0.2">
      <c r="A29" s="79">
        <v>2020</v>
      </c>
      <c r="B29" s="82" t="s">
        <v>464</v>
      </c>
      <c r="C29" s="11">
        <f>IFERROR(VLOOKUP(B$8&amp;B29,[1]_enum!$A:$D,4,FALSE),"-")</f>
        <v>0</v>
      </c>
      <c r="D29" s="83" t="s">
        <v>524</v>
      </c>
      <c r="E29" s="115">
        <f>IFERROR(IF(C29=0,INDEX([1]ShipSlot!$A:$A,MATCH(D29,[1]ShipSlot!$C:$C,0)),IF(C29=1,INDEX([1]CEquip!$A:$A,MATCH(D29,[1]CEquip!$B:$B,0)), INDEX([1]Item!$A:$A,MATCH(D29,[1]Item!$B:$B,0)))), "-")</f>
        <v>70100478</v>
      </c>
      <c r="F29" s="82" t="s">
        <v>517</v>
      </c>
      <c r="G29" s="82" t="s">
        <v>533</v>
      </c>
      <c r="H29" s="81">
        <v>86400</v>
      </c>
      <c r="I29" s="81">
        <v>8</v>
      </c>
      <c r="J29" s="82" t="s">
        <v>593</v>
      </c>
      <c r="K29" s="81">
        <f>IFERROR(VLOOKUP(J$8&amp;J29,[1]_enum!$A:$D,4,FALSE),"-")</f>
        <v>0</v>
      </c>
      <c r="L29" s="81">
        <v>100</v>
      </c>
      <c r="M29" s="81">
        <v>500</v>
      </c>
      <c r="N29" s="81">
        <v>1111111</v>
      </c>
      <c r="O29" s="83" t="s">
        <v>450</v>
      </c>
      <c r="P29" s="84">
        <f>IFERROR(INDEX([1]Point!$A:$A,MATCH(O29,[1]Point!$B:$B,0),1),"-")</f>
        <v>100001</v>
      </c>
      <c r="Q29" s="81">
        <v>7000000</v>
      </c>
      <c r="R29" s="82" t="s">
        <v>466</v>
      </c>
      <c r="S29" s="11">
        <f>IFERROR(VLOOKUP(R$8&amp;R29,[1]_enum!$A:$D,4,FALSE),"-")</f>
        <v>2</v>
      </c>
      <c r="T29" s="110" t="s">
        <v>625</v>
      </c>
      <c r="U29" s="115">
        <f>IFERROR(IF(S29=0,INDEX([1]ShipSlot!$A:$A,MATCH(T29,[1]ShipSlot!$C:$C,0)),IF(S29=1,INDEX([1]CEquip!$A:$A,MATCH(T29,[1]CEquip!$B:$B,0)), INDEX([1]Item!$A:$A,MATCH(T29,[1]Item!$B:$B,0)))), "-")</f>
        <v>23550021</v>
      </c>
      <c r="V29" s="94">
        <v>10</v>
      </c>
      <c r="W29" s="82" t="s">
        <v>466</v>
      </c>
      <c r="X29" s="11">
        <f>IFERROR(VLOOKUP(W$8&amp;W29,[1]_enum!$A:$D,4,FALSE),"-")</f>
        <v>2</v>
      </c>
      <c r="Y29" s="110" t="s">
        <v>484</v>
      </c>
      <c r="Z29" s="115">
        <f>IFERROR(IF(X29=0,INDEX([1]ShipSlot!$A:$A,MATCH(Y29,[1]ShipSlot!$C:$C,0)),IF(X29=1,INDEX([1]CEquip!$A:$A,MATCH(Y29,[1]CEquip!$B:$B,0)), INDEX([1]Item!$A:$A,MATCH(Y29,[1]Item!$B:$B,0)))), "-")</f>
        <v>23550024</v>
      </c>
      <c r="AA29" s="94">
        <v>100</v>
      </c>
      <c r="AB29" s="82"/>
      <c r="AC29" s="11" t="str">
        <f>IFERROR(VLOOKUP(AB$8&amp;AB29,[1]_enum!$A:$D,4,FALSE),"-")</f>
        <v>-</v>
      </c>
      <c r="AD29" s="110"/>
      <c r="AE29" s="115" t="str">
        <f>IFERROR(IF(AC29=0,INDEX([1]ShipSlot!$A:$A,MATCH(AD29,[1]ShipSlot!$C:$C,0)),IF(AC29=1,INDEX([1]CEquip!$A:$A,MATCH(AD29,[1]CEquip!$B:$B,0)), INDEX([1]Item!$A:$A,MATCH(AD29,[1]Item!$B:$B,0)))), "-")</f>
        <v>-</v>
      </c>
      <c r="AF29" s="94" t="s">
        <v>18</v>
      </c>
      <c r="AG29" s="82"/>
      <c r="AH29" s="11" t="str">
        <f>IFERROR(VLOOKUP(AG$8&amp;AG29,[1]_enum!$A:$D,4,FALSE),"-")</f>
        <v>-</v>
      </c>
      <c r="AI29" s="110"/>
      <c r="AJ29" s="115" t="str">
        <f>IFERROR(IF(AH29=0,INDEX([1]ShipSlot!$A:$A,MATCH(AI29,[1]ShipSlot!$C:$C,0)),IF(AH29=1,INDEX([1]CEquip!$A:$A,MATCH(AI29,[1]CEquip!$B:$B,0)), INDEX([1]Item!$A:$A,MATCH(AI29,[1]Item!$B:$B,0)))), "-")</f>
        <v>-</v>
      </c>
      <c r="AK29" s="94" t="s">
        <v>18</v>
      </c>
    </row>
    <row r="30" spans="1:37" x14ac:dyDescent="0.2">
      <c r="A30" s="79">
        <v>2021</v>
      </c>
      <c r="B30" s="82" t="s">
        <v>464</v>
      </c>
      <c r="C30" s="11">
        <f>IFERROR(VLOOKUP(B$8&amp;B30,[1]_enum!$A:$D,4,FALSE),"-")</f>
        <v>0</v>
      </c>
      <c r="D30" s="83" t="s">
        <v>525</v>
      </c>
      <c r="E30" s="115">
        <f>IFERROR(IF(C30=0,INDEX([1]ShipSlot!$A:$A,MATCH(D30,[1]ShipSlot!$C:$C,0)),IF(C30=1,INDEX([1]CEquip!$A:$A,MATCH(D30,[1]CEquip!$B:$B,0)), INDEX([1]Item!$A:$A,MATCH(D30,[1]Item!$B:$B,0)))), "-")</f>
        <v>70100479</v>
      </c>
      <c r="F30" s="82" t="s">
        <v>517</v>
      </c>
      <c r="G30" s="82" t="s">
        <v>533</v>
      </c>
      <c r="H30" s="81">
        <v>86400</v>
      </c>
      <c r="I30" s="81">
        <v>8</v>
      </c>
      <c r="J30" s="82" t="s">
        <v>593</v>
      </c>
      <c r="K30" s="81">
        <f>IFERROR(VLOOKUP(J$8&amp;J30,[1]_enum!$A:$D,4,FALSE),"-")</f>
        <v>0</v>
      </c>
      <c r="L30" s="81">
        <v>100</v>
      </c>
      <c r="M30" s="81">
        <v>500</v>
      </c>
      <c r="N30" s="81">
        <v>1111111</v>
      </c>
      <c r="O30" s="83" t="s">
        <v>450</v>
      </c>
      <c r="P30" s="84">
        <f>IFERROR(INDEX([1]Point!$A:$A,MATCH(O30,[1]Point!$B:$B,0),1),"-")</f>
        <v>100001</v>
      </c>
      <c r="Q30" s="81">
        <v>7000000</v>
      </c>
      <c r="R30" s="82" t="s">
        <v>466</v>
      </c>
      <c r="S30" s="11">
        <f>IFERROR(VLOOKUP(R$8&amp;R30,[1]_enum!$A:$D,4,FALSE),"-")</f>
        <v>2</v>
      </c>
      <c r="T30" s="110" t="s">
        <v>625</v>
      </c>
      <c r="U30" s="115">
        <f>IFERROR(IF(S30=0,INDEX([1]ShipSlot!$A:$A,MATCH(T30,[1]ShipSlot!$C:$C,0)),IF(S30=1,INDEX([1]CEquip!$A:$A,MATCH(T30,[1]CEquip!$B:$B,0)), INDEX([1]Item!$A:$A,MATCH(T30,[1]Item!$B:$B,0)))), "-")</f>
        <v>23550021</v>
      </c>
      <c r="V30" s="94">
        <v>10</v>
      </c>
      <c r="W30" s="82" t="s">
        <v>466</v>
      </c>
      <c r="X30" s="11">
        <f>IFERROR(VLOOKUP(W$8&amp;W30,[1]_enum!$A:$D,4,FALSE),"-")</f>
        <v>2</v>
      </c>
      <c r="Y30" s="110" t="s">
        <v>484</v>
      </c>
      <c r="Z30" s="115">
        <f>IFERROR(IF(X30=0,INDEX([1]ShipSlot!$A:$A,MATCH(Y30,[1]ShipSlot!$C:$C,0)),IF(X30=1,INDEX([1]CEquip!$A:$A,MATCH(Y30,[1]CEquip!$B:$B,0)), INDEX([1]Item!$A:$A,MATCH(Y30,[1]Item!$B:$B,0)))), "-")</f>
        <v>23550024</v>
      </c>
      <c r="AA30" s="94">
        <v>100</v>
      </c>
      <c r="AB30" s="82"/>
      <c r="AC30" s="11" t="str">
        <f>IFERROR(VLOOKUP(AB$8&amp;AB30,[1]_enum!$A:$D,4,FALSE),"-")</f>
        <v>-</v>
      </c>
      <c r="AD30" s="110"/>
      <c r="AE30" s="115" t="str">
        <f>IFERROR(IF(AC30=0,INDEX([1]ShipSlot!$A:$A,MATCH(AD30,[1]ShipSlot!$C:$C,0)),IF(AC30=1,INDEX([1]CEquip!$A:$A,MATCH(AD30,[1]CEquip!$B:$B,0)), INDEX([1]Item!$A:$A,MATCH(AD30,[1]Item!$B:$B,0)))), "-")</f>
        <v>-</v>
      </c>
      <c r="AF30" s="94" t="s">
        <v>18</v>
      </c>
      <c r="AG30" s="82"/>
      <c r="AH30" s="11" t="str">
        <f>IFERROR(VLOOKUP(AG$8&amp;AG30,[1]_enum!$A:$D,4,FALSE),"-")</f>
        <v>-</v>
      </c>
      <c r="AI30" s="110"/>
      <c r="AJ30" s="115" t="str">
        <f>IFERROR(IF(AH30=0,INDEX([1]ShipSlot!$A:$A,MATCH(AI30,[1]ShipSlot!$C:$C,0)),IF(AH30=1,INDEX([1]CEquip!$A:$A,MATCH(AI30,[1]CEquip!$B:$B,0)), INDEX([1]Item!$A:$A,MATCH(AI30,[1]Item!$B:$B,0)))), "-")</f>
        <v>-</v>
      </c>
      <c r="AK30" s="94" t="s">
        <v>18</v>
      </c>
    </row>
    <row r="31" spans="1:37" x14ac:dyDescent="0.2">
      <c r="A31" s="79">
        <v>2022</v>
      </c>
      <c r="B31" s="82" t="s">
        <v>464</v>
      </c>
      <c r="C31" s="11">
        <f>IFERROR(VLOOKUP(B$8&amp;B31,[1]_enum!$A:$D,4,FALSE),"-")</f>
        <v>0</v>
      </c>
      <c r="D31" s="89" t="s">
        <v>526</v>
      </c>
      <c r="E31" s="115">
        <f>IFERROR(IF(C31=0,INDEX([1]ShipSlot!$A:$A,MATCH(D31,[1]ShipSlot!$C:$C,0)),IF(C31=1,INDEX([1]CEquip!$A:$A,MATCH(D31,[1]CEquip!$B:$B,0)), INDEX([1]Item!$A:$A,MATCH(D31,[1]Item!$B:$B,0)))), "-")</f>
        <v>70100552</v>
      </c>
      <c r="F31" s="82" t="s">
        <v>514</v>
      </c>
      <c r="G31" s="82" t="s">
        <v>533</v>
      </c>
      <c r="H31" s="81">
        <v>86400</v>
      </c>
      <c r="I31" s="81">
        <v>8</v>
      </c>
      <c r="J31" s="82" t="s">
        <v>593</v>
      </c>
      <c r="K31" s="81">
        <f>IFERROR(VLOOKUP(J$8&amp;J31,[1]_enum!$A:$D,4,FALSE),"-")</f>
        <v>0</v>
      </c>
      <c r="L31" s="81">
        <v>100</v>
      </c>
      <c r="M31" s="81">
        <v>500</v>
      </c>
      <c r="N31" s="81">
        <v>1111111</v>
      </c>
      <c r="O31" s="83" t="s">
        <v>450</v>
      </c>
      <c r="P31" s="84">
        <f>IFERROR(INDEX([1]Point!$A:$A,MATCH(O31,[1]Point!$B:$B,0),1),"-")</f>
        <v>100001</v>
      </c>
      <c r="Q31" s="81">
        <v>7000000</v>
      </c>
      <c r="R31" s="82" t="s">
        <v>466</v>
      </c>
      <c r="S31" s="11">
        <f>IFERROR(VLOOKUP(R$8&amp;R31,[1]_enum!$A:$D,4,FALSE),"-")</f>
        <v>2</v>
      </c>
      <c r="T31" s="110" t="s">
        <v>625</v>
      </c>
      <c r="U31" s="115">
        <f>IFERROR(IF(S31=0,INDEX([1]ShipSlot!$A:$A,MATCH(T31,[1]ShipSlot!$C:$C,0)),IF(S31=1,INDEX([1]CEquip!$A:$A,MATCH(T31,[1]CEquip!$B:$B,0)), INDEX([1]Item!$A:$A,MATCH(T31,[1]Item!$B:$B,0)))), "-")</f>
        <v>23550021</v>
      </c>
      <c r="V31" s="94">
        <v>10</v>
      </c>
      <c r="W31" s="82" t="s">
        <v>466</v>
      </c>
      <c r="X31" s="11">
        <f>IFERROR(VLOOKUP(W$8&amp;W31,[1]_enum!$A:$D,4,FALSE),"-")</f>
        <v>2</v>
      </c>
      <c r="Y31" s="110" t="s">
        <v>484</v>
      </c>
      <c r="Z31" s="115">
        <f>IFERROR(IF(X31=0,INDEX([1]ShipSlot!$A:$A,MATCH(Y31,[1]ShipSlot!$C:$C,0)),IF(X31=1,INDEX([1]CEquip!$A:$A,MATCH(Y31,[1]CEquip!$B:$B,0)), INDEX([1]Item!$A:$A,MATCH(Y31,[1]Item!$B:$B,0)))), "-")</f>
        <v>23550024</v>
      </c>
      <c r="AA31" s="94">
        <v>100</v>
      </c>
      <c r="AB31" s="82"/>
      <c r="AC31" s="11" t="str">
        <f>IFERROR(VLOOKUP(AB$8&amp;AB31,[1]_enum!$A:$D,4,FALSE),"-")</f>
        <v>-</v>
      </c>
      <c r="AD31" s="110"/>
      <c r="AE31" s="115" t="str">
        <f>IFERROR(IF(AC31=0,INDEX([1]ShipSlot!$A:$A,MATCH(AD31,[1]ShipSlot!$C:$C,0)),IF(AC31=1,INDEX([1]CEquip!$A:$A,MATCH(AD31,[1]CEquip!$B:$B,0)), INDEX([1]Item!$A:$A,MATCH(AD31,[1]Item!$B:$B,0)))), "-")</f>
        <v>-</v>
      </c>
      <c r="AF31" s="94" t="s">
        <v>18</v>
      </c>
      <c r="AG31" s="82"/>
      <c r="AH31" s="11" t="str">
        <f>IFERROR(VLOOKUP(AG$8&amp;AG31,[1]_enum!$A:$D,4,FALSE),"-")</f>
        <v>-</v>
      </c>
      <c r="AI31" s="110"/>
      <c r="AJ31" s="115" t="str">
        <f>IFERROR(IF(AH31=0,INDEX([1]ShipSlot!$A:$A,MATCH(AI31,[1]ShipSlot!$C:$C,0)),IF(AH31=1,INDEX([1]CEquip!$A:$A,MATCH(AI31,[1]CEquip!$B:$B,0)), INDEX([1]Item!$A:$A,MATCH(AI31,[1]Item!$B:$B,0)))), "-")</f>
        <v>-</v>
      </c>
      <c r="AK31" s="94" t="s">
        <v>18</v>
      </c>
    </row>
    <row r="32" spans="1:37" x14ac:dyDescent="0.2">
      <c r="A32" s="79">
        <v>2023</v>
      </c>
      <c r="B32" s="82" t="s">
        <v>464</v>
      </c>
      <c r="C32" s="11">
        <f>IFERROR(VLOOKUP(B$8&amp;B32,[1]_enum!$A:$D,4,FALSE),"-")</f>
        <v>0</v>
      </c>
      <c r="D32" s="110" t="s">
        <v>527</v>
      </c>
      <c r="E32" s="115">
        <f>IFERROR(IF(C32=0,INDEX([1]ShipSlot!$A:$A,MATCH(D32,[1]ShipSlot!$C:$C,0)),IF(C32=1,INDEX([1]CEquip!$A:$A,MATCH(D32,[1]CEquip!$B:$B,0)), INDEX([1]Item!$A:$A,MATCH(D32,[1]Item!$B:$B,0)))), "-")</f>
        <v>70100736</v>
      </c>
      <c r="F32" s="82" t="s">
        <v>512</v>
      </c>
      <c r="G32" s="82" t="s">
        <v>533</v>
      </c>
      <c r="H32" s="81">
        <v>86400</v>
      </c>
      <c r="I32" s="81">
        <v>8</v>
      </c>
      <c r="J32" s="82" t="s">
        <v>593</v>
      </c>
      <c r="K32" s="81">
        <f>IFERROR(VLOOKUP(J$8&amp;J32,[1]_enum!$A:$D,4,FALSE),"-")</f>
        <v>0</v>
      </c>
      <c r="L32" s="81">
        <v>100</v>
      </c>
      <c r="M32" s="81">
        <v>500</v>
      </c>
      <c r="N32" s="81">
        <v>1111111</v>
      </c>
      <c r="O32" s="83" t="s">
        <v>450</v>
      </c>
      <c r="P32" s="84">
        <f>IFERROR(INDEX([1]Point!$A:$A,MATCH(O32,[1]Point!$B:$B,0),1),"-")</f>
        <v>100001</v>
      </c>
      <c r="Q32" s="81">
        <v>7000000</v>
      </c>
      <c r="R32" s="82" t="s">
        <v>466</v>
      </c>
      <c r="S32" s="11">
        <f>IFERROR(VLOOKUP(R$8&amp;R32,[1]_enum!$A:$D,4,FALSE),"-")</f>
        <v>2</v>
      </c>
      <c r="T32" s="110" t="s">
        <v>625</v>
      </c>
      <c r="U32" s="115">
        <f>IFERROR(IF(S32=0,INDEX([1]ShipSlot!$A:$A,MATCH(T32,[1]ShipSlot!$C:$C,0)),IF(S32=1,INDEX([1]CEquip!$A:$A,MATCH(T32,[1]CEquip!$B:$B,0)), INDEX([1]Item!$A:$A,MATCH(T32,[1]Item!$B:$B,0)))), "-")</f>
        <v>23550021</v>
      </c>
      <c r="V32" s="94">
        <v>10</v>
      </c>
      <c r="W32" s="82" t="s">
        <v>466</v>
      </c>
      <c r="X32" s="11">
        <f>IFERROR(VLOOKUP(W$8&amp;W32,[1]_enum!$A:$D,4,FALSE),"-")</f>
        <v>2</v>
      </c>
      <c r="Y32" s="110" t="s">
        <v>482</v>
      </c>
      <c r="Z32" s="115">
        <f>IFERROR(IF(X32=0,INDEX([1]ShipSlot!$A:$A,MATCH(Y32,[1]ShipSlot!$C:$C,0)),IF(X32=1,INDEX([1]CEquip!$A:$A,MATCH(Y32,[1]CEquip!$B:$B,0)), INDEX([1]Item!$A:$A,MATCH(Y32,[1]Item!$B:$B,0)))), "-")</f>
        <v>23550022</v>
      </c>
      <c r="AA32" s="94">
        <v>100</v>
      </c>
      <c r="AB32" s="82"/>
      <c r="AC32" s="11" t="str">
        <f>IFERROR(VLOOKUP(AB$8&amp;AB32,[1]_enum!$A:$D,4,FALSE),"-")</f>
        <v>-</v>
      </c>
      <c r="AD32" s="110"/>
      <c r="AE32" s="115" t="str">
        <f>IFERROR(IF(AC32=0,INDEX([1]ShipSlot!$A:$A,MATCH(AD32,[1]ShipSlot!$C:$C,0)),IF(AC32=1,INDEX([1]CEquip!$A:$A,MATCH(AD32,[1]CEquip!$B:$B,0)), INDEX([1]Item!$A:$A,MATCH(AD32,[1]Item!$B:$B,0)))), "-")</f>
        <v>-</v>
      </c>
      <c r="AF32" s="94" t="s">
        <v>18</v>
      </c>
      <c r="AG32" s="82"/>
      <c r="AH32" s="11" t="str">
        <f>IFERROR(VLOOKUP(AG$8&amp;AG32,[1]_enum!$A:$D,4,FALSE),"-")</f>
        <v>-</v>
      </c>
      <c r="AI32" s="110"/>
      <c r="AJ32" s="115" t="str">
        <f>IFERROR(IF(AH32=0,INDEX([1]ShipSlot!$A:$A,MATCH(AI32,[1]ShipSlot!$C:$C,0)),IF(AH32=1,INDEX([1]CEquip!$A:$A,MATCH(AI32,[1]CEquip!$B:$B,0)), INDEX([1]Item!$A:$A,MATCH(AI32,[1]Item!$B:$B,0)))), "-")</f>
        <v>-</v>
      </c>
      <c r="AK32" s="94" t="s">
        <v>18</v>
      </c>
    </row>
    <row r="33" spans="1:37" x14ac:dyDescent="0.2">
      <c r="A33" s="79">
        <v>2024</v>
      </c>
      <c r="B33" s="82" t="s">
        <v>464</v>
      </c>
      <c r="C33" s="11">
        <f>IFERROR(VLOOKUP(B$8&amp;B33,[1]_enum!$A:$D,4,FALSE),"-")</f>
        <v>0</v>
      </c>
      <c r="D33" s="83" t="s">
        <v>528</v>
      </c>
      <c r="E33" s="115">
        <f>IFERROR(IF(C33=0,INDEX([1]ShipSlot!$A:$A,MATCH(D33,[1]ShipSlot!$C:$C,0)),IF(C33=1,INDEX([1]CEquip!$A:$A,MATCH(D33,[1]CEquip!$B:$B,0)), INDEX([1]Item!$A:$A,MATCH(D33,[1]Item!$B:$B,0)))), "-")</f>
        <v>70100737</v>
      </c>
      <c r="F33" s="82" t="s">
        <v>512</v>
      </c>
      <c r="G33" s="82" t="s">
        <v>533</v>
      </c>
      <c r="H33" s="81">
        <v>86400</v>
      </c>
      <c r="I33" s="81">
        <v>8</v>
      </c>
      <c r="J33" s="82" t="s">
        <v>593</v>
      </c>
      <c r="K33" s="81">
        <f>IFERROR(VLOOKUP(J$8&amp;J33,[1]_enum!$A:$D,4,FALSE),"-")</f>
        <v>0</v>
      </c>
      <c r="L33" s="81">
        <v>100</v>
      </c>
      <c r="M33" s="81">
        <v>500</v>
      </c>
      <c r="N33" s="81">
        <v>1111111</v>
      </c>
      <c r="O33" s="83" t="s">
        <v>450</v>
      </c>
      <c r="P33" s="84">
        <f>IFERROR(INDEX([1]Point!$A:$A,MATCH(O33,[1]Point!$B:$B,0),1),"-")</f>
        <v>100001</v>
      </c>
      <c r="Q33" s="81">
        <v>7000000</v>
      </c>
      <c r="R33" s="82" t="s">
        <v>466</v>
      </c>
      <c r="S33" s="11">
        <f>IFERROR(VLOOKUP(R$8&amp;R33,[1]_enum!$A:$D,4,FALSE),"-")</f>
        <v>2</v>
      </c>
      <c r="T33" s="110" t="s">
        <v>625</v>
      </c>
      <c r="U33" s="115">
        <f>IFERROR(IF(S33=0,INDEX([1]ShipSlot!$A:$A,MATCH(T33,[1]ShipSlot!$C:$C,0)),IF(S33=1,INDEX([1]CEquip!$A:$A,MATCH(T33,[1]CEquip!$B:$B,0)), INDEX([1]Item!$A:$A,MATCH(T33,[1]Item!$B:$B,0)))), "-")</f>
        <v>23550021</v>
      </c>
      <c r="V33" s="94">
        <v>10</v>
      </c>
      <c r="W33" s="82" t="s">
        <v>466</v>
      </c>
      <c r="X33" s="11">
        <f>IFERROR(VLOOKUP(W$8&amp;W33,[1]_enum!$A:$D,4,FALSE),"-")</f>
        <v>2</v>
      </c>
      <c r="Y33" s="110" t="s">
        <v>482</v>
      </c>
      <c r="Z33" s="115">
        <f>IFERROR(IF(X33=0,INDEX([1]ShipSlot!$A:$A,MATCH(Y33,[1]ShipSlot!$C:$C,0)),IF(X33=1,INDEX([1]CEquip!$A:$A,MATCH(Y33,[1]CEquip!$B:$B,0)), INDEX([1]Item!$A:$A,MATCH(Y33,[1]Item!$B:$B,0)))), "-")</f>
        <v>23550022</v>
      </c>
      <c r="AA33" s="94">
        <v>100</v>
      </c>
      <c r="AB33" s="82"/>
      <c r="AC33" s="11" t="str">
        <f>IFERROR(VLOOKUP(AB$8&amp;AB33,[1]_enum!$A:$D,4,FALSE),"-")</f>
        <v>-</v>
      </c>
      <c r="AD33" s="110"/>
      <c r="AE33" s="115" t="str">
        <f>IFERROR(IF(AC33=0,INDEX([1]ShipSlot!$A:$A,MATCH(AD33,[1]ShipSlot!$C:$C,0)),IF(AC33=1,INDEX([1]CEquip!$A:$A,MATCH(AD33,[1]CEquip!$B:$B,0)), INDEX([1]Item!$A:$A,MATCH(AD33,[1]Item!$B:$B,0)))), "-")</f>
        <v>-</v>
      </c>
      <c r="AF33" s="94" t="s">
        <v>18</v>
      </c>
      <c r="AG33" s="82"/>
      <c r="AH33" s="11" t="str">
        <f>IFERROR(VLOOKUP(AG$8&amp;AG33,[1]_enum!$A:$D,4,FALSE),"-")</f>
        <v>-</v>
      </c>
      <c r="AI33" s="110" t="s">
        <v>453</v>
      </c>
      <c r="AJ33" s="115" t="str">
        <f>IFERROR(IF(AH33=0,INDEX([1]ShipSlot!$A:$A,MATCH(AI33,[1]ShipSlot!$C:$C,0)),IF(AH33=1,INDEX([1]CEquip!$A:$A,MATCH(AI33,[1]CEquip!$B:$B,0)), INDEX([1]Item!$A:$A,MATCH(AI33,[1]Item!$B:$B,0)))), "-")</f>
        <v>-</v>
      </c>
      <c r="AK33" s="94" t="s">
        <v>18</v>
      </c>
    </row>
    <row r="34" spans="1:37" x14ac:dyDescent="0.2">
      <c r="A34" s="79">
        <v>2025</v>
      </c>
      <c r="B34" s="82" t="s">
        <v>464</v>
      </c>
      <c r="C34" s="11">
        <f>IFERROR(VLOOKUP(B$8&amp;B34,[1]_enum!$A:$D,4,FALSE),"-")</f>
        <v>0</v>
      </c>
      <c r="D34" s="83" t="s">
        <v>529</v>
      </c>
      <c r="E34" s="115">
        <f>IFERROR(IF(C34=0,INDEX([1]ShipSlot!$A:$A,MATCH(D34,[1]ShipSlot!$C:$C,0)),IF(C34=1,INDEX([1]CEquip!$A:$A,MATCH(D34,[1]CEquip!$B:$B,0)), INDEX([1]Item!$A:$A,MATCH(D34,[1]Item!$B:$B,0)))), "-")</f>
        <v>70100738</v>
      </c>
      <c r="F34" s="82" t="s">
        <v>518</v>
      </c>
      <c r="G34" s="82" t="s">
        <v>533</v>
      </c>
      <c r="H34" s="81">
        <v>86400</v>
      </c>
      <c r="I34" s="81">
        <v>8</v>
      </c>
      <c r="J34" s="82" t="s">
        <v>593</v>
      </c>
      <c r="K34" s="81">
        <f>IFERROR(VLOOKUP(J$8&amp;J34,[1]_enum!$A:$D,4,FALSE),"-")</f>
        <v>0</v>
      </c>
      <c r="L34" s="81">
        <v>100</v>
      </c>
      <c r="M34" s="81">
        <v>500</v>
      </c>
      <c r="N34" s="81">
        <v>1111111</v>
      </c>
      <c r="O34" s="83" t="s">
        <v>450</v>
      </c>
      <c r="P34" s="84">
        <f>IFERROR(INDEX([1]Point!$A:$A,MATCH(O34,[1]Point!$B:$B,0),1),"-")</f>
        <v>100001</v>
      </c>
      <c r="Q34" s="81">
        <v>7000000</v>
      </c>
      <c r="R34" s="82" t="s">
        <v>466</v>
      </c>
      <c r="S34" s="11">
        <f>IFERROR(VLOOKUP(R$8&amp;R34,[1]_enum!$A:$D,4,FALSE),"-")</f>
        <v>2</v>
      </c>
      <c r="T34" s="110" t="s">
        <v>625</v>
      </c>
      <c r="U34" s="115">
        <f>IFERROR(IF(S34=0,INDEX([1]ShipSlot!$A:$A,MATCH(T34,[1]ShipSlot!$C:$C,0)),IF(S34=1,INDEX([1]CEquip!$A:$A,MATCH(T34,[1]CEquip!$B:$B,0)), INDEX([1]Item!$A:$A,MATCH(T34,[1]Item!$B:$B,0)))), "-")</f>
        <v>23550021</v>
      </c>
      <c r="V34" s="94">
        <v>10</v>
      </c>
      <c r="W34" s="82" t="s">
        <v>466</v>
      </c>
      <c r="X34" s="11">
        <f>IFERROR(VLOOKUP(W$8&amp;W34,[1]_enum!$A:$D,4,FALSE),"-")</f>
        <v>2</v>
      </c>
      <c r="Y34" s="110" t="s">
        <v>482</v>
      </c>
      <c r="Z34" s="115">
        <f>IFERROR(IF(X34=0,INDEX([1]ShipSlot!$A:$A,MATCH(Y34,[1]ShipSlot!$C:$C,0)),IF(X34=1,INDEX([1]CEquip!$A:$A,MATCH(Y34,[1]CEquip!$B:$B,0)), INDEX([1]Item!$A:$A,MATCH(Y34,[1]Item!$B:$B,0)))), "-")</f>
        <v>23550022</v>
      </c>
      <c r="AA34" s="94">
        <v>100</v>
      </c>
      <c r="AB34" s="82"/>
      <c r="AC34" s="11" t="str">
        <f>IFERROR(VLOOKUP(AB$8&amp;AB34,[1]_enum!$A:$D,4,FALSE),"-")</f>
        <v>-</v>
      </c>
      <c r="AD34" s="110"/>
      <c r="AE34" s="115" t="str">
        <f>IFERROR(IF(AC34=0,INDEX([1]ShipSlot!$A:$A,MATCH(AD34,[1]ShipSlot!$C:$C,0)),IF(AC34=1,INDEX([1]CEquip!$A:$A,MATCH(AD34,[1]CEquip!$B:$B,0)), INDEX([1]Item!$A:$A,MATCH(AD34,[1]Item!$B:$B,0)))), "-")</f>
        <v>-</v>
      </c>
      <c r="AF34" s="94" t="s">
        <v>18</v>
      </c>
      <c r="AG34" s="82"/>
      <c r="AH34" s="11" t="str">
        <f>IFERROR(VLOOKUP(AG$8&amp;AG34,[1]_enum!$A:$D,4,FALSE),"-")</f>
        <v>-</v>
      </c>
      <c r="AI34" s="110"/>
      <c r="AJ34" s="115" t="str">
        <f>IFERROR(IF(AH34=0,INDEX([1]ShipSlot!$A:$A,MATCH(AI34,[1]ShipSlot!$C:$C,0)),IF(AH34=1,INDEX([1]CEquip!$A:$A,MATCH(AI34,[1]CEquip!$B:$B,0)), INDEX([1]Item!$A:$A,MATCH(AI34,[1]Item!$B:$B,0)))), "-")</f>
        <v>-</v>
      </c>
      <c r="AK34" s="94" t="s">
        <v>18</v>
      </c>
    </row>
    <row r="35" spans="1:37" x14ac:dyDescent="0.2">
      <c r="A35" s="79">
        <v>2026</v>
      </c>
      <c r="B35" s="82" t="s">
        <v>464</v>
      </c>
      <c r="C35" s="11">
        <f>IFERROR(VLOOKUP(B$8&amp;B35,[1]_enum!$A:$D,4,FALSE),"-")</f>
        <v>0</v>
      </c>
      <c r="D35" s="83" t="s">
        <v>530</v>
      </c>
      <c r="E35" s="115">
        <f>IFERROR(IF(C35=0,INDEX([1]ShipSlot!$A:$A,MATCH(D35,[1]ShipSlot!$C:$C,0)),IF(C35=1,INDEX([1]CEquip!$A:$A,MATCH(D35,[1]CEquip!$B:$B,0)), INDEX([1]Item!$A:$A,MATCH(D35,[1]Item!$B:$B,0)))), "-")</f>
        <v>70101381</v>
      </c>
      <c r="F35" s="82" t="s">
        <v>518</v>
      </c>
      <c r="G35" s="82" t="s">
        <v>533</v>
      </c>
      <c r="H35" s="81">
        <v>86400</v>
      </c>
      <c r="I35" s="81">
        <v>8</v>
      </c>
      <c r="J35" s="82" t="s">
        <v>593</v>
      </c>
      <c r="K35" s="81">
        <f>IFERROR(VLOOKUP(J$8&amp;J35,[1]_enum!$A:$D,4,FALSE),"-")</f>
        <v>0</v>
      </c>
      <c r="L35" s="81">
        <v>100</v>
      </c>
      <c r="M35" s="81">
        <v>500</v>
      </c>
      <c r="N35" s="81">
        <v>1111111</v>
      </c>
      <c r="O35" s="83" t="s">
        <v>450</v>
      </c>
      <c r="P35" s="84">
        <f>IFERROR(INDEX([1]Point!$A:$A,MATCH(O35,[1]Point!$B:$B,0),1),"-")</f>
        <v>100001</v>
      </c>
      <c r="Q35" s="81">
        <v>7000000</v>
      </c>
      <c r="R35" s="82" t="s">
        <v>466</v>
      </c>
      <c r="S35" s="11">
        <f>IFERROR(VLOOKUP(R$8&amp;R35,[1]_enum!$A:$D,4,FALSE),"-")</f>
        <v>2</v>
      </c>
      <c r="T35" s="110" t="s">
        <v>625</v>
      </c>
      <c r="U35" s="115">
        <f>IFERROR(IF(S35=0,INDEX([1]ShipSlot!$A:$A,MATCH(T35,[1]ShipSlot!$C:$C,0)),IF(S35=1,INDEX([1]CEquip!$A:$A,MATCH(T35,[1]CEquip!$B:$B,0)), INDEX([1]Item!$A:$A,MATCH(T35,[1]Item!$B:$B,0)))), "-")</f>
        <v>23550021</v>
      </c>
      <c r="V35" s="94">
        <v>10</v>
      </c>
      <c r="W35" s="82" t="s">
        <v>466</v>
      </c>
      <c r="X35" s="11">
        <f>IFERROR(VLOOKUP(W$8&amp;W35,[1]_enum!$A:$D,4,FALSE),"-")</f>
        <v>2</v>
      </c>
      <c r="Y35" s="110" t="s">
        <v>483</v>
      </c>
      <c r="Z35" s="115">
        <f>IFERROR(IF(X35=0,INDEX([1]ShipSlot!$A:$A,MATCH(Y35,[1]ShipSlot!$C:$C,0)),IF(X35=1,INDEX([1]CEquip!$A:$A,MATCH(Y35,[1]CEquip!$B:$B,0)), INDEX([1]Item!$A:$A,MATCH(Y35,[1]Item!$B:$B,0)))), "-")</f>
        <v>23550023</v>
      </c>
      <c r="AA35" s="94">
        <v>100</v>
      </c>
      <c r="AB35" s="82"/>
      <c r="AC35" s="11" t="str">
        <f>IFERROR(VLOOKUP(AB$8&amp;AB35,[1]_enum!$A:$D,4,FALSE),"-")</f>
        <v>-</v>
      </c>
      <c r="AD35" s="110"/>
      <c r="AE35" s="115" t="str">
        <f>IFERROR(IF(AC35=0,INDEX([1]ShipSlot!$A:$A,MATCH(AD35,[1]ShipSlot!$C:$C,0)),IF(AC35=1,INDEX([1]CEquip!$A:$A,MATCH(AD35,[1]CEquip!$B:$B,0)), INDEX([1]Item!$A:$A,MATCH(AD35,[1]Item!$B:$B,0)))), "-")</f>
        <v>-</v>
      </c>
      <c r="AF35" s="94" t="s">
        <v>18</v>
      </c>
      <c r="AG35" s="82"/>
      <c r="AH35" s="11" t="str">
        <f>IFERROR(VLOOKUP(AG$8&amp;AG35,[1]_enum!$A:$D,4,FALSE),"-")</f>
        <v>-</v>
      </c>
      <c r="AI35" s="110"/>
      <c r="AJ35" s="115" t="str">
        <f>IFERROR(IF(AH35=0,INDEX([1]ShipSlot!$A:$A,MATCH(AI35,[1]ShipSlot!$C:$C,0)),IF(AH35=1,INDEX([1]CEquip!$A:$A,MATCH(AI35,[1]CEquip!$B:$B,0)), INDEX([1]Item!$A:$A,MATCH(AI35,[1]Item!$B:$B,0)))), "-")</f>
        <v>-</v>
      </c>
      <c r="AK35" s="94" t="s">
        <v>18</v>
      </c>
    </row>
    <row r="36" spans="1:37" x14ac:dyDescent="0.2">
      <c r="A36" s="79">
        <v>2027</v>
      </c>
      <c r="B36" s="82" t="s">
        <v>464</v>
      </c>
      <c r="C36" s="11">
        <f>IFERROR(VLOOKUP(B$8&amp;B36,[1]_enum!$A:$D,4,FALSE),"-")</f>
        <v>0</v>
      </c>
      <c r="D36" s="89" t="s">
        <v>531</v>
      </c>
      <c r="E36" s="115">
        <f>IFERROR(IF(C36=0,INDEX([1]ShipSlot!$A:$A,MATCH(D36,[1]ShipSlot!$C:$C,0)),IF(C36=1,INDEX([1]CEquip!$A:$A,MATCH(D36,[1]CEquip!$B:$B,0)), INDEX([1]Item!$A:$A,MATCH(D36,[1]Item!$B:$B,0)))), "-")</f>
        <v>70101382</v>
      </c>
      <c r="F36" s="82" t="s">
        <v>518</v>
      </c>
      <c r="G36" s="82" t="s">
        <v>533</v>
      </c>
      <c r="H36" s="81">
        <v>86400</v>
      </c>
      <c r="I36" s="81">
        <v>8</v>
      </c>
      <c r="J36" s="82" t="s">
        <v>593</v>
      </c>
      <c r="K36" s="81">
        <f>IFERROR(VLOOKUP(J$8&amp;J36,[1]_enum!$A:$D,4,FALSE),"-")</f>
        <v>0</v>
      </c>
      <c r="L36" s="81">
        <v>100</v>
      </c>
      <c r="M36" s="81">
        <v>500</v>
      </c>
      <c r="N36" s="81">
        <v>1111111</v>
      </c>
      <c r="O36" s="83" t="s">
        <v>450</v>
      </c>
      <c r="P36" s="84">
        <f>IFERROR(INDEX([1]Point!$A:$A,MATCH(O36,[1]Point!$B:$B,0),1),"-")</f>
        <v>100001</v>
      </c>
      <c r="Q36" s="81">
        <v>7000000</v>
      </c>
      <c r="R36" s="82" t="s">
        <v>466</v>
      </c>
      <c r="S36" s="11">
        <f>IFERROR(VLOOKUP(R$8&amp;R36,[1]_enum!$A:$D,4,FALSE),"-")</f>
        <v>2</v>
      </c>
      <c r="T36" s="110" t="s">
        <v>625</v>
      </c>
      <c r="U36" s="115">
        <f>IFERROR(IF(S36=0,INDEX([1]ShipSlot!$A:$A,MATCH(T36,[1]ShipSlot!$C:$C,0)),IF(S36=1,INDEX([1]CEquip!$A:$A,MATCH(T36,[1]CEquip!$B:$B,0)), INDEX([1]Item!$A:$A,MATCH(T36,[1]Item!$B:$B,0)))), "-")</f>
        <v>23550021</v>
      </c>
      <c r="V36" s="94">
        <v>10</v>
      </c>
      <c r="W36" s="82" t="s">
        <v>466</v>
      </c>
      <c r="X36" s="11">
        <f>IFERROR(VLOOKUP(W$8&amp;W36,[1]_enum!$A:$D,4,FALSE),"-")</f>
        <v>2</v>
      </c>
      <c r="Y36" s="110" t="s">
        <v>483</v>
      </c>
      <c r="Z36" s="115">
        <f>IFERROR(IF(X36=0,INDEX([1]ShipSlot!$A:$A,MATCH(Y36,[1]ShipSlot!$C:$C,0)),IF(X36=1,INDEX([1]CEquip!$A:$A,MATCH(Y36,[1]CEquip!$B:$B,0)), INDEX([1]Item!$A:$A,MATCH(Y36,[1]Item!$B:$B,0)))), "-")</f>
        <v>23550023</v>
      </c>
      <c r="AA36" s="94">
        <v>100</v>
      </c>
      <c r="AB36" s="82"/>
      <c r="AC36" s="11" t="str">
        <f>IFERROR(VLOOKUP(AB$8&amp;AB36,[1]_enum!$A:$D,4,FALSE),"-")</f>
        <v>-</v>
      </c>
      <c r="AD36" s="110"/>
      <c r="AE36" s="115" t="str">
        <f>IFERROR(IF(AC36=0,INDEX([1]ShipSlot!$A:$A,MATCH(AD36,[1]ShipSlot!$C:$C,0)),IF(AC36=1,INDEX([1]CEquip!$A:$A,MATCH(AD36,[1]CEquip!$B:$B,0)), INDEX([1]Item!$A:$A,MATCH(AD36,[1]Item!$B:$B,0)))), "-")</f>
        <v>-</v>
      </c>
      <c r="AF36" s="94" t="s">
        <v>18</v>
      </c>
      <c r="AG36" s="82"/>
      <c r="AH36" s="11" t="str">
        <f>IFERROR(VLOOKUP(AG$8&amp;AG36,[1]_enum!$A:$D,4,FALSE),"-")</f>
        <v>-</v>
      </c>
      <c r="AI36" s="110"/>
      <c r="AJ36" s="115" t="str">
        <f>IFERROR(IF(AH36=0,INDEX([1]ShipSlot!$A:$A,MATCH(AI36,[1]ShipSlot!$C:$C,0)),IF(AH36=1,INDEX([1]CEquip!$A:$A,MATCH(AI36,[1]CEquip!$B:$B,0)), INDEX([1]Item!$A:$A,MATCH(AI36,[1]Item!$B:$B,0)))), "-")</f>
        <v>-</v>
      </c>
      <c r="AK36" s="94" t="s">
        <v>18</v>
      </c>
    </row>
    <row r="37" spans="1:37" x14ac:dyDescent="0.2">
      <c r="A37" s="79">
        <v>2028</v>
      </c>
      <c r="B37" s="82" t="s">
        <v>464</v>
      </c>
      <c r="C37" s="11">
        <f>IFERROR(VLOOKUP(B$8&amp;B37,[1]_enum!$A:$D,4,FALSE),"-")</f>
        <v>0</v>
      </c>
      <c r="D37" s="110" t="s">
        <v>532</v>
      </c>
      <c r="E37" s="115">
        <f>IFERROR(IF(C37=0,INDEX([1]ShipSlot!$A:$A,MATCH(D37,[1]ShipSlot!$C:$C,0)),IF(C37=1,INDEX([1]CEquip!$A:$A,MATCH(D37,[1]CEquip!$B:$B,0)), INDEX([1]Item!$A:$A,MATCH(D37,[1]Item!$B:$B,0)))), "-")</f>
        <v>70101383</v>
      </c>
      <c r="F37" s="82" t="s">
        <v>518</v>
      </c>
      <c r="G37" s="82" t="s">
        <v>533</v>
      </c>
      <c r="H37" s="81">
        <v>86400</v>
      </c>
      <c r="I37" s="81">
        <v>8</v>
      </c>
      <c r="J37" s="82" t="s">
        <v>593</v>
      </c>
      <c r="K37" s="81">
        <f>IFERROR(VLOOKUP(J$8&amp;J37,[1]_enum!$A:$D,4,FALSE),"-")</f>
        <v>0</v>
      </c>
      <c r="L37" s="81">
        <v>100</v>
      </c>
      <c r="M37" s="81">
        <v>500</v>
      </c>
      <c r="N37" s="81">
        <v>1111111</v>
      </c>
      <c r="O37" s="83" t="s">
        <v>450</v>
      </c>
      <c r="P37" s="84">
        <f>IFERROR(INDEX([1]Point!$A:$A,MATCH(O37,[1]Point!$B:$B,0),1),"-")</f>
        <v>100001</v>
      </c>
      <c r="Q37" s="81">
        <v>7000000</v>
      </c>
      <c r="R37" s="82" t="s">
        <v>466</v>
      </c>
      <c r="S37" s="11">
        <f>IFERROR(VLOOKUP(R$8&amp;R37,[1]_enum!$A:$D,4,FALSE),"-")</f>
        <v>2</v>
      </c>
      <c r="T37" s="110" t="s">
        <v>625</v>
      </c>
      <c r="U37" s="115">
        <f>IFERROR(IF(S37=0,INDEX([1]ShipSlot!$A:$A,MATCH(T37,[1]ShipSlot!$C:$C,0)),IF(S37=1,INDEX([1]CEquip!$A:$A,MATCH(T37,[1]CEquip!$B:$B,0)), INDEX([1]Item!$A:$A,MATCH(T37,[1]Item!$B:$B,0)))), "-")</f>
        <v>23550021</v>
      </c>
      <c r="V37" s="94">
        <v>10</v>
      </c>
      <c r="W37" s="82" t="s">
        <v>466</v>
      </c>
      <c r="X37" s="11">
        <f>IFERROR(VLOOKUP(W$8&amp;W37,[1]_enum!$A:$D,4,FALSE),"-")</f>
        <v>2</v>
      </c>
      <c r="Y37" s="110" t="s">
        <v>483</v>
      </c>
      <c r="Z37" s="115">
        <f>IFERROR(IF(X37=0,INDEX([1]ShipSlot!$A:$A,MATCH(Y37,[1]ShipSlot!$C:$C,0)),IF(X37=1,INDEX([1]CEquip!$A:$A,MATCH(Y37,[1]CEquip!$B:$B,0)), INDEX([1]Item!$A:$A,MATCH(Y37,[1]Item!$B:$B,0)))), "-")</f>
        <v>23550023</v>
      </c>
      <c r="AA37" s="94">
        <v>100</v>
      </c>
      <c r="AB37" s="82"/>
      <c r="AC37" s="11" t="str">
        <f>IFERROR(VLOOKUP(AB$8&amp;AB37,[1]_enum!$A:$D,4,FALSE),"-")</f>
        <v>-</v>
      </c>
      <c r="AD37" s="110"/>
      <c r="AE37" s="115" t="str">
        <f>IFERROR(IF(AC37=0,INDEX([1]ShipSlot!$A:$A,MATCH(AD37,[1]ShipSlot!$C:$C,0)),IF(AC37=1,INDEX([1]CEquip!$A:$A,MATCH(AD37,[1]CEquip!$B:$B,0)), INDEX([1]Item!$A:$A,MATCH(AD37,[1]Item!$B:$B,0)))), "-")</f>
        <v>-</v>
      </c>
      <c r="AF37" s="94" t="s">
        <v>18</v>
      </c>
      <c r="AG37" s="82"/>
      <c r="AH37" s="11" t="str">
        <f>IFERROR(VLOOKUP(AG$8&amp;AG37,[1]_enum!$A:$D,4,FALSE),"-")</f>
        <v>-</v>
      </c>
      <c r="AI37" s="110"/>
      <c r="AJ37" s="115" t="str">
        <f>IFERROR(IF(AH37=0,INDEX([1]ShipSlot!$A:$A,MATCH(AI37,[1]ShipSlot!$C:$C,0)),IF(AH37=1,INDEX([1]CEquip!$A:$A,MATCH(AI37,[1]CEquip!$B:$B,0)), INDEX([1]Item!$A:$A,MATCH(AI37,[1]Item!$B:$B,0)))), "-")</f>
        <v>-</v>
      </c>
      <c r="AK37" s="94" t="s">
        <v>18</v>
      </c>
    </row>
    <row r="38" spans="1:37" x14ac:dyDescent="0.2">
      <c r="A38" s="119">
        <v>2029</v>
      </c>
      <c r="B38" s="82" t="s">
        <v>464</v>
      </c>
      <c r="C38" s="11">
        <f>IFERROR(VLOOKUP(B$8&amp;B38,[1]_enum!$A:$D,4,FALSE),"-")</f>
        <v>0</v>
      </c>
      <c r="D38" s="83" t="s">
        <v>633</v>
      </c>
      <c r="E38" s="115">
        <f>IFERROR(IF(C38=0,INDEX([1]ShipSlot!$A:$A,MATCH(D38,[1]ShipSlot!$C:$C,0)),IF(C38=1,INDEX([1]CEquip!$A:$A,MATCH(D38,[1]CEquip!$B:$B,0)), INDEX([1]Item!$A:$A,MATCH(D38,[1]Item!$B:$B,0)))), "-")</f>
        <v>70101385</v>
      </c>
      <c r="F38" s="82" t="s">
        <v>663</v>
      </c>
      <c r="G38" s="82" t="s">
        <v>660</v>
      </c>
      <c r="H38" s="81">
        <v>1800</v>
      </c>
      <c r="I38" s="81">
        <v>2</v>
      </c>
      <c r="J38" s="82" t="s">
        <v>593</v>
      </c>
      <c r="K38" s="81">
        <f>IFERROR(VLOOKUP(J$8&amp;J38,[1]_enum!$A:$D,4,FALSE),"-")</f>
        <v>0</v>
      </c>
      <c r="L38" s="81">
        <v>100</v>
      </c>
      <c r="M38" s="81">
        <v>100</v>
      </c>
      <c r="N38" s="81">
        <v>1111111</v>
      </c>
      <c r="O38" s="83" t="s">
        <v>450</v>
      </c>
      <c r="P38" s="84">
        <f>IFERROR(INDEX([1]Point!$A:$A,MATCH(O38,[1]Point!$B:$B,0),1),"-")</f>
        <v>100001</v>
      </c>
      <c r="Q38" s="81">
        <v>360000</v>
      </c>
      <c r="R38" s="82" t="s">
        <v>466</v>
      </c>
      <c r="S38" s="11">
        <f>IFERROR(VLOOKUP(R$8&amp;R38,[1]_enum!$A:$D,4,FALSE),"-")</f>
        <v>2</v>
      </c>
      <c r="T38" s="110" t="s">
        <v>619</v>
      </c>
      <c r="U38" s="115">
        <f>IFERROR(IF(S38=0,INDEX([1]ShipSlot!$A:$A,MATCH(T38,[1]ShipSlot!$C:$C,0)),IF(S38=1,INDEX([1]CEquip!$A:$A,MATCH(T38,[1]CEquip!$B:$B,0)), INDEX([1]Item!$A:$A,MATCH(T38,[1]Item!$B:$B,0)))), "-")</f>
        <v>23550013</v>
      </c>
      <c r="V38" s="94">
        <v>10</v>
      </c>
      <c r="W38" s="82" t="s">
        <v>466</v>
      </c>
      <c r="X38" s="11">
        <f>IFERROR(VLOOKUP(W$8&amp;W38,[1]_enum!$A:$D,4,FALSE),"-")</f>
        <v>2</v>
      </c>
      <c r="Y38" s="110" t="s">
        <v>488</v>
      </c>
      <c r="Z38" s="115">
        <f>IFERROR(IF(X38=0,INDEX([1]ShipSlot!$A:$A,MATCH(Y38,[1]ShipSlot!$C:$C,0)),IF(X38=1,INDEX([1]CEquip!$A:$A,MATCH(Y38,[1]CEquip!$B:$B,0)), INDEX([1]Item!$A:$A,MATCH(Y38,[1]Item!$B:$B,0)))), "-")</f>
        <v>23550014</v>
      </c>
      <c r="AA38" s="94">
        <v>50</v>
      </c>
      <c r="AB38" s="82" t="s">
        <v>466</v>
      </c>
      <c r="AC38" s="11">
        <f>IFERROR(VLOOKUP(AB$8&amp;AB38,[1]_enum!$A:$D,4,FALSE),"-")</f>
        <v>2</v>
      </c>
      <c r="AD38" s="110" t="s">
        <v>489</v>
      </c>
      <c r="AE38" s="115">
        <f>IFERROR(IF(AC38=0,INDEX([1]ShipSlot!$A:$A,MATCH(AD38,[1]ShipSlot!$C:$C,0)),IF(AC38=1,INDEX([1]CEquip!$A:$A,MATCH(AD38,[1]CEquip!$B:$B,0)), INDEX([1]Item!$A:$A,MATCH(AD38,[1]Item!$B:$B,0)))), "-")</f>
        <v>23550015</v>
      </c>
      <c r="AF38" s="94">
        <v>50</v>
      </c>
      <c r="AG38" s="82" t="s">
        <v>466</v>
      </c>
      <c r="AH38" s="11">
        <f>IFERROR(VLOOKUP(AG$8&amp;AG38,[1]_enum!$A:$D,4,FALSE),"-")</f>
        <v>2</v>
      </c>
      <c r="AI38" s="110" t="s">
        <v>490</v>
      </c>
      <c r="AJ38" s="115">
        <f>IFERROR(IF(AH38=0,INDEX([1]ShipSlot!$A:$A,MATCH(AI38,[1]ShipSlot!$C:$C,0)),IF(AH38=1,INDEX([1]CEquip!$A:$A,MATCH(AI38,[1]CEquip!$B:$B,0)), INDEX([1]Item!$A:$A,MATCH(AI38,[1]Item!$B:$B,0)))), "-")</f>
        <v>23550016</v>
      </c>
      <c r="AK38" s="94">
        <v>50</v>
      </c>
    </row>
    <row r="39" spans="1:37" x14ac:dyDescent="0.2">
      <c r="A39" s="119">
        <v>2030</v>
      </c>
      <c r="B39" s="82" t="s">
        <v>464</v>
      </c>
      <c r="C39" s="11">
        <f>IFERROR(VLOOKUP(B$8&amp;B39,[1]_enum!$A:$D,4,FALSE),"-")</f>
        <v>0</v>
      </c>
      <c r="D39" s="83" t="s">
        <v>634</v>
      </c>
      <c r="E39" s="115">
        <f>IFERROR(IF(C39=0,INDEX([1]ShipSlot!$A:$A,MATCH(D39,[1]ShipSlot!$C:$C,0)),IF(C39=1,INDEX([1]CEquip!$A:$A,MATCH(D39,[1]CEquip!$B:$B,0)), INDEX([1]Item!$A:$A,MATCH(D39,[1]Item!$B:$B,0)))), "-")</f>
        <v>70101386</v>
      </c>
      <c r="F39" s="82" t="s">
        <v>663</v>
      </c>
      <c r="G39" s="82" t="s">
        <v>660</v>
      </c>
      <c r="H39" s="81">
        <v>1800</v>
      </c>
      <c r="I39" s="81">
        <v>2</v>
      </c>
      <c r="J39" s="82" t="s">
        <v>593</v>
      </c>
      <c r="K39" s="81">
        <f>IFERROR(VLOOKUP(J$8&amp;J39,[1]_enum!$A:$D,4,FALSE),"-")</f>
        <v>0</v>
      </c>
      <c r="L39" s="81">
        <v>100</v>
      </c>
      <c r="M39" s="81">
        <v>100</v>
      </c>
      <c r="N39" s="81">
        <v>1111111</v>
      </c>
      <c r="O39" s="83" t="s">
        <v>450</v>
      </c>
      <c r="P39" s="84">
        <f>IFERROR(INDEX([1]Point!$A:$A,MATCH(O39,[1]Point!$B:$B,0),1),"-")</f>
        <v>100001</v>
      </c>
      <c r="Q39" s="81">
        <v>360000</v>
      </c>
      <c r="R39" s="82" t="s">
        <v>466</v>
      </c>
      <c r="S39" s="11">
        <f>IFERROR(VLOOKUP(R$8&amp;R39,[1]_enum!$A:$D,4,FALSE),"-")</f>
        <v>2</v>
      </c>
      <c r="T39" s="110" t="s">
        <v>619</v>
      </c>
      <c r="U39" s="115">
        <f>IFERROR(IF(S39=0,INDEX([1]ShipSlot!$A:$A,MATCH(T39,[1]ShipSlot!$C:$C,0)),IF(S39=1,INDEX([1]CEquip!$A:$A,MATCH(T39,[1]CEquip!$B:$B,0)), INDEX([1]Item!$A:$A,MATCH(T39,[1]Item!$B:$B,0)))), "-")</f>
        <v>23550013</v>
      </c>
      <c r="V39" s="94">
        <v>10</v>
      </c>
      <c r="W39" s="82" t="s">
        <v>466</v>
      </c>
      <c r="X39" s="11">
        <f>IFERROR(VLOOKUP(W$8&amp;W39,[1]_enum!$A:$D,4,FALSE),"-")</f>
        <v>2</v>
      </c>
      <c r="Y39" s="110" t="s">
        <v>488</v>
      </c>
      <c r="Z39" s="115">
        <f>IFERROR(IF(X39=0,INDEX([1]ShipSlot!$A:$A,MATCH(Y39,[1]ShipSlot!$C:$C,0)),IF(X39=1,INDEX([1]CEquip!$A:$A,MATCH(Y39,[1]CEquip!$B:$B,0)), INDEX([1]Item!$A:$A,MATCH(Y39,[1]Item!$B:$B,0)))), "-")</f>
        <v>23550014</v>
      </c>
      <c r="AA39" s="94">
        <v>50</v>
      </c>
      <c r="AB39" s="82" t="s">
        <v>466</v>
      </c>
      <c r="AC39" s="11">
        <f>IFERROR(VLOOKUP(AB$8&amp;AB39,[1]_enum!$A:$D,4,FALSE),"-")</f>
        <v>2</v>
      </c>
      <c r="AD39" s="110" t="s">
        <v>489</v>
      </c>
      <c r="AE39" s="115">
        <f>IFERROR(IF(AC39=0,INDEX([1]ShipSlot!$A:$A,MATCH(AD39,[1]ShipSlot!$C:$C,0)),IF(AC39=1,INDEX([1]CEquip!$A:$A,MATCH(AD39,[1]CEquip!$B:$B,0)), INDEX([1]Item!$A:$A,MATCH(AD39,[1]Item!$B:$B,0)))), "-")</f>
        <v>23550015</v>
      </c>
      <c r="AF39" s="94">
        <v>50</v>
      </c>
      <c r="AG39" s="82" t="s">
        <v>466</v>
      </c>
      <c r="AH39" s="11">
        <f>IFERROR(VLOOKUP(AG$8&amp;AG39,[1]_enum!$A:$D,4,FALSE),"-")</f>
        <v>2</v>
      </c>
      <c r="AI39" s="110" t="s">
        <v>490</v>
      </c>
      <c r="AJ39" s="115">
        <f>IFERROR(IF(AH39=0,INDEX([1]ShipSlot!$A:$A,MATCH(AI39,[1]ShipSlot!$C:$C,0)),IF(AH39=1,INDEX([1]CEquip!$A:$A,MATCH(AI39,[1]CEquip!$B:$B,0)), INDEX([1]Item!$A:$A,MATCH(AI39,[1]Item!$B:$B,0)))), "-")</f>
        <v>23550016</v>
      </c>
      <c r="AK39" s="94">
        <v>50</v>
      </c>
    </row>
    <row r="40" spans="1:37" x14ac:dyDescent="0.2">
      <c r="A40" s="119">
        <v>2031</v>
      </c>
      <c r="B40" s="82" t="s">
        <v>464</v>
      </c>
      <c r="C40" s="11">
        <f>IFERROR(VLOOKUP(B$8&amp;B40,[1]_enum!$A:$D,4,FALSE),"-")</f>
        <v>0</v>
      </c>
      <c r="D40" s="89" t="s">
        <v>635</v>
      </c>
      <c r="E40" s="115">
        <f>IFERROR(IF(C40=0,INDEX([1]ShipSlot!$A:$A,MATCH(D40,[1]ShipSlot!$C:$C,0)),IF(C40=1,INDEX([1]CEquip!$A:$A,MATCH(D40,[1]CEquip!$B:$B,0)), INDEX([1]Item!$A:$A,MATCH(D40,[1]Item!$B:$B,0)))), "-")</f>
        <v>70101387</v>
      </c>
      <c r="F40" s="82" t="s">
        <v>663</v>
      </c>
      <c r="G40" s="82" t="s">
        <v>660</v>
      </c>
      <c r="H40" s="81">
        <v>1800</v>
      </c>
      <c r="I40" s="81">
        <v>2</v>
      </c>
      <c r="J40" s="82" t="s">
        <v>593</v>
      </c>
      <c r="K40" s="81">
        <f>IFERROR(VLOOKUP(J$8&amp;J40,[1]_enum!$A:$D,4,FALSE),"-")</f>
        <v>0</v>
      </c>
      <c r="L40" s="81">
        <v>100</v>
      </c>
      <c r="M40" s="81">
        <v>100</v>
      </c>
      <c r="N40" s="81">
        <v>1111111</v>
      </c>
      <c r="O40" s="83" t="s">
        <v>450</v>
      </c>
      <c r="P40" s="84">
        <f>IFERROR(INDEX([1]Point!$A:$A,MATCH(O40,[1]Point!$B:$B,0),1),"-")</f>
        <v>100001</v>
      </c>
      <c r="Q40" s="81">
        <v>360000</v>
      </c>
      <c r="R40" s="82" t="s">
        <v>466</v>
      </c>
      <c r="S40" s="11">
        <f>IFERROR(VLOOKUP(R$8&amp;R40,[1]_enum!$A:$D,4,FALSE),"-")</f>
        <v>2</v>
      </c>
      <c r="T40" s="110" t="s">
        <v>619</v>
      </c>
      <c r="U40" s="115">
        <f>IFERROR(IF(S40=0,INDEX([1]ShipSlot!$A:$A,MATCH(T40,[1]ShipSlot!$C:$C,0)),IF(S40=1,INDEX([1]CEquip!$A:$A,MATCH(T40,[1]CEquip!$B:$B,0)), INDEX([1]Item!$A:$A,MATCH(T40,[1]Item!$B:$B,0)))), "-")</f>
        <v>23550013</v>
      </c>
      <c r="V40" s="94">
        <v>10</v>
      </c>
      <c r="W40" s="82" t="s">
        <v>466</v>
      </c>
      <c r="X40" s="11">
        <f>IFERROR(VLOOKUP(W$8&amp;W40,[1]_enum!$A:$D,4,FALSE),"-")</f>
        <v>2</v>
      </c>
      <c r="Y40" s="110" t="s">
        <v>488</v>
      </c>
      <c r="Z40" s="115">
        <f>IFERROR(IF(X40=0,INDEX([1]ShipSlot!$A:$A,MATCH(Y40,[1]ShipSlot!$C:$C,0)),IF(X40=1,INDEX([1]CEquip!$A:$A,MATCH(Y40,[1]CEquip!$B:$B,0)), INDEX([1]Item!$A:$A,MATCH(Y40,[1]Item!$B:$B,0)))), "-")</f>
        <v>23550014</v>
      </c>
      <c r="AA40" s="94">
        <v>50</v>
      </c>
      <c r="AB40" s="82" t="s">
        <v>466</v>
      </c>
      <c r="AC40" s="11">
        <f>IFERROR(VLOOKUP(AB$8&amp;AB40,[1]_enum!$A:$D,4,FALSE),"-")</f>
        <v>2</v>
      </c>
      <c r="AD40" s="110" t="s">
        <v>489</v>
      </c>
      <c r="AE40" s="115">
        <f>IFERROR(IF(AC40=0,INDEX([1]ShipSlot!$A:$A,MATCH(AD40,[1]ShipSlot!$C:$C,0)),IF(AC40=1,INDEX([1]CEquip!$A:$A,MATCH(AD40,[1]CEquip!$B:$B,0)), INDEX([1]Item!$A:$A,MATCH(AD40,[1]Item!$B:$B,0)))), "-")</f>
        <v>23550015</v>
      </c>
      <c r="AF40" s="94">
        <v>50</v>
      </c>
      <c r="AG40" s="82" t="s">
        <v>466</v>
      </c>
      <c r="AH40" s="11">
        <f>IFERROR(VLOOKUP(AG$8&amp;AG40,[1]_enum!$A:$D,4,FALSE),"-")</f>
        <v>2</v>
      </c>
      <c r="AI40" s="110" t="s">
        <v>490</v>
      </c>
      <c r="AJ40" s="115">
        <f>IFERROR(IF(AH40=0,INDEX([1]ShipSlot!$A:$A,MATCH(AI40,[1]ShipSlot!$C:$C,0)),IF(AH40=1,INDEX([1]CEquip!$A:$A,MATCH(AI40,[1]CEquip!$B:$B,0)), INDEX([1]Item!$A:$A,MATCH(AI40,[1]Item!$B:$B,0)))), "-")</f>
        <v>23550016</v>
      </c>
      <c r="AK40" s="94">
        <v>50</v>
      </c>
    </row>
    <row r="41" spans="1:37" x14ac:dyDescent="0.2">
      <c r="A41" s="119">
        <v>2032</v>
      </c>
      <c r="B41" s="82" t="s">
        <v>464</v>
      </c>
      <c r="C41" s="11">
        <f>IFERROR(VLOOKUP(B$8&amp;B41,[1]_enum!$A:$D,4,FALSE),"-")</f>
        <v>0</v>
      </c>
      <c r="D41" s="110" t="s">
        <v>636</v>
      </c>
      <c r="E41" s="115">
        <f>IFERROR(IF(C41=0,INDEX([1]ShipSlot!$A:$A,MATCH(D41,[1]ShipSlot!$C:$C,0)),IF(C41=1,INDEX([1]CEquip!$A:$A,MATCH(D41,[1]CEquip!$B:$B,0)), INDEX([1]Item!$A:$A,MATCH(D41,[1]Item!$B:$B,0)))), "-")</f>
        <v>70101388</v>
      </c>
      <c r="F41" s="82" t="s">
        <v>663</v>
      </c>
      <c r="G41" s="82" t="s">
        <v>660</v>
      </c>
      <c r="H41" s="81">
        <v>1800</v>
      </c>
      <c r="I41" s="81">
        <v>2</v>
      </c>
      <c r="J41" s="82" t="s">
        <v>593</v>
      </c>
      <c r="K41" s="81">
        <f>IFERROR(VLOOKUP(J$8&amp;J41,[1]_enum!$A:$D,4,FALSE),"-")</f>
        <v>0</v>
      </c>
      <c r="L41" s="81">
        <v>100</v>
      </c>
      <c r="M41" s="81">
        <v>100</v>
      </c>
      <c r="N41" s="81">
        <v>1111111</v>
      </c>
      <c r="O41" s="83" t="s">
        <v>450</v>
      </c>
      <c r="P41" s="84">
        <f>IFERROR(INDEX([1]Point!$A:$A,MATCH(O41,[1]Point!$B:$B,0),1),"-")</f>
        <v>100001</v>
      </c>
      <c r="Q41" s="81">
        <v>360000</v>
      </c>
      <c r="R41" s="82" t="s">
        <v>466</v>
      </c>
      <c r="S41" s="11">
        <f>IFERROR(VLOOKUP(R$8&amp;R41,[1]_enum!$A:$D,4,FALSE),"-")</f>
        <v>2</v>
      </c>
      <c r="T41" s="110" t="s">
        <v>619</v>
      </c>
      <c r="U41" s="115">
        <f>IFERROR(IF(S41=0,INDEX([1]ShipSlot!$A:$A,MATCH(T41,[1]ShipSlot!$C:$C,0)),IF(S41=1,INDEX([1]CEquip!$A:$A,MATCH(T41,[1]CEquip!$B:$B,0)), INDEX([1]Item!$A:$A,MATCH(T41,[1]Item!$B:$B,0)))), "-")</f>
        <v>23550013</v>
      </c>
      <c r="V41" s="94">
        <v>10</v>
      </c>
      <c r="W41" s="82" t="s">
        <v>466</v>
      </c>
      <c r="X41" s="11">
        <f>IFERROR(VLOOKUP(W$8&amp;W41,[1]_enum!$A:$D,4,FALSE),"-")</f>
        <v>2</v>
      </c>
      <c r="Y41" s="110" t="s">
        <v>488</v>
      </c>
      <c r="Z41" s="115">
        <f>IFERROR(IF(X41=0,INDEX([1]ShipSlot!$A:$A,MATCH(Y41,[1]ShipSlot!$C:$C,0)),IF(X41=1,INDEX([1]CEquip!$A:$A,MATCH(Y41,[1]CEquip!$B:$B,0)), INDEX([1]Item!$A:$A,MATCH(Y41,[1]Item!$B:$B,0)))), "-")</f>
        <v>23550014</v>
      </c>
      <c r="AA41" s="94">
        <v>50</v>
      </c>
      <c r="AB41" s="82" t="s">
        <v>466</v>
      </c>
      <c r="AC41" s="11">
        <f>IFERROR(VLOOKUP(AB$8&amp;AB41,[1]_enum!$A:$D,4,FALSE),"-")</f>
        <v>2</v>
      </c>
      <c r="AD41" s="110" t="s">
        <v>489</v>
      </c>
      <c r="AE41" s="115">
        <f>IFERROR(IF(AC41=0,INDEX([1]ShipSlot!$A:$A,MATCH(AD41,[1]ShipSlot!$C:$C,0)),IF(AC41=1,INDEX([1]CEquip!$A:$A,MATCH(AD41,[1]CEquip!$B:$B,0)), INDEX([1]Item!$A:$A,MATCH(AD41,[1]Item!$B:$B,0)))), "-")</f>
        <v>23550015</v>
      </c>
      <c r="AF41" s="94">
        <v>50</v>
      </c>
      <c r="AG41" s="82" t="s">
        <v>466</v>
      </c>
      <c r="AH41" s="11">
        <f>IFERROR(VLOOKUP(AG$8&amp;AG41,[1]_enum!$A:$D,4,FALSE),"-")</f>
        <v>2</v>
      </c>
      <c r="AI41" s="110" t="s">
        <v>490</v>
      </c>
      <c r="AJ41" s="115">
        <f>IFERROR(IF(AH41=0,INDEX([1]ShipSlot!$A:$A,MATCH(AI41,[1]ShipSlot!$C:$C,0)),IF(AH41=1,INDEX([1]CEquip!$A:$A,MATCH(AI41,[1]CEquip!$B:$B,0)), INDEX([1]Item!$A:$A,MATCH(AI41,[1]Item!$B:$B,0)))), "-")</f>
        <v>23550016</v>
      </c>
      <c r="AK41" s="94">
        <v>50</v>
      </c>
    </row>
    <row r="42" spans="1:37" x14ac:dyDescent="0.2">
      <c r="A42" s="119">
        <v>2033</v>
      </c>
      <c r="B42" s="82" t="s">
        <v>464</v>
      </c>
      <c r="C42" s="11">
        <f>IFERROR(VLOOKUP(B$8&amp;B42,[1]_enum!$A:$D,4,FALSE),"-")</f>
        <v>0</v>
      </c>
      <c r="D42" s="83" t="s">
        <v>637</v>
      </c>
      <c r="E42" s="115">
        <f>IFERROR(IF(C42=0,INDEX([1]ShipSlot!$A:$A,MATCH(D42,[1]ShipSlot!$C:$C,0)),IF(C42=1,INDEX([1]CEquip!$A:$A,MATCH(D42,[1]CEquip!$B:$B,0)), INDEX([1]Item!$A:$A,MATCH(D42,[1]Item!$B:$B,0)))), "-")</f>
        <v>70101389</v>
      </c>
      <c r="F42" s="82" t="s">
        <v>663</v>
      </c>
      <c r="G42" s="82" t="s">
        <v>660</v>
      </c>
      <c r="H42" s="81">
        <v>1800</v>
      </c>
      <c r="I42" s="81">
        <v>2</v>
      </c>
      <c r="J42" s="82" t="s">
        <v>593</v>
      </c>
      <c r="K42" s="81">
        <f>IFERROR(VLOOKUP(J$8&amp;J42,[1]_enum!$A:$D,4,FALSE),"-")</f>
        <v>0</v>
      </c>
      <c r="L42" s="81">
        <v>100</v>
      </c>
      <c r="M42" s="81">
        <v>100</v>
      </c>
      <c r="N42" s="81">
        <v>1111111</v>
      </c>
      <c r="O42" s="83" t="s">
        <v>450</v>
      </c>
      <c r="P42" s="84">
        <f>IFERROR(INDEX([1]Point!$A:$A,MATCH(O42,[1]Point!$B:$B,0),1),"-")</f>
        <v>100001</v>
      </c>
      <c r="Q42" s="81">
        <v>360000</v>
      </c>
      <c r="R42" s="82" t="s">
        <v>466</v>
      </c>
      <c r="S42" s="11">
        <f>IFERROR(VLOOKUP(R$8&amp;R42,[1]_enum!$A:$D,4,FALSE),"-")</f>
        <v>2</v>
      </c>
      <c r="T42" s="110" t="s">
        <v>619</v>
      </c>
      <c r="U42" s="115">
        <f>IFERROR(IF(S42=0,INDEX([1]ShipSlot!$A:$A,MATCH(T42,[1]ShipSlot!$C:$C,0)),IF(S42=1,INDEX([1]CEquip!$A:$A,MATCH(T42,[1]CEquip!$B:$B,0)), INDEX([1]Item!$A:$A,MATCH(T42,[1]Item!$B:$B,0)))), "-")</f>
        <v>23550013</v>
      </c>
      <c r="V42" s="94">
        <v>10</v>
      </c>
      <c r="W42" s="82" t="s">
        <v>466</v>
      </c>
      <c r="X42" s="11">
        <f>IFERROR(VLOOKUP(W$8&amp;W42,[1]_enum!$A:$D,4,FALSE),"-")</f>
        <v>2</v>
      </c>
      <c r="Y42" s="110" t="s">
        <v>488</v>
      </c>
      <c r="Z42" s="115">
        <f>IFERROR(IF(X42=0,INDEX([1]ShipSlot!$A:$A,MATCH(Y42,[1]ShipSlot!$C:$C,0)),IF(X42=1,INDEX([1]CEquip!$A:$A,MATCH(Y42,[1]CEquip!$B:$B,0)), INDEX([1]Item!$A:$A,MATCH(Y42,[1]Item!$B:$B,0)))), "-")</f>
        <v>23550014</v>
      </c>
      <c r="AA42" s="94">
        <v>50</v>
      </c>
      <c r="AB42" s="82" t="s">
        <v>466</v>
      </c>
      <c r="AC42" s="11">
        <f>IFERROR(VLOOKUP(AB$8&amp;AB42,[1]_enum!$A:$D,4,FALSE),"-")</f>
        <v>2</v>
      </c>
      <c r="AD42" s="110" t="s">
        <v>489</v>
      </c>
      <c r="AE42" s="115">
        <f>IFERROR(IF(AC42=0,INDEX([1]ShipSlot!$A:$A,MATCH(AD42,[1]ShipSlot!$C:$C,0)),IF(AC42=1,INDEX([1]CEquip!$A:$A,MATCH(AD42,[1]CEquip!$B:$B,0)), INDEX([1]Item!$A:$A,MATCH(AD42,[1]Item!$B:$B,0)))), "-")</f>
        <v>23550015</v>
      </c>
      <c r="AF42" s="94">
        <v>50</v>
      </c>
      <c r="AG42" s="82" t="s">
        <v>466</v>
      </c>
      <c r="AH42" s="11">
        <f>IFERROR(VLOOKUP(AG$8&amp;AG42,[1]_enum!$A:$D,4,FALSE),"-")</f>
        <v>2</v>
      </c>
      <c r="AI42" s="110" t="s">
        <v>490</v>
      </c>
      <c r="AJ42" s="115">
        <f>IFERROR(IF(AH42=0,INDEX([1]ShipSlot!$A:$A,MATCH(AI42,[1]ShipSlot!$C:$C,0)),IF(AH42=1,INDEX([1]CEquip!$A:$A,MATCH(AI42,[1]CEquip!$B:$B,0)), INDEX([1]Item!$A:$A,MATCH(AI42,[1]Item!$B:$B,0)))), "-")</f>
        <v>23550016</v>
      </c>
      <c r="AK42" s="94">
        <v>50</v>
      </c>
    </row>
    <row r="43" spans="1:37" x14ac:dyDescent="0.2">
      <c r="A43" s="119">
        <v>2034</v>
      </c>
      <c r="B43" s="82" t="s">
        <v>464</v>
      </c>
      <c r="C43" s="11">
        <f>IFERROR(VLOOKUP(B$8&amp;B43,[1]_enum!$A:$D,4,FALSE),"-")</f>
        <v>0</v>
      </c>
      <c r="D43" s="83" t="s">
        <v>638</v>
      </c>
      <c r="E43" s="115">
        <f>IFERROR(IF(C43=0,INDEX([1]ShipSlot!$A:$A,MATCH(D43,[1]ShipSlot!$C:$C,0)),IF(C43=1,INDEX([1]CEquip!$A:$A,MATCH(D43,[1]CEquip!$B:$B,0)), INDEX([1]Item!$A:$A,MATCH(D43,[1]Item!$B:$B,0)))), "-")</f>
        <v>70101390</v>
      </c>
      <c r="F43" s="82" t="s">
        <v>663</v>
      </c>
      <c r="G43" s="82" t="s">
        <v>660</v>
      </c>
      <c r="H43" s="81">
        <v>1800</v>
      </c>
      <c r="I43" s="81">
        <v>2</v>
      </c>
      <c r="J43" s="82" t="s">
        <v>593</v>
      </c>
      <c r="K43" s="81">
        <f>IFERROR(VLOOKUP(J$8&amp;J43,[1]_enum!$A:$D,4,FALSE),"-")</f>
        <v>0</v>
      </c>
      <c r="L43" s="81">
        <v>100</v>
      </c>
      <c r="M43" s="81">
        <v>100</v>
      </c>
      <c r="N43" s="81">
        <v>1111111</v>
      </c>
      <c r="O43" s="83" t="s">
        <v>450</v>
      </c>
      <c r="P43" s="84">
        <f>IFERROR(INDEX([1]Point!$A:$A,MATCH(O43,[1]Point!$B:$B,0),1),"-")</f>
        <v>100001</v>
      </c>
      <c r="Q43" s="81">
        <v>360000</v>
      </c>
      <c r="R43" s="82" t="s">
        <v>466</v>
      </c>
      <c r="S43" s="11">
        <f>IFERROR(VLOOKUP(R$8&amp;R43,[1]_enum!$A:$D,4,FALSE),"-")</f>
        <v>2</v>
      </c>
      <c r="T43" s="110" t="s">
        <v>619</v>
      </c>
      <c r="U43" s="115">
        <f>IFERROR(IF(S43=0,INDEX([1]ShipSlot!$A:$A,MATCH(T43,[1]ShipSlot!$C:$C,0)),IF(S43=1,INDEX([1]CEquip!$A:$A,MATCH(T43,[1]CEquip!$B:$B,0)), INDEX([1]Item!$A:$A,MATCH(T43,[1]Item!$B:$B,0)))), "-")</f>
        <v>23550013</v>
      </c>
      <c r="V43" s="94">
        <v>10</v>
      </c>
      <c r="W43" s="82" t="s">
        <v>466</v>
      </c>
      <c r="X43" s="11">
        <f>IFERROR(VLOOKUP(W$8&amp;W43,[1]_enum!$A:$D,4,FALSE),"-")</f>
        <v>2</v>
      </c>
      <c r="Y43" s="110" t="s">
        <v>488</v>
      </c>
      <c r="Z43" s="115">
        <f>IFERROR(IF(X43=0,INDEX([1]ShipSlot!$A:$A,MATCH(Y43,[1]ShipSlot!$C:$C,0)),IF(X43=1,INDEX([1]CEquip!$A:$A,MATCH(Y43,[1]CEquip!$B:$B,0)), INDEX([1]Item!$A:$A,MATCH(Y43,[1]Item!$B:$B,0)))), "-")</f>
        <v>23550014</v>
      </c>
      <c r="AA43" s="94">
        <v>50</v>
      </c>
      <c r="AB43" s="82" t="s">
        <v>466</v>
      </c>
      <c r="AC43" s="11">
        <f>IFERROR(VLOOKUP(AB$8&amp;AB43,[1]_enum!$A:$D,4,FALSE),"-")</f>
        <v>2</v>
      </c>
      <c r="AD43" s="110" t="s">
        <v>489</v>
      </c>
      <c r="AE43" s="115">
        <f>IFERROR(IF(AC43=0,INDEX([1]ShipSlot!$A:$A,MATCH(AD43,[1]ShipSlot!$C:$C,0)),IF(AC43=1,INDEX([1]CEquip!$A:$A,MATCH(AD43,[1]CEquip!$B:$B,0)), INDEX([1]Item!$A:$A,MATCH(AD43,[1]Item!$B:$B,0)))), "-")</f>
        <v>23550015</v>
      </c>
      <c r="AF43" s="94">
        <v>50</v>
      </c>
      <c r="AG43" s="82" t="s">
        <v>466</v>
      </c>
      <c r="AH43" s="11">
        <f>IFERROR(VLOOKUP(AG$8&amp;AG43,[1]_enum!$A:$D,4,FALSE),"-")</f>
        <v>2</v>
      </c>
      <c r="AI43" s="110" t="s">
        <v>490</v>
      </c>
      <c r="AJ43" s="115">
        <f>IFERROR(IF(AH43=0,INDEX([1]ShipSlot!$A:$A,MATCH(AI43,[1]ShipSlot!$C:$C,0)),IF(AH43=1,INDEX([1]CEquip!$A:$A,MATCH(AI43,[1]CEquip!$B:$B,0)), INDEX([1]Item!$A:$A,MATCH(AI43,[1]Item!$B:$B,0)))), "-")</f>
        <v>23550016</v>
      </c>
      <c r="AK43" s="94">
        <v>50</v>
      </c>
    </row>
    <row r="44" spans="1:37" x14ac:dyDescent="0.2">
      <c r="A44" s="119">
        <v>2035</v>
      </c>
      <c r="B44" s="82" t="s">
        <v>464</v>
      </c>
      <c r="C44" s="11">
        <f>IFERROR(VLOOKUP(B$8&amp;B44,[1]_enum!$A:$D,4,FALSE),"-")</f>
        <v>0</v>
      </c>
      <c r="D44" s="83" t="s">
        <v>639</v>
      </c>
      <c r="E44" s="115">
        <f>IFERROR(IF(C44=0,INDEX([1]ShipSlot!$A:$A,MATCH(D44,[1]ShipSlot!$C:$C,0)),IF(C44=1,INDEX([1]CEquip!$A:$A,MATCH(D44,[1]CEquip!$B:$B,0)), INDEX([1]Item!$A:$A,MATCH(D44,[1]Item!$B:$B,0)))), "-")</f>
        <v>70101391</v>
      </c>
      <c r="F44" s="82" t="s">
        <v>663</v>
      </c>
      <c r="G44" s="82" t="s">
        <v>660</v>
      </c>
      <c r="H44" s="81">
        <v>1800</v>
      </c>
      <c r="I44" s="81">
        <v>2</v>
      </c>
      <c r="J44" s="82" t="s">
        <v>593</v>
      </c>
      <c r="K44" s="81">
        <f>IFERROR(VLOOKUP(J$8&amp;J44,[1]_enum!$A:$D,4,FALSE),"-")</f>
        <v>0</v>
      </c>
      <c r="L44" s="81">
        <v>100</v>
      </c>
      <c r="M44" s="81">
        <v>100</v>
      </c>
      <c r="N44" s="81">
        <v>1111111</v>
      </c>
      <c r="O44" s="83" t="s">
        <v>450</v>
      </c>
      <c r="P44" s="84">
        <f>IFERROR(INDEX([1]Point!$A:$A,MATCH(O44,[1]Point!$B:$B,0),1),"-")</f>
        <v>100001</v>
      </c>
      <c r="Q44" s="81">
        <v>360000</v>
      </c>
      <c r="R44" s="82" t="s">
        <v>466</v>
      </c>
      <c r="S44" s="11">
        <f>IFERROR(VLOOKUP(R$8&amp;R44,[1]_enum!$A:$D,4,FALSE),"-")</f>
        <v>2</v>
      </c>
      <c r="T44" s="110" t="s">
        <v>619</v>
      </c>
      <c r="U44" s="115">
        <f>IFERROR(IF(S44=0,INDEX([1]ShipSlot!$A:$A,MATCH(T44,[1]ShipSlot!$C:$C,0)),IF(S44=1,INDEX([1]CEquip!$A:$A,MATCH(T44,[1]CEquip!$B:$B,0)), INDEX([1]Item!$A:$A,MATCH(T44,[1]Item!$B:$B,0)))), "-")</f>
        <v>23550013</v>
      </c>
      <c r="V44" s="94">
        <v>10</v>
      </c>
      <c r="W44" s="82" t="s">
        <v>466</v>
      </c>
      <c r="X44" s="11">
        <f>IFERROR(VLOOKUP(W$8&amp;W44,[1]_enum!$A:$D,4,FALSE),"-")</f>
        <v>2</v>
      </c>
      <c r="Y44" s="110" t="s">
        <v>488</v>
      </c>
      <c r="Z44" s="115">
        <f>IFERROR(IF(X44=0,INDEX([1]ShipSlot!$A:$A,MATCH(Y44,[1]ShipSlot!$C:$C,0)),IF(X44=1,INDEX([1]CEquip!$A:$A,MATCH(Y44,[1]CEquip!$B:$B,0)), INDEX([1]Item!$A:$A,MATCH(Y44,[1]Item!$B:$B,0)))), "-")</f>
        <v>23550014</v>
      </c>
      <c r="AA44" s="94">
        <v>50</v>
      </c>
      <c r="AB44" s="82" t="s">
        <v>466</v>
      </c>
      <c r="AC44" s="11">
        <f>IFERROR(VLOOKUP(AB$8&amp;AB44,[1]_enum!$A:$D,4,FALSE),"-")</f>
        <v>2</v>
      </c>
      <c r="AD44" s="110" t="s">
        <v>489</v>
      </c>
      <c r="AE44" s="115">
        <f>IFERROR(IF(AC44=0,INDEX([1]ShipSlot!$A:$A,MATCH(AD44,[1]ShipSlot!$C:$C,0)),IF(AC44=1,INDEX([1]CEquip!$A:$A,MATCH(AD44,[1]CEquip!$B:$B,0)), INDEX([1]Item!$A:$A,MATCH(AD44,[1]Item!$B:$B,0)))), "-")</f>
        <v>23550015</v>
      </c>
      <c r="AF44" s="94">
        <v>50</v>
      </c>
      <c r="AG44" s="82" t="s">
        <v>466</v>
      </c>
      <c r="AH44" s="11">
        <f>IFERROR(VLOOKUP(AG$8&amp;AG44,[1]_enum!$A:$D,4,FALSE),"-")</f>
        <v>2</v>
      </c>
      <c r="AI44" s="110" t="s">
        <v>490</v>
      </c>
      <c r="AJ44" s="115">
        <f>IFERROR(IF(AH44=0,INDEX([1]ShipSlot!$A:$A,MATCH(AI44,[1]ShipSlot!$C:$C,0)),IF(AH44=1,INDEX([1]CEquip!$A:$A,MATCH(AI44,[1]CEquip!$B:$B,0)), INDEX([1]Item!$A:$A,MATCH(AI44,[1]Item!$B:$B,0)))), "-")</f>
        <v>23550016</v>
      </c>
      <c r="AK44" s="94">
        <v>50</v>
      </c>
    </row>
    <row r="45" spans="1:37" x14ac:dyDescent="0.2">
      <c r="A45" s="119">
        <v>2036</v>
      </c>
      <c r="B45" s="82" t="s">
        <v>464</v>
      </c>
      <c r="C45" s="11">
        <f>IFERROR(VLOOKUP(B$8&amp;B45,[1]_enum!$A:$D,4,FALSE),"-")</f>
        <v>0</v>
      </c>
      <c r="D45" s="83" t="s">
        <v>640</v>
      </c>
      <c r="E45" s="115">
        <f>IFERROR(IF(C45=0,INDEX([1]ShipSlot!$A:$A,MATCH(D45,[1]ShipSlot!$C:$C,0)),IF(C45=1,INDEX([1]CEquip!$A:$A,MATCH(D45,[1]CEquip!$B:$B,0)), INDEX([1]Item!$A:$A,MATCH(D45,[1]Item!$B:$B,0)))), "-")</f>
        <v>70101392</v>
      </c>
      <c r="F45" s="82" t="s">
        <v>663</v>
      </c>
      <c r="G45" s="82" t="s">
        <v>660</v>
      </c>
      <c r="H45" s="81">
        <v>1800</v>
      </c>
      <c r="I45" s="81">
        <v>2</v>
      </c>
      <c r="J45" s="82" t="s">
        <v>593</v>
      </c>
      <c r="K45" s="81">
        <f>IFERROR(VLOOKUP(J$8&amp;J45,[1]_enum!$A:$D,4,FALSE),"-")</f>
        <v>0</v>
      </c>
      <c r="L45" s="81">
        <v>100</v>
      </c>
      <c r="M45" s="81">
        <v>100</v>
      </c>
      <c r="N45" s="81">
        <v>1111111</v>
      </c>
      <c r="O45" s="83" t="s">
        <v>450</v>
      </c>
      <c r="P45" s="84">
        <f>IFERROR(INDEX([1]Point!$A:$A,MATCH(O45,[1]Point!$B:$B,0),1),"-")</f>
        <v>100001</v>
      </c>
      <c r="Q45" s="81">
        <v>360000</v>
      </c>
      <c r="R45" s="82" t="s">
        <v>466</v>
      </c>
      <c r="S45" s="11">
        <f>IFERROR(VLOOKUP(R$8&amp;R45,[1]_enum!$A:$D,4,FALSE),"-")</f>
        <v>2</v>
      </c>
      <c r="T45" s="110" t="s">
        <v>619</v>
      </c>
      <c r="U45" s="115">
        <f>IFERROR(IF(S45=0,INDEX([1]ShipSlot!$A:$A,MATCH(T45,[1]ShipSlot!$C:$C,0)),IF(S45=1,INDEX([1]CEquip!$A:$A,MATCH(T45,[1]CEquip!$B:$B,0)), INDEX([1]Item!$A:$A,MATCH(T45,[1]Item!$B:$B,0)))), "-")</f>
        <v>23550013</v>
      </c>
      <c r="V45" s="94">
        <v>10</v>
      </c>
      <c r="W45" s="82" t="s">
        <v>466</v>
      </c>
      <c r="X45" s="11">
        <f>IFERROR(VLOOKUP(W$8&amp;W45,[1]_enum!$A:$D,4,FALSE),"-")</f>
        <v>2</v>
      </c>
      <c r="Y45" s="110" t="s">
        <v>488</v>
      </c>
      <c r="Z45" s="115">
        <f>IFERROR(IF(X45=0,INDEX([1]ShipSlot!$A:$A,MATCH(Y45,[1]ShipSlot!$C:$C,0)),IF(X45=1,INDEX([1]CEquip!$A:$A,MATCH(Y45,[1]CEquip!$B:$B,0)), INDEX([1]Item!$A:$A,MATCH(Y45,[1]Item!$B:$B,0)))), "-")</f>
        <v>23550014</v>
      </c>
      <c r="AA45" s="94">
        <v>50</v>
      </c>
      <c r="AB45" s="82" t="s">
        <v>466</v>
      </c>
      <c r="AC45" s="11">
        <f>IFERROR(VLOOKUP(AB$8&amp;AB45,[1]_enum!$A:$D,4,FALSE),"-")</f>
        <v>2</v>
      </c>
      <c r="AD45" s="110" t="s">
        <v>489</v>
      </c>
      <c r="AE45" s="115">
        <f>IFERROR(IF(AC45=0,INDEX([1]ShipSlot!$A:$A,MATCH(AD45,[1]ShipSlot!$C:$C,0)),IF(AC45=1,INDEX([1]CEquip!$A:$A,MATCH(AD45,[1]CEquip!$B:$B,0)), INDEX([1]Item!$A:$A,MATCH(AD45,[1]Item!$B:$B,0)))), "-")</f>
        <v>23550015</v>
      </c>
      <c r="AF45" s="94">
        <v>50</v>
      </c>
      <c r="AG45" s="82" t="s">
        <v>466</v>
      </c>
      <c r="AH45" s="11">
        <f>IFERROR(VLOOKUP(AG$8&amp;AG45,[1]_enum!$A:$D,4,FALSE),"-")</f>
        <v>2</v>
      </c>
      <c r="AI45" s="110" t="s">
        <v>490</v>
      </c>
      <c r="AJ45" s="115">
        <f>IFERROR(IF(AH45=0,INDEX([1]ShipSlot!$A:$A,MATCH(AI45,[1]ShipSlot!$C:$C,0)),IF(AH45=1,INDEX([1]CEquip!$A:$A,MATCH(AI45,[1]CEquip!$B:$B,0)), INDEX([1]Item!$A:$A,MATCH(AI45,[1]Item!$B:$B,0)))), "-")</f>
        <v>23550016</v>
      </c>
      <c r="AK45" s="94">
        <v>50</v>
      </c>
    </row>
    <row r="46" spans="1:37" x14ac:dyDescent="0.2">
      <c r="A46" s="119">
        <v>2037</v>
      </c>
      <c r="B46" s="82" t="s">
        <v>464</v>
      </c>
      <c r="C46" s="11">
        <f>IFERROR(VLOOKUP(B$8&amp;B46,[1]_enum!$A:$D,4,FALSE),"-")</f>
        <v>0</v>
      </c>
      <c r="D46" s="89" t="s">
        <v>641</v>
      </c>
      <c r="E46" s="115">
        <f>IFERROR(IF(C46=0,INDEX([1]ShipSlot!$A:$A,MATCH(D46,[1]ShipSlot!$C:$C,0)),IF(C46=1,INDEX([1]CEquip!$A:$A,MATCH(D46,[1]CEquip!$B:$B,0)), INDEX([1]Item!$A:$A,MATCH(D46,[1]Item!$B:$B,0)))), "-")</f>
        <v>70101393</v>
      </c>
      <c r="F46" s="82" t="s">
        <v>663</v>
      </c>
      <c r="G46" s="82" t="s">
        <v>660</v>
      </c>
      <c r="H46" s="81">
        <v>1800</v>
      </c>
      <c r="I46" s="81">
        <v>2</v>
      </c>
      <c r="J46" s="82" t="s">
        <v>593</v>
      </c>
      <c r="K46" s="81">
        <f>IFERROR(VLOOKUP(J$8&amp;J46,[1]_enum!$A:$D,4,FALSE),"-")</f>
        <v>0</v>
      </c>
      <c r="L46" s="81">
        <v>100</v>
      </c>
      <c r="M46" s="81">
        <v>100</v>
      </c>
      <c r="N46" s="81">
        <v>1111111</v>
      </c>
      <c r="O46" s="83" t="s">
        <v>450</v>
      </c>
      <c r="P46" s="84">
        <f>IFERROR(INDEX([1]Point!$A:$A,MATCH(O46,[1]Point!$B:$B,0),1),"-")</f>
        <v>100001</v>
      </c>
      <c r="Q46" s="81">
        <v>360000</v>
      </c>
      <c r="R46" s="82" t="s">
        <v>466</v>
      </c>
      <c r="S46" s="11">
        <f>IFERROR(VLOOKUP(R$8&amp;R46,[1]_enum!$A:$D,4,FALSE),"-")</f>
        <v>2</v>
      </c>
      <c r="T46" s="110" t="s">
        <v>619</v>
      </c>
      <c r="U46" s="115">
        <f>IFERROR(IF(S46=0,INDEX([1]ShipSlot!$A:$A,MATCH(T46,[1]ShipSlot!$C:$C,0)),IF(S46=1,INDEX([1]CEquip!$A:$A,MATCH(T46,[1]CEquip!$B:$B,0)), INDEX([1]Item!$A:$A,MATCH(T46,[1]Item!$B:$B,0)))), "-")</f>
        <v>23550013</v>
      </c>
      <c r="V46" s="94">
        <v>10</v>
      </c>
      <c r="W46" s="82" t="s">
        <v>466</v>
      </c>
      <c r="X46" s="11">
        <f>IFERROR(VLOOKUP(W$8&amp;W46,[1]_enum!$A:$D,4,FALSE),"-")</f>
        <v>2</v>
      </c>
      <c r="Y46" s="110" t="s">
        <v>488</v>
      </c>
      <c r="Z46" s="115">
        <f>IFERROR(IF(X46=0,INDEX([1]ShipSlot!$A:$A,MATCH(Y46,[1]ShipSlot!$C:$C,0)),IF(X46=1,INDEX([1]CEquip!$A:$A,MATCH(Y46,[1]CEquip!$B:$B,0)), INDEX([1]Item!$A:$A,MATCH(Y46,[1]Item!$B:$B,0)))), "-")</f>
        <v>23550014</v>
      </c>
      <c r="AA46" s="94">
        <v>50</v>
      </c>
      <c r="AB46" s="82" t="s">
        <v>466</v>
      </c>
      <c r="AC46" s="11">
        <f>IFERROR(VLOOKUP(AB$8&amp;AB46,[1]_enum!$A:$D,4,FALSE),"-")</f>
        <v>2</v>
      </c>
      <c r="AD46" s="110" t="s">
        <v>489</v>
      </c>
      <c r="AE46" s="115">
        <f>IFERROR(IF(AC46=0,INDEX([1]ShipSlot!$A:$A,MATCH(AD46,[1]ShipSlot!$C:$C,0)),IF(AC46=1,INDEX([1]CEquip!$A:$A,MATCH(AD46,[1]CEquip!$B:$B,0)), INDEX([1]Item!$A:$A,MATCH(AD46,[1]Item!$B:$B,0)))), "-")</f>
        <v>23550015</v>
      </c>
      <c r="AF46" s="94">
        <v>50</v>
      </c>
      <c r="AG46" s="82" t="s">
        <v>466</v>
      </c>
      <c r="AH46" s="11">
        <f>IFERROR(VLOOKUP(AG$8&amp;AG46,[1]_enum!$A:$D,4,FALSE),"-")</f>
        <v>2</v>
      </c>
      <c r="AI46" s="110" t="s">
        <v>490</v>
      </c>
      <c r="AJ46" s="115">
        <f>IFERROR(IF(AH46=0,INDEX([1]ShipSlot!$A:$A,MATCH(AI46,[1]ShipSlot!$C:$C,0)),IF(AH46=1,INDEX([1]CEquip!$A:$A,MATCH(AI46,[1]CEquip!$B:$B,0)), INDEX([1]Item!$A:$A,MATCH(AI46,[1]Item!$B:$B,0)))), "-")</f>
        <v>23550016</v>
      </c>
      <c r="AK46" s="94">
        <v>50</v>
      </c>
    </row>
    <row r="47" spans="1:37" x14ac:dyDescent="0.2">
      <c r="A47" s="119">
        <v>2038</v>
      </c>
      <c r="B47" s="82" t="s">
        <v>464</v>
      </c>
      <c r="C47" s="11">
        <f>IFERROR(VLOOKUP(B$8&amp;B47,[1]_enum!$A:$D,4,FALSE),"-")</f>
        <v>0</v>
      </c>
      <c r="D47" s="110" t="s">
        <v>642</v>
      </c>
      <c r="E47" s="115">
        <f>IFERROR(IF(C47=0,INDEX([1]ShipSlot!$A:$A,MATCH(D47,[1]ShipSlot!$C:$C,0)),IF(C47=1,INDEX([1]CEquip!$A:$A,MATCH(D47,[1]CEquip!$B:$B,0)), INDEX([1]Item!$A:$A,MATCH(D47,[1]Item!$B:$B,0)))), "-")</f>
        <v>70101394</v>
      </c>
      <c r="F47" s="82" t="s">
        <v>663</v>
      </c>
      <c r="G47" s="82" t="s">
        <v>661</v>
      </c>
      <c r="H47" s="81">
        <v>21600</v>
      </c>
      <c r="I47" s="81">
        <v>5</v>
      </c>
      <c r="J47" s="82" t="s">
        <v>593</v>
      </c>
      <c r="K47" s="81">
        <f>IFERROR(VLOOKUP(J$8&amp;J47,[1]_enum!$A:$D,4,FALSE),"-")</f>
        <v>0</v>
      </c>
      <c r="L47" s="81">
        <v>100</v>
      </c>
      <c r="M47" s="81">
        <v>250</v>
      </c>
      <c r="N47" s="81">
        <v>1111111</v>
      </c>
      <c r="O47" s="83" t="s">
        <v>450</v>
      </c>
      <c r="P47" s="84">
        <f>IFERROR(INDEX([1]Point!$A:$A,MATCH(O47,[1]Point!$B:$B,0),1),"-")</f>
        <v>100001</v>
      </c>
      <c r="Q47" s="81">
        <v>2000000</v>
      </c>
      <c r="R47" s="82" t="s">
        <v>466</v>
      </c>
      <c r="S47" s="11">
        <f>IFERROR(VLOOKUP(R$8&amp;R47,[1]_enum!$A:$D,4,FALSE),"-")</f>
        <v>2</v>
      </c>
      <c r="T47" s="110" t="s">
        <v>622</v>
      </c>
      <c r="U47" s="115">
        <f>IFERROR(IF(S47=0,INDEX([1]ShipSlot!$A:$A,MATCH(T47,[1]ShipSlot!$C:$C,0)),IF(S47=1,INDEX([1]CEquip!$A:$A,MATCH(T47,[1]CEquip!$B:$B,0)), INDEX([1]Item!$A:$A,MATCH(T47,[1]Item!$B:$B,0)))), "-")</f>
        <v>23550017</v>
      </c>
      <c r="V47" s="94">
        <v>10</v>
      </c>
      <c r="W47" s="82" t="s">
        <v>466</v>
      </c>
      <c r="X47" s="11">
        <f>IFERROR(VLOOKUP(W$8&amp;W47,[1]_enum!$A:$D,4,FALSE),"-")</f>
        <v>2</v>
      </c>
      <c r="Y47" s="110" t="s">
        <v>476</v>
      </c>
      <c r="Z47" s="115">
        <f>IFERROR(IF(X47=0,INDEX([1]ShipSlot!$A:$A,MATCH(Y47,[1]ShipSlot!$C:$C,0)),IF(X47=1,INDEX([1]CEquip!$A:$A,MATCH(Y47,[1]CEquip!$B:$B,0)), INDEX([1]Item!$A:$A,MATCH(Y47,[1]Item!$B:$B,0)))), "-")</f>
        <v>23550018</v>
      </c>
      <c r="AA47" s="94">
        <v>50</v>
      </c>
      <c r="AB47" s="82" t="s">
        <v>466</v>
      </c>
      <c r="AC47" s="11">
        <f>IFERROR(VLOOKUP(AB$8&amp;AB47,[1]_enum!$A:$D,4,FALSE),"-")</f>
        <v>2</v>
      </c>
      <c r="AD47" s="110" t="s">
        <v>477</v>
      </c>
      <c r="AE47" s="115">
        <f>IFERROR(IF(AC47=0,INDEX([1]ShipSlot!$A:$A,MATCH(AD47,[1]ShipSlot!$C:$C,0)),IF(AC47=1,INDEX([1]CEquip!$A:$A,MATCH(AD47,[1]CEquip!$B:$B,0)), INDEX([1]Item!$A:$A,MATCH(AD47,[1]Item!$B:$B,0)))), "-")</f>
        <v>23550019</v>
      </c>
      <c r="AF47" s="94">
        <v>50</v>
      </c>
      <c r="AG47" s="82" t="s">
        <v>466</v>
      </c>
      <c r="AH47" s="11">
        <f>IFERROR(VLOOKUP(AG$8&amp;AG47,[1]_enum!$A:$D,4,FALSE),"-")</f>
        <v>2</v>
      </c>
      <c r="AI47" s="110" t="s">
        <v>664</v>
      </c>
      <c r="AJ47" s="115">
        <f>IFERROR(IF(AH47=0,INDEX([1]ShipSlot!$A:$A,MATCH(AI47,[1]ShipSlot!$C:$C,0)),IF(AH47=1,INDEX([1]CEquip!$A:$A,MATCH(AI47,[1]CEquip!$B:$B,0)), INDEX([1]Item!$A:$A,MATCH(AI47,[1]Item!$B:$B,0)))), "-")</f>
        <v>23550020</v>
      </c>
      <c r="AK47" s="94">
        <v>50</v>
      </c>
    </row>
    <row r="48" spans="1:37" x14ac:dyDescent="0.2">
      <c r="A48" s="119">
        <v>2039</v>
      </c>
      <c r="B48" s="82" t="s">
        <v>464</v>
      </c>
      <c r="C48" s="11">
        <f>IFERROR(VLOOKUP(B$8&amp;B48,[1]_enum!$A:$D,4,FALSE),"-")</f>
        <v>0</v>
      </c>
      <c r="D48" s="83" t="s">
        <v>643</v>
      </c>
      <c r="E48" s="115">
        <f>IFERROR(IF(C48=0,INDEX([1]ShipSlot!$A:$A,MATCH(D48,[1]ShipSlot!$C:$C,0)),IF(C48=1,INDEX([1]CEquip!$A:$A,MATCH(D48,[1]CEquip!$B:$B,0)), INDEX([1]Item!$A:$A,MATCH(D48,[1]Item!$B:$B,0)))), "-")</f>
        <v>70101395</v>
      </c>
      <c r="F48" s="82" t="s">
        <v>663</v>
      </c>
      <c r="G48" s="82" t="s">
        <v>661</v>
      </c>
      <c r="H48" s="81">
        <v>21600</v>
      </c>
      <c r="I48" s="81">
        <v>5</v>
      </c>
      <c r="J48" s="82" t="s">
        <v>593</v>
      </c>
      <c r="K48" s="81">
        <f>IFERROR(VLOOKUP(J$8&amp;J48,[1]_enum!$A:$D,4,FALSE),"-")</f>
        <v>0</v>
      </c>
      <c r="L48" s="81">
        <v>100</v>
      </c>
      <c r="M48" s="81">
        <v>250</v>
      </c>
      <c r="N48" s="81">
        <v>1111111</v>
      </c>
      <c r="O48" s="83" t="s">
        <v>450</v>
      </c>
      <c r="P48" s="84">
        <f>IFERROR(INDEX([1]Point!$A:$A,MATCH(O48,[1]Point!$B:$B,0),1),"-")</f>
        <v>100001</v>
      </c>
      <c r="Q48" s="81">
        <v>2000000</v>
      </c>
      <c r="R48" s="82" t="s">
        <v>466</v>
      </c>
      <c r="S48" s="11">
        <f>IFERROR(VLOOKUP(R$8&amp;R48,[1]_enum!$A:$D,4,FALSE),"-")</f>
        <v>2</v>
      </c>
      <c r="T48" s="110" t="s">
        <v>622</v>
      </c>
      <c r="U48" s="115">
        <f>IFERROR(IF(S48=0,INDEX([1]ShipSlot!$A:$A,MATCH(T48,[1]ShipSlot!$C:$C,0)),IF(S48=1,INDEX([1]CEquip!$A:$A,MATCH(T48,[1]CEquip!$B:$B,0)), INDEX([1]Item!$A:$A,MATCH(T48,[1]Item!$B:$B,0)))), "-")</f>
        <v>23550017</v>
      </c>
      <c r="V48" s="94">
        <v>10</v>
      </c>
      <c r="W48" s="82" t="s">
        <v>466</v>
      </c>
      <c r="X48" s="11">
        <f>IFERROR(VLOOKUP(W$8&amp;W48,[1]_enum!$A:$D,4,FALSE),"-")</f>
        <v>2</v>
      </c>
      <c r="Y48" s="110" t="s">
        <v>476</v>
      </c>
      <c r="Z48" s="115">
        <f>IFERROR(IF(X48=0,INDEX([1]ShipSlot!$A:$A,MATCH(Y48,[1]ShipSlot!$C:$C,0)),IF(X48=1,INDEX([1]CEquip!$A:$A,MATCH(Y48,[1]CEquip!$B:$B,0)), INDEX([1]Item!$A:$A,MATCH(Y48,[1]Item!$B:$B,0)))), "-")</f>
        <v>23550018</v>
      </c>
      <c r="AA48" s="94">
        <v>50</v>
      </c>
      <c r="AB48" s="82" t="s">
        <v>466</v>
      </c>
      <c r="AC48" s="11">
        <f>IFERROR(VLOOKUP(AB$8&amp;AB48,[1]_enum!$A:$D,4,FALSE),"-")</f>
        <v>2</v>
      </c>
      <c r="AD48" s="110" t="s">
        <v>477</v>
      </c>
      <c r="AE48" s="115">
        <f>IFERROR(IF(AC48=0,INDEX([1]ShipSlot!$A:$A,MATCH(AD48,[1]ShipSlot!$C:$C,0)),IF(AC48=1,INDEX([1]CEquip!$A:$A,MATCH(AD48,[1]CEquip!$B:$B,0)), INDEX([1]Item!$A:$A,MATCH(AD48,[1]Item!$B:$B,0)))), "-")</f>
        <v>23550019</v>
      </c>
      <c r="AF48" s="94">
        <v>50</v>
      </c>
      <c r="AG48" s="82" t="s">
        <v>466</v>
      </c>
      <c r="AH48" s="11">
        <f>IFERROR(VLOOKUP(AG$8&amp;AG48,[1]_enum!$A:$D,4,FALSE),"-")</f>
        <v>2</v>
      </c>
      <c r="AI48" s="110" t="s">
        <v>664</v>
      </c>
      <c r="AJ48" s="115">
        <f>IFERROR(IF(AH48=0,INDEX([1]ShipSlot!$A:$A,MATCH(AI48,[1]ShipSlot!$C:$C,0)),IF(AH48=1,INDEX([1]CEquip!$A:$A,MATCH(AI48,[1]CEquip!$B:$B,0)), INDEX([1]Item!$A:$A,MATCH(AI48,[1]Item!$B:$B,0)))), "-")</f>
        <v>23550020</v>
      </c>
      <c r="AK48" s="94">
        <v>50</v>
      </c>
    </row>
    <row r="49" spans="1:37" x14ac:dyDescent="0.2">
      <c r="A49" s="119">
        <v>2040</v>
      </c>
      <c r="B49" s="82" t="s">
        <v>464</v>
      </c>
      <c r="C49" s="11">
        <f>IFERROR(VLOOKUP(B$8&amp;B49,[1]_enum!$A:$D,4,FALSE),"-")</f>
        <v>0</v>
      </c>
      <c r="D49" s="83" t="s">
        <v>644</v>
      </c>
      <c r="E49" s="115">
        <f>IFERROR(IF(C49=0,INDEX([1]ShipSlot!$A:$A,MATCH(D49,[1]ShipSlot!$C:$C,0)),IF(C49=1,INDEX([1]CEquip!$A:$A,MATCH(D49,[1]CEquip!$B:$B,0)), INDEX([1]Item!$A:$A,MATCH(D49,[1]Item!$B:$B,0)))), "-")</f>
        <v>70101396</v>
      </c>
      <c r="F49" s="82" t="s">
        <v>663</v>
      </c>
      <c r="G49" s="82" t="s">
        <v>661</v>
      </c>
      <c r="H49" s="81">
        <v>21600</v>
      </c>
      <c r="I49" s="81">
        <v>5</v>
      </c>
      <c r="J49" s="82" t="s">
        <v>593</v>
      </c>
      <c r="K49" s="81">
        <f>IFERROR(VLOOKUP(J$8&amp;J49,[1]_enum!$A:$D,4,FALSE),"-")</f>
        <v>0</v>
      </c>
      <c r="L49" s="81">
        <v>100</v>
      </c>
      <c r="M49" s="81">
        <v>250</v>
      </c>
      <c r="N49" s="81">
        <v>1111111</v>
      </c>
      <c r="O49" s="83" t="s">
        <v>450</v>
      </c>
      <c r="P49" s="84">
        <f>IFERROR(INDEX([1]Point!$A:$A,MATCH(O49,[1]Point!$B:$B,0),1),"-")</f>
        <v>100001</v>
      </c>
      <c r="Q49" s="81">
        <v>2000000</v>
      </c>
      <c r="R49" s="82" t="s">
        <v>466</v>
      </c>
      <c r="S49" s="11">
        <f>IFERROR(VLOOKUP(R$8&amp;R49,[1]_enum!$A:$D,4,FALSE),"-")</f>
        <v>2</v>
      </c>
      <c r="T49" s="110" t="s">
        <v>622</v>
      </c>
      <c r="U49" s="115">
        <f>IFERROR(IF(S49=0,INDEX([1]ShipSlot!$A:$A,MATCH(T49,[1]ShipSlot!$C:$C,0)),IF(S49=1,INDEX([1]CEquip!$A:$A,MATCH(T49,[1]CEquip!$B:$B,0)), INDEX([1]Item!$A:$A,MATCH(T49,[1]Item!$B:$B,0)))), "-")</f>
        <v>23550017</v>
      </c>
      <c r="V49" s="94">
        <v>10</v>
      </c>
      <c r="W49" s="82" t="s">
        <v>466</v>
      </c>
      <c r="X49" s="11">
        <f>IFERROR(VLOOKUP(W$8&amp;W49,[1]_enum!$A:$D,4,FALSE),"-")</f>
        <v>2</v>
      </c>
      <c r="Y49" s="110" t="s">
        <v>476</v>
      </c>
      <c r="Z49" s="115">
        <f>IFERROR(IF(X49=0,INDEX([1]ShipSlot!$A:$A,MATCH(Y49,[1]ShipSlot!$C:$C,0)),IF(X49=1,INDEX([1]CEquip!$A:$A,MATCH(Y49,[1]CEquip!$B:$B,0)), INDEX([1]Item!$A:$A,MATCH(Y49,[1]Item!$B:$B,0)))), "-")</f>
        <v>23550018</v>
      </c>
      <c r="AA49" s="94">
        <v>50</v>
      </c>
      <c r="AB49" s="82" t="s">
        <v>466</v>
      </c>
      <c r="AC49" s="11">
        <f>IFERROR(VLOOKUP(AB$8&amp;AB49,[1]_enum!$A:$D,4,FALSE),"-")</f>
        <v>2</v>
      </c>
      <c r="AD49" s="110" t="s">
        <v>477</v>
      </c>
      <c r="AE49" s="115">
        <f>IFERROR(IF(AC49=0,INDEX([1]ShipSlot!$A:$A,MATCH(AD49,[1]ShipSlot!$C:$C,0)),IF(AC49=1,INDEX([1]CEquip!$A:$A,MATCH(AD49,[1]CEquip!$B:$B,0)), INDEX([1]Item!$A:$A,MATCH(AD49,[1]Item!$B:$B,0)))), "-")</f>
        <v>23550019</v>
      </c>
      <c r="AF49" s="94">
        <v>50</v>
      </c>
      <c r="AG49" s="82" t="s">
        <v>466</v>
      </c>
      <c r="AH49" s="11">
        <f>IFERROR(VLOOKUP(AG$8&amp;AG49,[1]_enum!$A:$D,4,FALSE),"-")</f>
        <v>2</v>
      </c>
      <c r="AI49" s="110" t="s">
        <v>664</v>
      </c>
      <c r="AJ49" s="115">
        <f>IFERROR(IF(AH49=0,INDEX([1]ShipSlot!$A:$A,MATCH(AI49,[1]ShipSlot!$C:$C,0)),IF(AH49=1,INDEX([1]CEquip!$A:$A,MATCH(AI49,[1]CEquip!$B:$B,0)), INDEX([1]Item!$A:$A,MATCH(AI49,[1]Item!$B:$B,0)))), "-")</f>
        <v>23550020</v>
      </c>
      <c r="AK49" s="94">
        <v>50</v>
      </c>
    </row>
    <row r="50" spans="1:37" x14ac:dyDescent="0.2">
      <c r="A50" s="119">
        <v>2041</v>
      </c>
      <c r="B50" s="82" t="s">
        <v>464</v>
      </c>
      <c r="C50" s="11">
        <f>IFERROR(VLOOKUP(B$8&amp;B50,[1]_enum!$A:$D,4,FALSE),"-")</f>
        <v>0</v>
      </c>
      <c r="D50" s="83" t="s">
        <v>645</v>
      </c>
      <c r="E50" s="115">
        <f>IFERROR(IF(C50=0,INDEX([1]ShipSlot!$A:$A,MATCH(D50,[1]ShipSlot!$C:$C,0)),IF(C50=1,INDEX([1]CEquip!$A:$A,MATCH(D50,[1]CEquip!$B:$B,0)), INDEX([1]Item!$A:$A,MATCH(D50,[1]Item!$B:$B,0)))), "-")</f>
        <v>70101397</v>
      </c>
      <c r="F50" s="82" t="s">
        <v>663</v>
      </c>
      <c r="G50" s="82" t="s">
        <v>661</v>
      </c>
      <c r="H50" s="81">
        <v>21600</v>
      </c>
      <c r="I50" s="81">
        <v>5</v>
      </c>
      <c r="J50" s="82" t="s">
        <v>593</v>
      </c>
      <c r="K50" s="81">
        <f>IFERROR(VLOOKUP(J$8&amp;J50,[1]_enum!$A:$D,4,FALSE),"-")</f>
        <v>0</v>
      </c>
      <c r="L50" s="81">
        <v>100</v>
      </c>
      <c r="M50" s="81">
        <v>250</v>
      </c>
      <c r="N50" s="81">
        <v>1111111</v>
      </c>
      <c r="O50" s="83" t="s">
        <v>450</v>
      </c>
      <c r="P50" s="84">
        <f>IFERROR(INDEX([1]Point!$A:$A,MATCH(O50,[1]Point!$B:$B,0),1),"-")</f>
        <v>100001</v>
      </c>
      <c r="Q50" s="81">
        <v>2000000</v>
      </c>
      <c r="R50" s="82" t="s">
        <v>466</v>
      </c>
      <c r="S50" s="11">
        <f>IFERROR(VLOOKUP(R$8&amp;R50,[1]_enum!$A:$D,4,FALSE),"-")</f>
        <v>2</v>
      </c>
      <c r="T50" s="110" t="s">
        <v>622</v>
      </c>
      <c r="U50" s="115">
        <f>IFERROR(IF(S50=0,INDEX([1]ShipSlot!$A:$A,MATCH(T50,[1]ShipSlot!$C:$C,0)),IF(S50=1,INDEX([1]CEquip!$A:$A,MATCH(T50,[1]CEquip!$B:$B,0)), INDEX([1]Item!$A:$A,MATCH(T50,[1]Item!$B:$B,0)))), "-")</f>
        <v>23550017</v>
      </c>
      <c r="V50" s="94">
        <v>10</v>
      </c>
      <c r="W50" s="82" t="s">
        <v>466</v>
      </c>
      <c r="X50" s="11">
        <f>IFERROR(VLOOKUP(W$8&amp;W50,[1]_enum!$A:$D,4,FALSE),"-")</f>
        <v>2</v>
      </c>
      <c r="Y50" s="110" t="s">
        <v>476</v>
      </c>
      <c r="Z50" s="115">
        <f>IFERROR(IF(X50=0,INDEX([1]ShipSlot!$A:$A,MATCH(Y50,[1]ShipSlot!$C:$C,0)),IF(X50=1,INDEX([1]CEquip!$A:$A,MATCH(Y50,[1]CEquip!$B:$B,0)), INDEX([1]Item!$A:$A,MATCH(Y50,[1]Item!$B:$B,0)))), "-")</f>
        <v>23550018</v>
      </c>
      <c r="AA50" s="94">
        <v>50</v>
      </c>
      <c r="AB50" s="82" t="s">
        <v>466</v>
      </c>
      <c r="AC50" s="11">
        <f>IFERROR(VLOOKUP(AB$8&amp;AB50,[1]_enum!$A:$D,4,FALSE),"-")</f>
        <v>2</v>
      </c>
      <c r="AD50" s="110" t="s">
        <v>477</v>
      </c>
      <c r="AE50" s="115">
        <f>IFERROR(IF(AC50=0,INDEX([1]ShipSlot!$A:$A,MATCH(AD50,[1]ShipSlot!$C:$C,0)),IF(AC50=1,INDEX([1]CEquip!$A:$A,MATCH(AD50,[1]CEquip!$B:$B,0)), INDEX([1]Item!$A:$A,MATCH(AD50,[1]Item!$B:$B,0)))), "-")</f>
        <v>23550019</v>
      </c>
      <c r="AF50" s="94">
        <v>50</v>
      </c>
      <c r="AG50" s="82" t="s">
        <v>466</v>
      </c>
      <c r="AH50" s="11">
        <f>IFERROR(VLOOKUP(AG$8&amp;AG50,[1]_enum!$A:$D,4,FALSE),"-")</f>
        <v>2</v>
      </c>
      <c r="AI50" s="110" t="s">
        <v>664</v>
      </c>
      <c r="AJ50" s="115">
        <f>IFERROR(IF(AH50=0,INDEX([1]ShipSlot!$A:$A,MATCH(AI50,[1]ShipSlot!$C:$C,0)),IF(AH50=1,INDEX([1]CEquip!$A:$A,MATCH(AI50,[1]CEquip!$B:$B,0)), INDEX([1]Item!$A:$A,MATCH(AI50,[1]Item!$B:$B,0)))), "-")</f>
        <v>23550020</v>
      </c>
      <c r="AK50" s="94">
        <v>50</v>
      </c>
    </row>
    <row r="51" spans="1:37" x14ac:dyDescent="0.2">
      <c r="A51" s="119">
        <v>2042</v>
      </c>
      <c r="B51" s="82" t="s">
        <v>464</v>
      </c>
      <c r="C51" s="11">
        <f>IFERROR(VLOOKUP(B$8&amp;B51,[1]_enum!$A:$D,4,FALSE),"-")</f>
        <v>0</v>
      </c>
      <c r="D51" s="83" t="s">
        <v>646</v>
      </c>
      <c r="E51" s="115">
        <f>IFERROR(IF(C51=0,INDEX([1]ShipSlot!$A:$A,MATCH(D51,[1]ShipSlot!$C:$C,0)),IF(C51=1,INDEX([1]CEquip!$A:$A,MATCH(D51,[1]CEquip!$B:$B,0)), INDEX([1]Item!$A:$A,MATCH(D51,[1]Item!$B:$B,0)))), "-")</f>
        <v>70101398</v>
      </c>
      <c r="F51" s="82" t="s">
        <v>663</v>
      </c>
      <c r="G51" s="82" t="s">
        <v>661</v>
      </c>
      <c r="H51" s="81">
        <v>21600</v>
      </c>
      <c r="I51" s="81">
        <v>5</v>
      </c>
      <c r="J51" s="82" t="s">
        <v>593</v>
      </c>
      <c r="K51" s="81">
        <f>IFERROR(VLOOKUP(J$8&amp;J51,[1]_enum!$A:$D,4,FALSE),"-")</f>
        <v>0</v>
      </c>
      <c r="L51" s="81">
        <v>100</v>
      </c>
      <c r="M51" s="81">
        <v>250</v>
      </c>
      <c r="N51" s="81">
        <v>1111111</v>
      </c>
      <c r="O51" s="83" t="s">
        <v>450</v>
      </c>
      <c r="P51" s="84">
        <f>IFERROR(INDEX([1]Point!$A:$A,MATCH(O51,[1]Point!$B:$B,0),1),"-")</f>
        <v>100001</v>
      </c>
      <c r="Q51" s="81">
        <v>2000000</v>
      </c>
      <c r="R51" s="82" t="s">
        <v>466</v>
      </c>
      <c r="S51" s="11">
        <f>IFERROR(VLOOKUP(R$8&amp;R51,[1]_enum!$A:$D,4,FALSE),"-")</f>
        <v>2</v>
      </c>
      <c r="T51" s="110" t="s">
        <v>622</v>
      </c>
      <c r="U51" s="115">
        <f>IFERROR(IF(S51=0,INDEX([1]ShipSlot!$A:$A,MATCH(T51,[1]ShipSlot!$C:$C,0)),IF(S51=1,INDEX([1]CEquip!$A:$A,MATCH(T51,[1]CEquip!$B:$B,0)), INDEX([1]Item!$A:$A,MATCH(T51,[1]Item!$B:$B,0)))), "-")</f>
        <v>23550017</v>
      </c>
      <c r="V51" s="94">
        <v>10</v>
      </c>
      <c r="W51" s="82" t="s">
        <v>466</v>
      </c>
      <c r="X51" s="11">
        <f>IFERROR(VLOOKUP(W$8&amp;W51,[1]_enum!$A:$D,4,FALSE),"-")</f>
        <v>2</v>
      </c>
      <c r="Y51" s="110" t="s">
        <v>476</v>
      </c>
      <c r="Z51" s="115">
        <f>IFERROR(IF(X51=0,INDEX([1]ShipSlot!$A:$A,MATCH(Y51,[1]ShipSlot!$C:$C,0)),IF(X51=1,INDEX([1]CEquip!$A:$A,MATCH(Y51,[1]CEquip!$B:$B,0)), INDEX([1]Item!$A:$A,MATCH(Y51,[1]Item!$B:$B,0)))), "-")</f>
        <v>23550018</v>
      </c>
      <c r="AA51" s="94">
        <v>50</v>
      </c>
      <c r="AB51" s="82" t="s">
        <v>466</v>
      </c>
      <c r="AC51" s="11">
        <f>IFERROR(VLOOKUP(AB$8&amp;AB51,[1]_enum!$A:$D,4,FALSE),"-")</f>
        <v>2</v>
      </c>
      <c r="AD51" s="110" t="s">
        <v>477</v>
      </c>
      <c r="AE51" s="115">
        <f>IFERROR(IF(AC51=0,INDEX([1]ShipSlot!$A:$A,MATCH(AD51,[1]ShipSlot!$C:$C,0)),IF(AC51=1,INDEX([1]CEquip!$A:$A,MATCH(AD51,[1]CEquip!$B:$B,0)), INDEX([1]Item!$A:$A,MATCH(AD51,[1]Item!$B:$B,0)))), "-")</f>
        <v>23550019</v>
      </c>
      <c r="AF51" s="94">
        <v>50</v>
      </c>
      <c r="AG51" s="82" t="s">
        <v>466</v>
      </c>
      <c r="AH51" s="11">
        <f>IFERROR(VLOOKUP(AG$8&amp;AG51,[1]_enum!$A:$D,4,FALSE),"-")</f>
        <v>2</v>
      </c>
      <c r="AI51" s="110" t="s">
        <v>664</v>
      </c>
      <c r="AJ51" s="115">
        <f>IFERROR(IF(AH51=0,INDEX([1]ShipSlot!$A:$A,MATCH(AI51,[1]ShipSlot!$C:$C,0)),IF(AH51=1,INDEX([1]CEquip!$A:$A,MATCH(AI51,[1]CEquip!$B:$B,0)), INDEX([1]Item!$A:$A,MATCH(AI51,[1]Item!$B:$B,0)))), "-")</f>
        <v>23550020</v>
      </c>
      <c r="AK51" s="94">
        <v>50</v>
      </c>
    </row>
    <row r="52" spans="1:37" x14ac:dyDescent="0.2">
      <c r="A52" s="119">
        <v>2043</v>
      </c>
      <c r="B52" s="82" t="s">
        <v>464</v>
      </c>
      <c r="C52" s="11">
        <f>IFERROR(VLOOKUP(B$8&amp;B52,[1]_enum!$A:$D,4,FALSE),"-")</f>
        <v>0</v>
      </c>
      <c r="D52" s="89" t="s">
        <v>647</v>
      </c>
      <c r="E52" s="115">
        <f>IFERROR(IF(C52=0,INDEX([1]ShipSlot!$A:$A,MATCH(D52,[1]ShipSlot!$C:$C,0)),IF(C52=1,INDEX([1]CEquip!$A:$A,MATCH(D52,[1]CEquip!$B:$B,0)), INDEX([1]Item!$A:$A,MATCH(D52,[1]Item!$B:$B,0)))), "-")</f>
        <v>70101399</v>
      </c>
      <c r="F52" s="82" t="s">
        <v>663</v>
      </c>
      <c r="G52" s="82" t="s">
        <v>661</v>
      </c>
      <c r="H52" s="81">
        <v>21600</v>
      </c>
      <c r="I52" s="81">
        <v>5</v>
      </c>
      <c r="J52" s="82" t="s">
        <v>593</v>
      </c>
      <c r="K52" s="81">
        <f>IFERROR(VLOOKUP(J$8&amp;J52,[1]_enum!$A:$D,4,FALSE),"-")</f>
        <v>0</v>
      </c>
      <c r="L52" s="81">
        <v>100</v>
      </c>
      <c r="M52" s="81">
        <v>250</v>
      </c>
      <c r="N52" s="81">
        <v>1111111</v>
      </c>
      <c r="O52" s="83" t="s">
        <v>450</v>
      </c>
      <c r="P52" s="84">
        <f>IFERROR(INDEX([1]Point!$A:$A,MATCH(O52,[1]Point!$B:$B,0),1),"-")</f>
        <v>100001</v>
      </c>
      <c r="Q52" s="81">
        <v>2000000</v>
      </c>
      <c r="R52" s="82" t="s">
        <v>466</v>
      </c>
      <c r="S52" s="11">
        <f>IFERROR(VLOOKUP(R$8&amp;R52,[1]_enum!$A:$D,4,FALSE),"-")</f>
        <v>2</v>
      </c>
      <c r="T52" s="110" t="s">
        <v>622</v>
      </c>
      <c r="U52" s="115">
        <f>IFERROR(IF(S52=0,INDEX([1]ShipSlot!$A:$A,MATCH(T52,[1]ShipSlot!$C:$C,0)),IF(S52=1,INDEX([1]CEquip!$A:$A,MATCH(T52,[1]CEquip!$B:$B,0)), INDEX([1]Item!$A:$A,MATCH(T52,[1]Item!$B:$B,0)))), "-")</f>
        <v>23550017</v>
      </c>
      <c r="V52" s="94">
        <v>10</v>
      </c>
      <c r="W52" s="82" t="s">
        <v>466</v>
      </c>
      <c r="X52" s="11">
        <f>IFERROR(VLOOKUP(W$8&amp;W52,[1]_enum!$A:$D,4,FALSE),"-")</f>
        <v>2</v>
      </c>
      <c r="Y52" s="110" t="s">
        <v>476</v>
      </c>
      <c r="Z52" s="115">
        <f>IFERROR(IF(X52=0,INDEX([1]ShipSlot!$A:$A,MATCH(Y52,[1]ShipSlot!$C:$C,0)),IF(X52=1,INDEX([1]CEquip!$A:$A,MATCH(Y52,[1]CEquip!$B:$B,0)), INDEX([1]Item!$A:$A,MATCH(Y52,[1]Item!$B:$B,0)))), "-")</f>
        <v>23550018</v>
      </c>
      <c r="AA52" s="94">
        <v>50</v>
      </c>
      <c r="AB52" s="82" t="s">
        <v>466</v>
      </c>
      <c r="AC52" s="11">
        <f>IFERROR(VLOOKUP(AB$8&amp;AB52,[1]_enum!$A:$D,4,FALSE),"-")</f>
        <v>2</v>
      </c>
      <c r="AD52" s="110" t="s">
        <v>477</v>
      </c>
      <c r="AE52" s="115">
        <f>IFERROR(IF(AC52=0,INDEX([1]ShipSlot!$A:$A,MATCH(AD52,[1]ShipSlot!$C:$C,0)),IF(AC52=1,INDEX([1]CEquip!$A:$A,MATCH(AD52,[1]CEquip!$B:$B,0)), INDEX([1]Item!$A:$A,MATCH(AD52,[1]Item!$B:$B,0)))), "-")</f>
        <v>23550019</v>
      </c>
      <c r="AF52" s="94">
        <v>50</v>
      </c>
      <c r="AG52" s="82" t="s">
        <v>466</v>
      </c>
      <c r="AH52" s="11">
        <f>IFERROR(VLOOKUP(AG$8&amp;AG52,[1]_enum!$A:$D,4,FALSE),"-")</f>
        <v>2</v>
      </c>
      <c r="AI52" s="110" t="s">
        <v>664</v>
      </c>
      <c r="AJ52" s="115">
        <f>IFERROR(IF(AH52=0,INDEX([1]ShipSlot!$A:$A,MATCH(AI52,[1]ShipSlot!$C:$C,0)),IF(AH52=1,INDEX([1]CEquip!$A:$A,MATCH(AI52,[1]CEquip!$B:$B,0)), INDEX([1]Item!$A:$A,MATCH(AI52,[1]Item!$B:$B,0)))), "-")</f>
        <v>23550020</v>
      </c>
      <c r="AK52" s="94">
        <v>50</v>
      </c>
    </row>
    <row r="53" spans="1:37" x14ac:dyDescent="0.2">
      <c r="A53" s="119">
        <v>2044</v>
      </c>
      <c r="B53" s="82" t="s">
        <v>464</v>
      </c>
      <c r="C53" s="11">
        <f>IFERROR(VLOOKUP(B$8&amp;B53,[1]_enum!$A:$D,4,FALSE),"-")</f>
        <v>0</v>
      </c>
      <c r="D53" s="110" t="s">
        <v>648</v>
      </c>
      <c r="E53" s="115">
        <f>IFERROR(IF(C53=0,INDEX([1]ShipSlot!$A:$A,MATCH(D53,[1]ShipSlot!$C:$C,0)),IF(C53=1,INDEX([1]CEquip!$A:$A,MATCH(D53,[1]CEquip!$B:$B,0)), INDEX([1]Item!$A:$A,MATCH(D53,[1]Item!$B:$B,0)))), "-")</f>
        <v>70101400</v>
      </c>
      <c r="F53" s="82" t="s">
        <v>663</v>
      </c>
      <c r="G53" s="82" t="s">
        <v>661</v>
      </c>
      <c r="H53" s="81">
        <v>21600</v>
      </c>
      <c r="I53" s="81">
        <v>5</v>
      </c>
      <c r="J53" s="82" t="s">
        <v>593</v>
      </c>
      <c r="K53" s="81">
        <f>IFERROR(VLOOKUP(J$8&amp;J53,[1]_enum!$A:$D,4,FALSE),"-")</f>
        <v>0</v>
      </c>
      <c r="L53" s="81">
        <v>100</v>
      </c>
      <c r="M53" s="81">
        <v>250</v>
      </c>
      <c r="N53" s="81">
        <v>1111111</v>
      </c>
      <c r="O53" s="83" t="s">
        <v>450</v>
      </c>
      <c r="P53" s="84">
        <f>IFERROR(INDEX([1]Point!$A:$A,MATCH(O53,[1]Point!$B:$B,0),1),"-")</f>
        <v>100001</v>
      </c>
      <c r="Q53" s="81">
        <v>2000000</v>
      </c>
      <c r="R53" s="82" t="s">
        <v>466</v>
      </c>
      <c r="S53" s="11">
        <f>IFERROR(VLOOKUP(R$8&amp;R53,[1]_enum!$A:$D,4,FALSE),"-")</f>
        <v>2</v>
      </c>
      <c r="T53" s="110" t="s">
        <v>622</v>
      </c>
      <c r="U53" s="115">
        <f>IFERROR(IF(S53=0,INDEX([1]ShipSlot!$A:$A,MATCH(T53,[1]ShipSlot!$C:$C,0)),IF(S53=1,INDEX([1]CEquip!$A:$A,MATCH(T53,[1]CEquip!$B:$B,0)), INDEX([1]Item!$A:$A,MATCH(T53,[1]Item!$B:$B,0)))), "-")</f>
        <v>23550017</v>
      </c>
      <c r="V53" s="94">
        <v>10</v>
      </c>
      <c r="W53" s="82" t="s">
        <v>466</v>
      </c>
      <c r="X53" s="11">
        <f>IFERROR(VLOOKUP(W$8&amp;W53,[1]_enum!$A:$D,4,FALSE),"-")</f>
        <v>2</v>
      </c>
      <c r="Y53" s="110" t="s">
        <v>476</v>
      </c>
      <c r="Z53" s="115">
        <f>IFERROR(IF(X53=0,INDEX([1]ShipSlot!$A:$A,MATCH(Y53,[1]ShipSlot!$C:$C,0)),IF(X53=1,INDEX([1]CEquip!$A:$A,MATCH(Y53,[1]CEquip!$B:$B,0)), INDEX([1]Item!$A:$A,MATCH(Y53,[1]Item!$B:$B,0)))), "-")</f>
        <v>23550018</v>
      </c>
      <c r="AA53" s="94">
        <v>50</v>
      </c>
      <c r="AB53" s="82" t="s">
        <v>466</v>
      </c>
      <c r="AC53" s="11">
        <f>IFERROR(VLOOKUP(AB$8&amp;AB53,[1]_enum!$A:$D,4,FALSE),"-")</f>
        <v>2</v>
      </c>
      <c r="AD53" s="110" t="s">
        <v>477</v>
      </c>
      <c r="AE53" s="115">
        <f>IFERROR(IF(AC53=0,INDEX([1]ShipSlot!$A:$A,MATCH(AD53,[1]ShipSlot!$C:$C,0)),IF(AC53=1,INDEX([1]CEquip!$A:$A,MATCH(AD53,[1]CEquip!$B:$B,0)), INDEX([1]Item!$A:$A,MATCH(AD53,[1]Item!$B:$B,0)))), "-")</f>
        <v>23550019</v>
      </c>
      <c r="AF53" s="94">
        <v>50</v>
      </c>
      <c r="AG53" s="82" t="s">
        <v>466</v>
      </c>
      <c r="AH53" s="11">
        <f>IFERROR(VLOOKUP(AG$8&amp;AG53,[1]_enum!$A:$D,4,FALSE),"-")</f>
        <v>2</v>
      </c>
      <c r="AI53" s="110" t="s">
        <v>664</v>
      </c>
      <c r="AJ53" s="115">
        <f>IFERROR(IF(AH53=0,INDEX([1]ShipSlot!$A:$A,MATCH(AI53,[1]ShipSlot!$C:$C,0)),IF(AH53=1,INDEX([1]CEquip!$A:$A,MATCH(AI53,[1]CEquip!$B:$B,0)), INDEX([1]Item!$A:$A,MATCH(AI53,[1]Item!$B:$B,0)))), "-")</f>
        <v>23550020</v>
      </c>
      <c r="AK53" s="94">
        <v>50</v>
      </c>
    </row>
    <row r="54" spans="1:37" x14ac:dyDescent="0.2">
      <c r="A54" s="119">
        <v>2045</v>
      </c>
      <c r="B54" s="82" t="s">
        <v>464</v>
      </c>
      <c r="C54" s="11">
        <f>IFERROR(VLOOKUP(B$8&amp;B54,[1]_enum!$A:$D,4,FALSE),"-")</f>
        <v>0</v>
      </c>
      <c r="D54" s="83" t="s">
        <v>649</v>
      </c>
      <c r="E54" s="115">
        <f>IFERROR(IF(C54=0,INDEX([1]ShipSlot!$A:$A,MATCH(D54,[1]ShipSlot!$C:$C,0)),IF(C54=1,INDEX([1]CEquip!$A:$A,MATCH(D54,[1]CEquip!$B:$B,0)), INDEX([1]Item!$A:$A,MATCH(D54,[1]Item!$B:$B,0)))), "-")</f>
        <v>70101401</v>
      </c>
      <c r="F54" s="82" t="s">
        <v>663</v>
      </c>
      <c r="G54" s="82" t="s">
        <v>661</v>
      </c>
      <c r="H54" s="81">
        <v>21600</v>
      </c>
      <c r="I54" s="81">
        <v>5</v>
      </c>
      <c r="J54" s="82" t="s">
        <v>593</v>
      </c>
      <c r="K54" s="81">
        <f>IFERROR(VLOOKUP(J$8&amp;J54,[1]_enum!$A:$D,4,FALSE),"-")</f>
        <v>0</v>
      </c>
      <c r="L54" s="81">
        <v>100</v>
      </c>
      <c r="M54" s="81">
        <v>250</v>
      </c>
      <c r="N54" s="81">
        <v>1111111</v>
      </c>
      <c r="O54" s="83" t="s">
        <v>450</v>
      </c>
      <c r="P54" s="84">
        <f>IFERROR(INDEX([1]Point!$A:$A,MATCH(O54,[1]Point!$B:$B,0),1),"-")</f>
        <v>100001</v>
      </c>
      <c r="Q54" s="81">
        <v>2000000</v>
      </c>
      <c r="R54" s="82" t="s">
        <v>466</v>
      </c>
      <c r="S54" s="11">
        <f>IFERROR(VLOOKUP(R$8&amp;R54,[1]_enum!$A:$D,4,FALSE),"-")</f>
        <v>2</v>
      </c>
      <c r="T54" s="110" t="s">
        <v>622</v>
      </c>
      <c r="U54" s="115">
        <f>IFERROR(IF(S54=0,INDEX([1]ShipSlot!$A:$A,MATCH(T54,[1]ShipSlot!$C:$C,0)),IF(S54=1,INDEX([1]CEquip!$A:$A,MATCH(T54,[1]CEquip!$B:$B,0)), INDEX([1]Item!$A:$A,MATCH(T54,[1]Item!$B:$B,0)))), "-")</f>
        <v>23550017</v>
      </c>
      <c r="V54" s="94">
        <v>10</v>
      </c>
      <c r="W54" s="82" t="s">
        <v>466</v>
      </c>
      <c r="X54" s="11">
        <f>IFERROR(VLOOKUP(W$8&amp;W54,[1]_enum!$A:$D,4,FALSE),"-")</f>
        <v>2</v>
      </c>
      <c r="Y54" s="110" t="s">
        <v>476</v>
      </c>
      <c r="Z54" s="115">
        <f>IFERROR(IF(X54=0,INDEX([1]ShipSlot!$A:$A,MATCH(Y54,[1]ShipSlot!$C:$C,0)),IF(X54=1,INDEX([1]CEquip!$A:$A,MATCH(Y54,[1]CEquip!$B:$B,0)), INDEX([1]Item!$A:$A,MATCH(Y54,[1]Item!$B:$B,0)))), "-")</f>
        <v>23550018</v>
      </c>
      <c r="AA54" s="94">
        <v>50</v>
      </c>
      <c r="AB54" s="82" t="s">
        <v>466</v>
      </c>
      <c r="AC54" s="11">
        <f>IFERROR(VLOOKUP(AB$8&amp;AB54,[1]_enum!$A:$D,4,FALSE),"-")</f>
        <v>2</v>
      </c>
      <c r="AD54" s="110" t="s">
        <v>477</v>
      </c>
      <c r="AE54" s="115">
        <f>IFERROR(IF(AC54=0,INDEX([1]ShipSlot!$A:$A,MATCH(AD54,[1]ShipSlot!$C:$C,0)),IF(AC54=1,INDEX([1]CEquip!$A:$A,MATCH(AD54,[1]CEquip!$B:$B,0)), INDEX([1]Item!$A:$A,MATCH(AD54,[1]Item!$B:$B,0)))), "-")</f>
        <v>23550019</v>
      </c>
      <c r="AF54" s="94">
        <v>50</v>
      </c>
      <c r="AG54" s="82" t="s">
        <v>466</v>
      </c>
      <c r="AH54" s="11">
        <f>IFERROR(VLOOKUP(AG$8&amp;AG54,[1]_enum!$A:$D,4,FALSE),"-")</f>
        <v>2</v>
      </c>
      <c r="AI54" s="110" t="s">
        <v>664</v>
      </c>
      <c r="AJ54" s="115">
        <f>IFERROR(IF(AH54=0,INDEX([1]ShipSlot!$A:$A,MATCH(AI54,[1]ShipSlot!$C:$C,0)),IF(AH54=1,INDEX([1]CEquip!$A:$A,MATCH(AI54,[1]CEquip!$B:$B,0)), INDEX([1]Item!$A:$A,MATCH(AI54,[1]Item!$B:$B,0)))), "-")</f>
        <v>23550020</v>
      </c>
      <c r="AK54" s="94">
        <v>50</v>
      </c>
    </row>
    <row r="55" spans="1:37" x14ac:dyDescent="0.2">
      <c r="A55" s="119">
        <v>2046</v>
      </c>
      <c r="B55" s="82" t="s">
        <v>464</v>
      </c>
      <c r="C55" s="11">
        <f>IFERROR(VLOOKUP(B$8&amp;B55,[1]_enum!$A:$D,4,FALSE),"-")</f>
        <v>0</v>
      </c>
      <c r="D55" s="83" t="s">
        <v>650</v>
      </c>
      <c r="E55" s="115">
        <f>IFERROR(IF(C55=0,INDEX([1]ShipSlot!$A:$A,MATCH(D55,[1]ShipSlot!$C:$C,0)),IF(C55=1,INDEX([1]CEquip!$A:$A,MATCH(D55,[1]CEquip!$B:$B,0)), INDEX([1]Item!$A:$A,MATCH(D55,[1]Item!$B:$B,0)))), "-")</f>
        <v>70101402</v>
      </c>
      <c r="F55" s="82" t="s">
        <v>663</v>
      </c>
      <c r="G55" s="82" t="s">
        <v>661</v>
      </c>
      <c r="H55" s="81">
        <v>21600</v>
      </c>
      <c r="I55" s="81">
        <v>5</v>
      </c>
      <c r="J55" s="82" t="s">
        <v>593</v>
      </c>
      <c r="K55" s="81">
        <f>IFERROR(VLOOKUP(J$8&amp;J55,[1]_enum!$A:$D,4,FALSE),"-")</f>
        <v>0</v>
      </c>
      <c r="L55" s="81">
        <v>100</v>
      </c>
      <c r="M55" s="81">
        <v>250</v>
      </c>
      <c r="N55" s="81">
        <v>1111111</v>
      </c>
      <c r="O55" s="83" t="s">
        <v>450</v>
      </c>
      <c r="P55" s="84">
        <f>IFERROR(INDEX([1]Point!$A:$A,MATCH(O55,[1]Point!$B:$B,0),1),"-")</f>
        <v>100001</v>
      </c>
      <c r="Q55" s="81">
        <v>2000000</v>
      </c>
      <c r="R55" s="82" t="s">
        <v>466</v>
      </c>
      <c r="S55" s="11">
        <f>IFERROR(VLOOKUP(R$8&amp;R55,[1]_enum!$A:$D,4,FALSE),"-")</f>
        <v>2</v>
      </c>
      <c r="T55" s="110" t="s">
        <v>622</v>
      </c>
      <c r="U55" s="115">
        <f>IFERROR(IF(S55=0,INDEX([1]ShipSlot!$A:$A,MATCH(T55,[1]ShipSlot!$C:$C,0)),IF(S55=1,INDEX([1]CEquip!$A:$A,MATCH(T55,[1]CEquip!$B:$B,0)), INDEX([1]Item!$A:$A,MATCH(T55,[1]Item!$B:$B,0)))), "-")</f>
        <v>23550017</v>
      </c>
      <c r="V55" s="94">
        <v>10</v>
      </c>
      <c r="W55" s="82" t="s">
        <v>466</v>
      </c>
      <c r="X55" s="11">
        <f>IFERROR(VLOOKUP(W$8&amp;W55,[1]_enum!$A:$D,4,FALSE),"-")</f>
        <v>2</v>
      </c>
      <c r="Y55" s="110" t="s">
        <v>476</v>
      </c>
      <c r="Z55" s="115">
        <f>IFERROR(IF(X55=0,INDEX([1]ShipSlot!$A:$A,MATCH(Y55,[1]ShipSlot!$C:$C,0)),IF(X55=1,INDEX([1]CEquip!$A:$A,MATCH(Y55,[1]CEquip!$B:$B,0)), INDEX([1]Item!$A:$A,MATCH(Y55,[1]Item!$B:$B,0)))), "-")</f>
        <v>23550018</v>
      </c>
      <c r="AA55" s="94">
        <v>50</v>
      </c>
      <c r="AB55" s="82" t="s">
        <v>466</v>
      </c>
      <c r="AC55" s="11">
        <f>IFERROR(VLOOKUP(AB$8&amp;AB55,[1]_enum!$A:$D,4,FALSE),"-")</f>
        <v>2</v>
      </c>
      <c r="AD55" s="110" t="s">
        <v>477</v>
      </c>
      <c r="AE55" s="115">
        <f>IFERROR(IF(AC55=0,INDEX([1]ShipSlot!$A:$A,MATCH(AD55,[1]ShipSlot!$C:$C,0)),IF(AC55=1,INDEX([1]CEquip!$A:$A,MATCH(AD55,[1]CEquip!$B:$B,0)), INDEX([1]Item!$A:$A,MATCH(AD55,[1]Item!$B:$B,0)))), "-")</f>
        <v>23550019</v>
      </c>
      <c r="AF55" s="94">
        <v>50</v>
      </c>
      <c r="AG55" s="82" t="s">
        <v>466</v>
      </c>
      <c r="AH55" s="11">
        <f>IFERROR(VLOOKUP(AG$8&amp;AG55,[1]_enum!$A:$D,4,FALSE),"-")</f>
        <v>2</v>
      </c>
      <c r="AI55" s="110" t="s">
        <v>664</v>
      </c>
      <c r="AJ55" s="115">
        <f>IFERROR(IF(AH55=0,INDEX([1]ShipSlot!$A:$A,MATCH(AI55,[1]ShipSlot!$C:$C,0)),IF(AH55=1,INDEX([1]CEquip!$A:$A,MATCH(AI55,[1]CEquip!$B:$B,0)), INDEX([1]Item!$A:$A,MATCH(AI55,[1]Item!$B:$B,0)))), "-")</f>
        <v>23550020</v>
      </c>
      <c r="AK55" s="94">
        <v>50</v>
      </c>
    </row>
    <row r="56" spans="1:37" x14ac:dyDescent="0.2">
      <c r="A56" s="119">
        <v>2047</v>
      </c>
      <c r="B56" s="82" t="s">
        <v>464</v>
      </c>
      <c r="C56" s="11">
        <f>IFERROR(VLOOKUP(B$8&amp;B56,[1]_enum!$A:$D,4,FALSE),"-")</f>
        <v>0</v>
      </c>
      <c r="D56" s="83" t="s">
        <v>651</v>
      </c>
      <c r="E56" s="115">
        <f>IFERROR(IF(C56=0,INDEX([1]ShipSlot!$A:$A,MATCH(D56,[1]ShipSlot!$C:$C,0)),IF(C56=1,INDEX([1]CEquip!$A:$A,MATCH(D56,[1]CEquip!$B:$B,0)), INDEX([1]Item!$A:$A,MATCH(D56,[1]Item!$B:$B,0)))), "-")</f>
        <v>70101403</v>
      </c>
      <c r="F56" s="82" t="s">
        <v>663</v>
      </c>
      <c r="G56" s="82" t="s">
        <v>662</v>
      </c>
      <c r="H56" s="81">
        <v>86400</v>
      </c>
      <c r="I56" s="81">
        <v>8</v>
      </c>
      <c r="J56" s="82" t="s">
        <v>593</v>
      </c>
      <c r="K56" s="81">
        <f>IFERROR(VLOOKUP(J$8&amp;J56,[1]_enum!$A:$D,4,FALSE),"-")</f>
        <v>0</v>
      </c>
      <c r="L56" s="81">
        <v>100</v>
      </c>
      <c r="M56" s="81">
        <v>500</v>
      </c>
      <c r="N56" s="81">
        <v>1111111</v>
      </c>
      <c r="O56" s="83" t="s">
        <v>450</v>
      </c>
      <c r="P56" s="84">
        <f>IFERROR(INDEX([1]Point!$A:$A,MATCH(O56,[1]Point!$B:$B,0),1),"-")</f>
        <v>100001</v>
      </c>
      <c r="Q56" s="81">
        <v>7000000</v>
      </c>
      <c r="R56" s="82" t="s">
        <v>466</v>
      </c>
      <c r="S56" s="11">
        <f>IFERROR(VLOOKUP(R$8&amp;R56,[1]_enum!$A:$D,4,FALSE),"-")</f>
        <v>2</v>
      </c>
      <c r="T56" s="110" t="s">
        <v>625</v>
      </c>
      <c r="U56" s="115">
        <f>IFERROR(IF(S56=0,INDEX([1]ShipSlot!$A:$A,MATCH(T56,[1]ShipSlot!$C:$C,0)),IF(S56=1,INDEX([1]CEquip!$A:$A,MATCH(T56,[1]CEquip!$B:$B,0)), INDEX([1]Item!$A:$A,MATCH(T56,[1]Item!$B:$B,0)))), "-")</f>
        <v>23550021</v>
      </c>
      <c r="V56" s="94">
        <v>10</v>
      </c>
      <c r="W56" s="82" t="s">
        <v>466</v>
      </c>
      <c r="X56" s="11">
        <f>IFERROR(VLOOKUP(W$8&amp;W56,[1]_enum!$A:$D,4,FALSE),"-")</f>
        <v>2</v>
      </c>
      <c r="Y56" s="110" t="s">
        <v>482</v>
      </c>
      <c r="Z56" s="115">
        <f>IFERROR(IF(X56=0,INDEX([1]ShipSlot!$A:$A,MATCH(Y56,[1]ShipSlot!$C:$C,0)),IF(X56=1,INDEX([1]CEquip!$A:$A,MATCH(Y56,[1]CEquip!$B:$B,0)), INDEX([1]Item!$A:$A,MATCH(Y56,[1]Item!$B:$B,0)))), "-")</f>
        <v>23550022</v>
      </c>
      <c r="AA56" s="94">
        <v>50</v>
      </c>
      <c r="AB56" s="82" t="s">
        <v>466</v>
      </c>
      <c r="AC56" s="11">
        <f>IFERROR(VLOOKUP(AB$8&amp;AB56,[1]_enum!$A:$D,4,FALSE),"-")</f>
        <v>2</v>
      </c>
      <c r="AD56" s="110" t="s">
        <v>483</v>
      </c>
      <c r="AE56" s="115">
        <f>IFERROR(IF(AC56=0,INDEX([1]ShipSlot!$A:$A,MATCH(AD56,[1]ShipSlot!$C:$C,0)),IF(AC56=1,INDEX([1]CEquip!$A:$A,MATCH(AD56,[1]CEquip!$B:$B,0)), INDEX([1]Item!$A:$A,MATCH(AD56,[1]Item!$B:$B,0)))), "-")</f>
        <v>23550023</v>
      </c>
      <c r="AF56" s="94">
        <v>50</v>
      </c>
      <c r="AG56" s="82" t="s">
        <v>466</v>
      </c>
      <c r="AH56" s="11">
        <f>IFERROR(VLOOKUP(AG$8&amp;AG56,[1]_enum!$A:$D,4,FALSE),"-")</f>
        <v>2</v>
      </c>
      <c r="AI56" s="110" t="s">
        <v>484</v>
      </c>
      <c r="AJ56" s="115">
        <f>IFERROR(IF(AH56=0,INDEX([1]ShipSlot!$A:$A,MATCH(AI56,[1]ShipSlot!$C:$C,0)),IF(AH56=1,INDEX([1]CEquip!$A:$A,MATCH(AI56,[1]CEquip!$B:$B,0)), INDEX([1]Item!$A:$A,MATCH(AI56,[1]Item!$B:$B,0)))), "-")</f>
        <v>23550024</v>
      </c>
      <c r="AK56" s="94">
        <v>50</v>
      </c>
    </row>
    <row r="57" spans="1:37" x14ac:dyDescent="0.2">
      <c r="A57" s="119">
        <v>2048</v>
      </c>
      <c r="B57" s="82" t="s">
        <v>464</v>
      </c>
      <c r="C57" s="11">
        <f>IFERROR(VLOOKUP(B$8&amp;B57,[1]_enum!$A:$D,4,FALSE),"-")</f>
        <v>0</v>
      </c>
      <c r="D57" s="83" t="s">
        <v>652</v>
      </c>
      <c r="E57" s="115">
        <f>IFERROR(IF(C57=0,INDEX([1]ShipSlot!$A:$A,MATCH(D57,[1]ShipSlot!$C:$C,0)),IF(C57=1,INDEX([1]CEquip!$A:$A,MATCH(D57,[1]CEquip!$B:$B,0)), INDEX([1]Item!$A:$A,MATCH(D57,[1]Item!$B:$B,0)))), "-")</f>
        <v>70101404</v>
      </c>
      <c r="F57" s="82" t="s">
        <v>663</v>
      </c>
      <c r="G57" s="82" t="s">
        <v>662</v>
      </c>
      <c r="H57" s="81">
        <v>86400</v>
      </c>
      <c r="I57" s="81">
        <v>8</v>
      </c>
      <c r="J57" s="82" t="s">
        <v>593</v>
      </c>
      <c r="K57" s="81">
        <f>IFERROR(VLOOKUP(J$8&amp;J57,[1]_enum!$A:$D,4,FALSE),"-")</f>
        <v>0</v>
      </c>
      <c r="L57" s="81">
        <v>100</v>
      </c>
      <c r="M57" s="81">
        <v>500</v>
      </c>
      <c r="N57" s="81">
        <v>1111111</v>
      </c>
      <c r="O57" s="83" t="s">
        <v>450</v>
      </c>
      <c r="P57" s="84">
        <f>IFERROR(INDEX([1]Point!$A:$A,MATCH(O57,[1]Point!$B:$B,0),1),"-")</f>
        <v>100001</v>
      </c>
      <c r="Q57" s="81">
        <v>7000000</v>
      </c>
      <c r="R57" s="82" t="s">
        <v>466</v>
      </c>
      <c r="S57" s="11">
        <f>IFERROR(VLOOKUP(R$8&amp;R57,[1]_enum!$A:$D,4,FALSE),"-")</f>
        <v>2</v>
      </c>
      <c r="T57" s="110" t="s">
        <v>625</v>
      </c>
      <c r="U57" s="115">
        <f>IFERROR(IF(S57=0,INDEX([1]ShipSlot!$A:$A,MATCH(T57,[1]ShipSlot!$C:$C,0)),IF(S57=1,INDEX([1]CEquip!$A:$A,MATCH(T57,[1]CEquip!$B:$B,0)), INDEX([1]Item!$A:$A,MATCH(T57,[1]Item!$B:$B,0)))), "-")</f>
        <v>23550021</v>
      </c>
      <c r="V57" s="94">
        <v>10</v>
      </c>
      <c r="W57" s="82" t="s">
        <v>466</v>
      </c>
      <c r="X57" s="11">
        <f>IFERROR(VLOOKUP(W$8&amp;W57,[1]_enum!$A:$D,4,FALSE),"-")</f>
        <v>2</v>
      </c>
      <c r="Y57" s="110" t="s">
        <v>482</v>
      </c>
      <c r="Z57" s="115">
        <f>IFERROR(IF(X57=0,INDEX([1]ShipSlot!$A:$A,MATCH(Y57,[1]ShipSlot!$C:$C,0)),IF(X57=1,INDEX([1]CEquip!$A:$A,MATCH(Y57,[1]CEquip!$B:$B,0)), INDEX([1]Item!$A:$A,MATCH(Y57,[1]Item!$B:$B,0)))), "-")</f>
        <v>23550022</v>
      </c>
      <c r="AA57" s="94">
        <v>50</v>
      </c>
      <c r="AB57" s="82" t="s">
        <v>466</v>
      </c>
      <c r="AC57" s="11">
        <f>IFERROR(VLOOKUP(AB$8&amp;AB57,[1]_enum!$A:$D,4,FALSE),"-")</f>
        <v>2</v>
      </c>
      <c r="AD57" s="110" t="s">
        <v>483</v>
      </c>
      <c r="AE57" s="115">
        <f>IFERROR(IF(AC57=0,INDEX([1]ShipSlot!$A:$A,MATCH(AD57,[1]ShipSlot!$C:$C,0)),IF(AC57=1,INDEX([1]CEquip!$A:$A,MATCH(AD57,[1]CEquip!$B:$B,0)), INDEX([1]Item!$A:$A,MATCH(AD57,[1]Item!$B:$B,0)))), "-")</f>
        <v>23550023</v>
      </c>
      <c r="AF57" s="94">
        <v>50</v>
      </c>
      <c r="AG57" s="82" t="s">
        <v>466</v>
      </c>
      <c r="AH57" s="11">
        <f>IFERROR(VLOOKUP(AG$8&amp;AG57,[1]_enum!$A:$D,4,FALSE),"-")</f>
        <v>2</v>
      </c>
      <c r="AI57" s="110" t="s">
        <v>484</v>
      </c>
      <c r="AJ57" s="115">
        <f>IFERROR(IF(AH57=0,INDEX([1]ShipSlot!$A:$A,MATCH(AI57,[1]ShipSlot!$C:$C,0)),IF(AH57=1,INDEX([1]CEquip!$A:$A,MATCH(AI57,[1]CEquip!$B:$B,0)), INDEX([1]Item!$A:$A,MATCH(AI57,[1]Item!$B:$B,0)))), "-")</f>
        <v>23550024</v>
      </c>
      <c r="AK57" s="94">
        <v>50</v>
      </c>
    </row>
    <row r="58" spans="1:37" x14ac:dyDescent="0.2">
      <c r="A58" s="119">
        <v>2049</v>
      </c>
      <c r="B58" s="82" t="s">
        <v>464</v>
      </c>
      <c r="C58" s="11">
        <f>IFERROR(VLOOKUP(B$8&amp;B58,[1]_enum!$A:$D,4,FALSE),"-")</f>
        <v>0</v>
      </c>
      <c r="D58" s="89" t="s">
        <v>653</v>
      </c>
      <c r="E58" s="115">
        <f>IFERROR(IF(C58=0,INDEX([1]ShipSlot!$A:$A,MATCH(D58,[1]ShipSlot!$C:$C,0)),IF(C58=1,INDEX([1]CEquip!$A:$A,MATCH(D58,[1]CEquip!$B:$B,0)), INDEX([1]Item!$A:$A,MATCH(D58,[1]Item!$B:$B,0)))), "-")</f>
        <v>70101405</v>
      </c>
      <c r="F58" s="82" t="s">
        <v>663</v>
      </c>
      <c r="G58" s="82" t="s">
        <v>662</v>
      </c>
      <c r="H58" s="81">
        <v>86400</v>
      </c>
      <c r="I58" s="81">
        <v>8</v>
      </c>
      <c r="J58" s="82" t="s">
        <v>593</v>
      </c>
      <c r="K58" s="81">
        <f>IFERROR(VLOOKUP(J$8&amp;J58,[1]_enum!$A:$D,4,FALSE),"-")</f>
        <v>0</v>
      </c>
      <c r="L58" s="81">
        <v>100</v>
      </c>
      <c r="M58" s="81">
        <v>500</v>
      </c>
      <c r="N58" s="81">
        <v>1111111</v>
      </c>
      <c r="O58" s="83" t="s">
        <v>450</v>
      </c>
      <c r="P58" s="84">
        <f>IFERROR(INDEX([1]Point!$A:$A,MATCH(O58,[1]Point!$B:$B,0),1),"-")</f>
        <v>100001</v>
      </c>
      <c r="Q58" s="81">
        <v>7000000</v>
      </c>
      <c r="R58" s="82" t="s">
        <v>466</v>
      </c>
      <c r="S58" s="11">
        <f>IFERROR(VLOOKUP(R$8&amp;R58,[1]_enum!$A:$D,4,FALSE),"-")</f>
        <v>2</v>
      </c>
      <c r="T58" s="110" t="s">
        <v>625</v>
      </c>
      <c r="U58" s="115">
        <f>IFERROR(IF(S58=0,INDEX([1]ShipSlot!$A:$A,MATCH(T58,[1]ShipSlot!$C:$C,0)),IF(S58=1,INDEX([1]CEquip!$A:$A,MATCH(T58,[1]CEquip!$B:$B,0)), INDEX([1]Item!$A:$A,MATCH(T58,[1]Item!$B:$B,0)))), "-")</f>
        <v>23550021</v>
      </c>
      <c r="V58" s="94">
        <v>10</v>
      </c>
      <c r="W58" s="82" t="s">
        <v>466</v>
      </c>
      <c r="X58" s="11">
        <f>IFERROR(VLOOKUP(W$8&amp;W58,[1]_enum!$A:$D,4,FALSE),"-")</f>
        <v>2</v>
      </c>
      <c r="Y58" s="110" t="s">
        <v>482</v>
      </c>
      <c r="Z58" s="115">
        <f>IFERROR(IF(X58=0,INDEX([1]ShipSlot!$A:$A,MATCH(Y58,[1]ShipSlot!$C:$C,0)),IF(X58=1,INDEX([1]CEquip!$A:$A,MATCH(Y58,[1]CEquip!$B:$B,0)), INDEX([1]Item!$A:$A,MATCH(Y58,[1]Item!$B:$B,0)))), "-")</f>
        <v>23550022</v>
      </c>
      <c r="AA58" s="94">
        <v>50</v>
      </c>
      <c r="AB58" s="82" t="s">
        <v>466</v>
      </c>
      <c r="AC58" s="11">
        <f>IFERROR(VLOOKUP(AB$8&amp;AB58,[1]_enum!$A:$D,4,FALSE),"-")</f>
        <v>2</v>
      </c>
      <c r="AD58" s="110" t="s">
        <v>483</v>
      </c>
      <c r="AE58" s="115">
        <f>IFERROR(IF(AC58=0,INDEX([1]ShipSlot!$A:$A,MATCH(AD58,[1]ShipSlot!$C:$C,0)),IF(AC58=1,INDEX([1]CEquip!$A:$A,MATCH(AD58,[1]CEquip!$B:$B,0)), INDEX([1]Item!$A:$A,MATCH(AD58,[1]Item!$B:$B,0)))), "-")</f>
        <v>23550023</v>
      </c>
      <c r="AF58" s="94">
        <v>50</v>
      </c>
      <c r="AG58" s="82" t="s">
        <v>466</v>
      </c>
      <c r="AH58" s="11">
        <f>IFERROR(VLOOKUP(AG$8&amp;AG58,[1]_enum!$A:$D,4,FALSE),"-")</f>
        <v>2</v>
      </c>
      <c r="AI58" s="110" t="s">
        <v>484</v>
      </c>
      <c r="AJ58" s="115">
        <f>IFERROR(IF(AH58=0,INDEX([1]ShipSlot!$A:$A,MATCH(AI58,[1]ShipSlot!$C:$C,0)),IF(AH58=1,INDEX([1]CEquip!$A:$A,MATCH(AI58,[1]CEquip!$B:$B,0)), INDEX([1]Item!$A:$A,MATCH(AI58,[1]Item!$B:$B,0)))), "-")</f>
        <v>23550024</v>
      </c>
      <c r="AK58" s="94">
        <v>50</v>
      </c>
    </row>
    <row r="59" spans="1:37" x14ac:dyDescent="0.2">
      <c r="A59" s="119">
        <v>2050</v>
      </c>
      <c r="B59" s="82" t="s">
        <v>464</v>
      </c>
      <c r="C59" s="11">
        <f>IFERROR(VLOOKUP(B$8&amp;B59,[1]_enum!$A:$D,4,FALSE),"-")</f>
        <v>0</v>
      </c>
      <c r="D59" s="110" t="s">
        <v>654</v>
      </c>
      <c r="E59" s="115">
        <f>IFERROR(IF(C59=0,INDEX([1]ShipSlot!$A:$A,MATCH(D59,[1]ShipSlot!$C:$C,0)),IF(C59=1,INDEX([1]CEquip!$A:$A,MATCH(D59,[1]CEquip!$B:$B,0)), INDEX([1]Item!$A:$A,MATCH(D59,[1]Item!$B:$B,0)))), "-")</f>
        <v>70101406</v>
      </c>
      <c r="F59" s="82" t="s">
        <v>663</v>
      </c>
      <c r="G59" s="82" t="s">
        <v>662</v>
      </c>
      <c r="H59" s="81">
        <v>86400</v>
      </c>
      <c r="I59" s="81">
        <v>8</v>
      </c>
      <c r="J59" s="82" t="s">
        <v>593</v>
      </c>
      <c r="K59" s="81">
        <f>IFERROR(VLOOKUP(J$8&amp;J59,[1]_enum!$A:$D,4,FALSE),"-")</f>
        <v>0</v>
      </c>
      <c r="L59" s="81">
        <v>100</v>
      </c>
      <c r="M59" s="81">
        <v>500</v>
      </c>
      <c r="N59" s="81">
        <v>1111111</v>
      </c>
      <c r="O59" s="83" t="s">
        <v>450</v>
      </c>
      <c r="P59" s="84">
        <f>IFERROR(INDEX([1]Point!$A:$A,MATCH(O59,[1]Point!$B:$B,0),1),"-")</f>
        <v>100001</v>
      </c>
      <c r="Q59" s="81">
        <v>7000000</v>
      </c>
      <c r="R59" s="82" t="s">
        <v>466</v>
      </c>
      <c r="S59" s="11">
        <f>IFERROR(VLOOKUP(R$8&amp;R59,[1]_enum!$A:$D,4,FALSE),"-")</f>
        <v>2</v>
      </c>
      <c r="T59" s="110" t="s">
        <v>625</v>
      </c>
      <c r="U59" s="115">
        <f>IFERROR(IF(S59=0,INDEX([1]ShipSlot!$A:$A,MATCH(T59,[1]ShipSlot!$C:$C,0)),IF(S59=1,INDEX([1]CEquip!$A:$A,MATCH(T59,[1]CEquip!$B:$B,0)), INDEX([1]Item!$A:$A,MATCH(T59,[1]Item!$B:$B,0)))), "-")</f>
        <v>23550021</v>
      </c>
      <c r="V59" s="94">
        <v>10</v>
      </c>
      <c r="W59" s="82" t="s">
        <v>466</v>
      </c>
      <c r="X59" s="11">
        <f>IFERROR(VLOOKUP(W$8&amp;W59,[1]_enum!$A:$D,4,FALSE),"-")</f>
        <v>2</v>
      </c>
      <c r="Y59" s="110" t="s">
        <v>482</v>
      </c>
      <c r="Z59" s="115">
        <f>IFERROR(IF(X59=0,INDEX([1]ShipSlot!$A:$A,MATCH(Y59,[1]ShipSlot!$C:$C,0)),IF(X59=1,INDEX([1]CEquip!$A:$A,MATCH(Y59,[1]CEquip!$B:$B,0)), INDEX([1]Item!$A:$A,MATCH(Y59,[1]Item!$B:$B,0)))), "-")</f>
        <v>23550022</v>
      </c>
      <c r="AA59" s="94">
        <v>50</v>
      </c>
      <c r="AB59" s="82" t="s">
        <v>466</v>
      </c>
      <c r="AC59" s="11">
        <f>IFERROR(VLOOKUP(AB$8&amp;AB59,[1]_enum!$A:$D,4,FALSE),"-")</f>
        <v>2</v>
      </c>
      <c r="AD59" s="110" t="s">
        <v>483</v>
      </c>
      <c r="AE59" s="115">
        <f>IFERROR(IF(AC59=0,INDEX([1]ShipSlot!$A:$A,MATCH(AD59,[1]ShipSlot!$C:$C,0)),IF(AC59=1,INDEX([1]CEquip!$A:$A,MATCH(AD59,[1]CEquip!$B:$B,0)), INDEX([1]Item!$A:$A,MATCH(AD59,[1]Item!$B:$B,0)))), "-")</f>
        <v>23550023</v>
      </c>
      <c r="AF59" s="94">
        <v>50</v>
      </c>
      <c r="AG59" s="82" t="s">
        <v>466</v>
      </c>
      <c r="AH59" s="11">
        <f>IFERROR(VLOOKUP(AG$8&amp;AG59,[1]_enum!$A:$D,4,FALSE),"-")</f>
        <v>2</v>
      </c>
      <c r="AI59" s="110" t="s">
        <v>484</v>
      </c>
      <c r="AJ59" s="115">
        <f>IFERROR(IF(AH59=0,INDEX([1]ShipSlot!$A:$A,MATCH(AI59,[1]ShipSlot!$C:$C,0)),IF(AH59=1,INDEX([1]CEquip!$A:$A,MATCH(AI59,[1]CEquip!$B:$B,0)), INDEX([1]Item!$A:$A,MATCH(AI59,[1]Item!$B:$B,0)))), "-")</f>
        <v>23550024</v>
      </c>
      <c r="AK59" s="94">
        <v>50</v>
      </c>
    </row>
    <row r="60" spans="1:37" x14ac:dyDescent="0.2">
      <c r="A60" s="119">
        <v>2051</v>
      </c>
      <c r="B60" s="82" t="s">
        <v>464</v>
      </c>
      <c r="C60" s="11">
        <f>IFERROR(VLOOKUP(B$8&amp;B60,[1]_enum!$A:$D,4,FALSE),"-")</f>
        <v>0</v>
      </c>
      <c r="D60" s="83" t="s">
        <v>655</v>
      </c>
      <c r="E60" s="115">
        <f>IFERROR(IF(C60=0,INDEX([1]ShipSlot!$A:$A,MATCH(D60,[1]ShipSlot!$C:$C,0)),IF(C60=1,INDEX([1]CEquip!$A:$A,MATCH(D60,[1]CEquip!$B:$B,0)), INDEX([1]Item!$A:$A,MATCH(D60,[1]Item!$B:$B,0)))), "-")</f>
        <v>70101407</v>
      </c>
      <c r="F60" s="82" t="s">
        <v>663</v>
      </c>
      <c r="G60" s="82" t="s">
        <v>662</v>
      </c>
      <c r="H60" s="81">
        <v>86400</v>
      </c>
      <c r="I60" s="81">
        <v>8</v>
      </c>
      <c r="J60" s="82" t="s">
        <v>593</v>
      </c>
      <c r="K60" s="81">
        <f>IFERROR(VLOOKUP(J$8&amp;J60,[1]_enum!$A:$D,4,FALSE),"-")</f>
        <v>0</v>
      </c>
      <c r="L60" s="81">
        <v>100</v>
      </c>
      <c r="M60" s="81">
        <v>500</v>
      </c>
      <c r="N60" s="81">
        <v>1111111</v>
      </c>
      <c r="O60" s="83" t="s">
        <v>450</v>
      </c>
      <c r="P60" s="84">
        <f>IFERROR(INDEX([1]Point!$A:$A,MATCH(O60,[1]Point!$B:$B,0),1),"-")</f>
        <v>100001</v>
      </c>
      <c r="Q60" s="81">
        <v>7000000</v>
      </c>
      <c r="R60" s="82" t="s">
        <v>466</v>
      </c>
      <c r="S60" s="11">
        <f>IFERROR(VLOOKUP(R$8&amp;R60,[1]_enum!$A:$D,4,FALSE),"-")</f>
        <v>2</v>
      </c>
      <c r="T60" s="110" t="s">
        <v>625</v>
      </c>
      <c r="U60" s="115">
        <f>IFERROR(IF(S60=0,INDEX([1]ShipSlot!$A:$A,MATCH(T60,[1]ShipSlot!$C:$C,0)),IF(S60=1,INDEX([1]CEquip!$A:$A,MATCH(T60,[1]CEquip!$B:$B,0)), INDEX([1]Item!$A:$A,MATCH(T60,[1]Item!$B:$B,0)))), "-")</f>
        <v>23550021</v>
      </c>
      <c r="V60" s="94">
        <v>10</v>
      </c>
      <c r="W60" s="82" t="s">
        <v>466</v>
      </c>
      <c r="X60" s="11">
        <f>IFERROR(VLOOKUP(W$8&amp;W60,[1]_enum!$A:$D,4,FALSE),"-")</f>
        <v>2</v>
      </c>
      <c r="Y60" s="110" t="s">
        <v>482</v>
      </c>
      <c r="Z60" s="115">
        <f>IFERROR(IF(X60=0,INDEX([1]ShipSlot!$A:$A,MATCH(Y60,[1]ShipSlot!$C:$C,0)),IF(X60=1,INDEX([1]CEquip!$A:$A,MATCH(Y60,[1]CEquip!$B:$B,0)), INDEX([1]Item!$A:$A,MATCH(Y60,[1]Item!$B:$B,0)))), "-")</f>
        <v>23550022</v>
      </c>
      <c r="AA60" s="94">
        <v>50</v>
      </c>
      <c r="AB60" s="82" t="s">
        <v>466</v>
      </c>
      <c r="AC60" s="11">
        <f>IFERROR(VLOOKUP(AB$8&amp;AB60,[1]_enum!$A:$D,4,FALSE),"-")</f>
        <v>2</v>
      </c>
      <c r="AD60" s="110" t="s">
        <v>483</v>
      </c>
      <c r="AE60" s="115">
        <f>IFERROR(IF(AC60=0,INDEX([1]ShipSlot!$A:$A,MATCH(AD60,[1]ShipSlot!$C:$C,0)),IF(AC60=1,INDEX([1]CEquip!$A:$A,MATCH(AD60,[1]CEquip!$B:$B,0)), INDEX([1]Item!$A:$A,MATCH(AD60,[1]Item!$B:$B,0)))), "-")</f>
        <v>23550023</v>
      </c>
      <c r="AF60" s="94">
        <v>50</v>
      </c>
      <c r="AG60" s="82" t="s">
        <v>466</v>
      </c>
      <c r="AH60" s="11">
        <f>IFERROR(VLOOKUP(AG$8&amp;AG60,[1]_enum!$A:$D,4,FALSE),"-")</f>
        <v>2</v>
      </c>
      <c r="AI60" s="110" t="s">
        <v>484</v>
      </c>
      <c r="AJ60" s="115">
        <f>IFERROR(IF(AH60=0,INDEX([1]ShipSlot!$A:$A,MATCH(AI60,[1]ShipSlot!$C:$C,0)),IF(AH60=1,INDEX([1]CEquip!$A:$A,MATCH(AI60,[1]CEquip!$B:$B,0)), INDEX([1]Item!$A:$A,MATCH(AI60,[1]Item!$B:$B,0)))), "-")</f>
        <v>23550024</v>
      </c>
      <c r="AK60" s="94">
        <v>50</v>
      </c>
    </row>
    <row r="61" spans="1:37" x14ac:dyDescent="0.2">
      <c r="A61" s="119">
        <v>2052</v>
      </c>
      <c r="B61" s="82" t="s">
        <v>464</v>
      </c>
      <c r="C61" s="11">
        <f>IFERROR(VLOOKUP(B$8&amp;B61,[1]_enum!$A:$D,4,FALSE),"-")</f>
        <v>0</v>
      </c>
      <c r="D61" s="83" t="s">
        <v>656</v>
      </c>
      <c r="E61" s="115">
        <f>IFERROR(IF(C61=0,INDEX([1]ShipSlot!$A:$A,MATCH(D61,[1]ShipSlot!$C:$C,0)),IF(C61=1,INDEX([1]CEquip!$A:$A,MATCH(D61,[1]CEquip!$B:$B,0)), INDEX([1]Item!$A:$A,MATCH(D61,[1]Item!$B:$B,0)))), "-")</f>
        <v>70101408</v>
      </c>
      <c r="F61" s="82" t="s">
        <v>663</v>
      </c>
      <c r="G61" s="82" t="s">
        <v>662</v>
      </c>
      <c r="H61" s="81">
        <v>86400</v>
      </c>
      <c r="I61" s="81">
        <v>8</v>
      </c>
      <c r="J61" s="82" t="s">
        <v>593</v>
      </c>
      <c r="K61" s="81">
        <f>IFERROR(VLOOKUP(J$8&amp;J61,[1]_enum!$A:$D,4,FALSE),"-")</f>
        <v>0</v>
      </c>
      <c r="L61" s="81">
        <v>100</v>
      </c>
      <c r="M61" s="81">
        <v>500</v>
      </c>
      <c r="N61" s="81">
        <v>1111111</v>
      </c>
      <c r="O61" s="83" t="s">
        <v>450</v>
      </c>
      <c r="P61" s="84">
        <f>IFERROR(INDEX([1]Point!$A:$A,MATCH(O61,[1]Point!$B:$B,0),1),"-")</f>
        <v>100001</v>
      </c>
      <c r="Q61" s="81">
        <v>7000000</v>
      </c>
      <c r="R61" s="82" t="s">
        <v>466</v>
      </c>
      <c r="S61" s="11">
        <f>IFERROR(VLOOKUP(R$8&amp;R61,[1]_enum!$A:$D,4,FALSE),"-")</f>
        <v>2</v>
      </c>
      <c r="T61" s="110" t="s">
        <v>625</v>
      </c>
      <c r="U61" s="115">
        <f>IFERROR(IF(S61=0,INDEX([1]ShipSlot!$A:$A,MATCH(T61,[1]ShipSlot!$C:$C,0)),IF(S61=1,INDEX([1]CEquip!$A:$A,MATCH(T61,[1]CEquip!$B:$B,0)), INDEX([1]Item!$A:$A,MATCH(T61,[1]Item!$B:$B,0)))), "-")</f>
        <v>23550021</v>
      </c>
      <c r="V61" s="94">
        <v>10</v>
      </c>
      <c r="W61" s="82" t="s">
        <v>466</v>
      </c>
      <c r="X61" s="11">
        <f>IFERROR(VLOOKUP(W$8&amp;W61,[1]_enum!$A:$D,4,FALSE),"-")</f>
        <v>2</v>
      </c>
      <c r="Y61" s="110" t="s">
        <v>482</v>
      </c>
      <c r="Z61" s="115">
        <f>IFERROR(IF(X61=0,INDEX([1]ShipSlot!$A:$A,MATCH(Y61,[1]ShipSlot!$C:$C,0)),IF(X61=1,INDEX([1]CEquip!$A:$A,MATCH(Y61,[1]CEquip!$B:$B,0)), INDEX([1]Item!$A:$A,MATCH(Y61,[1]Item!$B:$B,0)))), "-")</f>
        <v>23550022</v>
      </c>
      <c r="AA61" s="94">
        <v>50</v>
      </c>
      <c r="AB61" s="82" t="s">
        <v>466</v>
      </c>
      <c r="AC61" s="11">
        <f>IFERROR(VLOOKUP(AB$8&amp;AB61,[1]_enum!$A:$D,4,FALSE),"-")</f>
        <v>2</v>
      </c>
      <c r="AD61" s="110" t="s">
        <v>483</v>
      </c>
      <c r="AE61" s="115">
        <f>IFERROR(IF(AC61=0,INDEX([1]ShipSlot!$A:$A,MATCH(AD61,[1]ShipSlot!$C:$C,0)),IF(AC61=1,INDEX([1]CEquip!$A:$A,MATCH(AD61,[1]CEquip!$B:$B,0)), INDEX([1]Item!$A:$A,MATCH(AD61,[1]Item!$B:$B,0)))), "-")</f>
        <v>23550023</v>
      </c>
      <c r="AF61" s="94">
        <v>50</v>
      </c>
      <c r="AG61" s="82" t="s">
        <v>466</v>
      </c>
      <c r="AH61" s="11">
        <f>IFERROR(VLOOKUP(AG$8&amp;AG61,[1]_enum!$A:$D,4,FALSE),"-")</f>
        <v>2</v>
      </c>
      <c r="AI61" s="110" t="s">
        <v>484</v>
      </c>
      <c r="AJ61" s="115">
        <f>IFERROR(IF(AH61=0,INDEX([1]ShipSlot!$A:$A,MATCH(AI61,[1]ShipSlot!$C:$C,0)),IF(AH61=1,INDEX([1]CEquip!$A:$A,MATCH(AI61,[1]CEquip!$B:$B,0)), INDEX([1]Item!$A:$A,MATCH(AI61,[1]Item!$B:$B,0)))), "-")</f>
        <v>23550024</v>
      </c>
      <c r="AK61" s="94">
        <v>50</v>
      </c>
    </row>
    <row r="62" spans="1:37" x14ac:dyDescent="0.2">
      <c r="A62" s="119">
        <v>2053</v>
      </c>
      <c r="B62" s="82" t="s">
        <v>464</v>
      </c>
      <c r="C62" s="11">
        <f>IFERROR(VLOOKUP(B$8&amp;B62,[1]_enum!$A:$D,4,FALSE),"-")</f>
        <v>0</v>
      </c>
      <c r="D62" s="83" t="s">
        <v>657</v>
      </c>
      <c r="E62" s="115">
        <f>IFERROR(IF(C62=0,INDEX([1]ShipSlot!$A:$A,MATCH(D62,[1]ShipSlot!$C:$C,0)),IF(C62=1,INDEX([1]CEquip!$A:$A,MATCH(D62,[1]CEquip!$B:$B,0)), INDEX([1]Item!$A:$A,MATCH(D62,[1]Item!$B:$B,0)))), "-")</f>
        <v>70101409</v>
      </c>
      <c r="F62" s="82" t="s">
        <v>663</v>
      </c>
      <c r="G62" s="82" t="s">
        <v>662</v>
      </c>
      <c r="H62" s="81">
        <v>86400</v>
      </c>
      <c r="I62" s="81">
        <v>8</v>
      </c>
      <c r="J62" s="82" t="s">
        <v>593</v>
      </c>
      <c r="K62" s="81">
        <f>IFERROR(VLOOKUP(J$8&amp;J62,[1]_enum!$A:$D,4,FALSE),"-")</f>
        <v>0</v>
      </c>
      <c r="L62" s="81">
        <v>100</v>
      </c>
      <c r="M62" s="81">
        <v>500</v>
      </c>
      <c r="N62" s="81">
        <v>1111111</v>
      </c>
      <c r="O62" s="83" t="s">
        <v>450</v>
      </c>
      <c r="P62" s="84">
        <f>IFERROR(INDEX([1]Point!$A:$A,MATCH(O62,[1]Point!$B:$B,0),1),"-")</f>
        <v>100001</v>
      </c>
      <c r="Q62" s="81">
        <v>7000000</v>
      </c>
      <c r="R62" s="82" t="s">
        <v>466</v>
      </c>
      <c r="S62" s="11">
        <f>IFERROR(VLOOKUP(R$8&amp;R62,[1]_enum!$A:$D,4,FALSE),"-")</f>
        <v>2</v>
      </c>
      <c r="T62" s="110" t="s">
        <v>625</v>
      </c>
      <c r="U62" s="115">
        <f>IFERROR(IF(S62=0,INDEX([1]ShipSlot!$A:$A,MATCH(T62,[1]ShipSlot!$C:$C,0)),IF(S62=1,INDEX([1]CEquip!$A:$A,MATCH(T62,[1]CEquip!$B:$B,0)), INDEX([1]Item!$A:$A,MATCH(T62,[1]Item!$B:$B,0)))), "-")</f>
        <v>23550021</v>
      </c>
      <c r="V62" s="94">
        <v>10</v>
      </c>
      <c r="W62" s="82" t="s">
        <v>466</v>
      </c>
      <c r="X62" s="11">
        <f>IFERROR(VLOOKUP(W$8&amp;W62,[1]_enum!$A:$D,4,FALSE),"-")</f>
        <v>2</v>
      </c>
      <c r="Y62" s="110" t="s">
        <v>482</v>
      </c>
      <c r="Z62" s="115">
        <f>IFERROR(IF(X62=0,INDEX([1]ShipSlot!$A:$A,MATCH(Y62,[1]ShipSlot!$C:$C,0)),IF(X62=1,INDEX([1]CEquip!$A:$A,MATCH(Y62,[1]CEquip!$B:$B,0)), INDEX([1]Item!$A:$A,MATCH(Y62,[1]Item!$B:$B,0)))), "-")</f>
        <v>23550022</v>
      </c>
      <c r="AA62" s="94">
        <v>50</v>
      </c>
      <c r="AB62" s="82" t="s">
        <v>466</v>
      </c>
      <c r="AC62" s="11">
        <f>IFERROR(VLOOKUP(AB$8&amp;AB62,[1]_enum!$A:$D,4,FALSE),"-")</f>
        <v>2</v>
      </c>
      <c r="AD62" s="110" t="s">
        <v>483</v>
      </c>
      <c r="AE62" s="115">
        <f>IFERROR(IF(AC62=0,INDEX([1]ShipSlot!$A:$A,MATCH(AD62,[1]ShipSlot!$C:$C,0)),IF(AC62=1,INDEX([1]CEquip!$A:$A,MATCH(AD62,[1]CEquip!$B:$B,0)), INDEX([1]Item!$A:$A,MATCH(AD62,[1]Item!$B:$B,0)))), "-")</f>
        <v>23550023</v>
      </c>
      <c r="AF62" s="94">
        <v>50</v>
      </c>
      <c r="AG62" s="82" t="s">
        <v>466</v>
      </c>
      <c r="AH62" s="11">
        <f>IFERROR(VLOOKUP(AG$8&amp;AG62,[1]_enum!$A:$D,4,FALSE),"-")</f>
        <v>2</v>
      </c>
      <c r="AI62" s="110" t="s">
        <v>484</v>
      </c>
      <c r="AJ62" s="115">
        <f>IFERROR(IF(AH62=0,INDEX([1]ShipSlot!$A:$A,MATCH(AI62,[1]ShipSlot!$C:$C,0)),IF(AH62=1,INDEX([1]CEquip!$A:$A,MATCH(AI62,[1]CEquip!$B:$B,0)), INDEX([1]Item!$A:$A,MATCH(AI62,[1]Item!$B:$B,0)))), "-")</f>
        <v>23550024</v>
      </c>
      <c r="AK62" s="94">
        <v>50</v>
      </c>
    </row>
    <row r="63" spans="1:37" x14ac:dyDescent="0.2">
      <c r="A63" s="119">
        <v>2054</v>
      </c>
      <c r="B63" s="82" t="s">
        <v>464</v>
      </c>
      <c r="C63" s="11">
        <f>IFERROR(VLOOKUP(B$8&amp;B63,[1]_enum!$A:$D,4,FALSE),"-")</f>
        <v>0</v>
      </c>
      <c r="D63" s="89" t="s">
        <v>658</v>
      </c>
      <c r="E63" s="115">
        <f>IFERROR(IF(C63=0,INDEX([1]ShipSlot!$A:$A,MATCH(D63,[1]ShipSlot!$C:$C,0)),IF(C63=1,INDEX([1]CEquip!$A:$A,MATCH(D63,[1]CEquip!$B:$B,0)), INDEX([1]Item!$A:$A,MATCH(D63,[1]Item!$B:$B,0)))), "-")</f>
        <v>70101410</v>
      </c>
      <c r="F63" s="82" t="s">
        <v>663</v>
      </c>
      <c r="G63" s="82" t="s">
        <v>662</v>
      </c>
      <c r="H63" s="81">
        <v>86400</v>
      </c>
      <c r="I63" s="81">
        <v>8</v>
      </c>
      <c r="J63" s="82" t="s">
        <v>593</v>
      </c>
      <c r="K63" s="81">
        <f>IFERROR(VLOOKUP(J$8&amp;J63,[1]_enum!$A:$D,4,FALSE),"-")</f>
        <v>0</v>
      </c>
      <c r="L63" s="81">
        <v>100</v>
      </c>
      <c r="M63" s="81">
        <v>500</v>
      </c>
      <c r="N63" s="81">
        <v>1111111</v>
      </c>
      <c r="O63" s="83" t="s">
        <v>450</v>
      </c>
      <c r="P63" s="84">
        <f>IFERROR(INDEX([1]Point!$A:$A,MATCH(O63,[1]Point!$B:$B,0),1),"-")</f>
        <v>100001</v>
      </c>
      <c r="Q63" s="81">
        <v>7000000</v>
      </c>
      <c r="R63" s="82" t="s">
        <v>466</v>
      </c>
      <c r="S63" s="11">
        <f>IFERROR(VLOOKUP(R$8&amp;R63,[1]_enum!$A:$D,4,FALSE),"-")</f>
        <v>2</v>
      </c>
      <c r="T63" s="110" t="s">
        <v>625</v>
      </c>
      <c r="U63" s="115">
        <f>IFERROR(IF(S63=0,INDEX([1]ShipSlot!$A:$A,MATCH(T63,[1]ShipSlot!$C:$C,0)),IF(S63=1,INDEX([1]CEquip!$A:$A,MATCH(T63,[1]CEquip!$B:$B,0)), INDEX([1]Item!$A:$A,MATCH(T63,[1]Item!$B:$B,0)))), "-")</f>
        <v>23550021</v>
      </c>
      <c r="V63" s="94">
        <v>10</v>
      </c>
      <c r="W63" s="82" t="s">
        <v>466</v>
      </c>
      <c r="X63" s="11">
        <f>IFERROR(VLOOKUP(W$8&amp;W63,[1]_enum!$A:$D,4,FALSE),"-")</f>
        <v>2</v>
      </c>
      <c r="Y63" s="110" t="s">
        <v>482</v>
      </c>
      <c r="Z63" s="115">
        <f>IFERROR(IF(X63=0,INDEX([1]ShipSlot!$A:$A,MATCH(Y63,[1]ShipSlot!$C:$C,0)),IF(X63=1,INDEX([1]CEquip!$A:$A,MATCH(Y63,[1]CEquip!$B:$B,0)), INDEX([1]Item!$A:$A,MATCH(Y63,[1]Item!$B:$B,0)))), "-")</f>
        <v>23550022</v>
      </c>
      <c r="AA63" s="94">
        <v>50</v>
      </c>
      <c r="AB63" s="82" t="s">
        <v>466</v>
      </c>
      <c r="AC63" s="11">
        <f>IFERROR(VLOOKUP(AB$8&amp;AB63,[1]_enum!$A:$D,4,FALSE),"-")</f>
        <v>2</v>
      </c>
      <c r="AD63" s="110" t="s">
        <v>483</v>
      </c>
      <c r="AE63" s="115">
        <f>IFERROR(IF(AC63=0,INDEX([1]ShipSlot!$A:$A,MATCH(AD63,[1]ShipSlot!$C:$C,0)),IF(AC63=1,INDEX([1]CEquip!$A:$A,MATCH(AD63,[1]CEquip!$B:$B,0)), INDEX([1]Item!$A:$A,MATCH(AD63,[1]Item!$B:$B,0)))), "-")</f>
        <v>23550023</v>
      </c>
      <c r="AF63" s="94">
        <v>50</v>
      </c>
      <c r="AG63" s="82" t="s">
        <v>466</v>
      </c>
      <c r="AH63" s="11">
        <f>IFERROR(VLOOKUP(AG$8&amp;AG63,[1]_enum!$A:$D,4,FALSE),"-")</f>
        <v>2</v>
      </c>
      <c r="AI63" s="110" t="s">
        <v>484</v>
      </c>
      <c r="AJ63" s="115">
        <f>IFERROR(IF(AH63=0,INDEX([1]ShipSlot!$A:$A,MATCH(AI63,[1]ShipSlot!$C:$C,0)),IF(AH63=1,INDEX([1]CEquip!$A:$A,MATCH(AI63,[1]CEquip!$B:$B,0)), INDEX([1]Item!$A:$A,MATCH(AI63,[1]Item!$B:$B,0)))), "-")</f>
        <v>23550024</v>
      </c>
      <c r="AK63" s="94">
        <v>50</v>
      </c>
    </row>
    <row r="64" spans="1:37" x14ac:dyDescent="0.2">
      <c r="A64" s="119">
        <v>2055</v>
      </c>
      <c r="B64" s="82" t="s">
        <v>464</v>
      </c>
      <c r="C64" s="11">
        <f>IFERROR(VLOOKUP(B$8&amp;B64,[1]_enum!$A:$D,4,FALSE),"-")</f>
        <v>0</v>
      </c>
      <c r="D64" s="110" t="s">
        <v>659</v>
      </c>
      <c r="E64" s="115">
        <f>IFERROR(IF(C64=0,INDEX([1]ShipSlot!$A:$A,MATCH(D64,[1]ShipSlot!$C:$C,0)),IF(C64=1,INDEX([1]CEquip!$A:$A,MATCH(D64,[1]CEquip!$B:$B,0)), INDEX([1]Item!$A:$A,MATCH(D64,[1]Item!$B:$B,0)))), "-")</f>
        <v>70101411</v>
      </c>
      <c r="F64" s="82" t="s">
        <v>663</v>
      </c>
      <c r="G64" s="82" t="s">
        <v>662</v>
      </c>
      <c r="H64" s="81">
        <v>86400</v>
      </c>
      <c r="I64" s="81">
        <v>8</v>
      </c>
      <c r="J64" s="82" t="s">
        <v>593</v>
      </c>
      <c r="K64" s="81">
        <f>IFERROR(VLOOKUP(J$8&amp;J64,[1]_enum!$A:$D,4,FALSE),"-")</f>
        <v>0</v>
      </c>
      <c r="L64" s="81">
        <v>100</v>
      </c>
      <c r="M64" s="81">
        <v>500</v>
      </c>
      <c r="N64" s="81">
        <v>1111111</v>
      </c>
      <c r="O64" s="83" t="s">
        <v>450</v>
      </c>
      <c r="P64" s="84">
        <f>IFERROR(INDEX([1]Point!$A:$A,MATCH(O64,[1]Point!$B:$B,0),1),"-")</f>
        <v>100001</v>
      </c>
      <c r="Q64" s="81">
        <v>7000000</v>
      </c>
      <c r="R64" s="82" t="s">
        <v>466</v>
      </c>
      <c r="S64" s="11">
        <f>IFERROR(VLOOKUP(R$8&amp;R64,[1]_enum!$A:$D,4,FALSE),"-")</f>
        <v>2</v>
      </c>
      <c r="T64" s="110" t="s">
        <v>625</v>
      </c>
      <c r="U64" s="115">
        <f>IFERROR(IF(S64=0,INDEX([1]ShipSlot!$A:$A,MATCH(T64,[1]ShipSlot!$C:$C,0)),IF(S64=1,INDEX([1]CEquip!$A:$A,MATCH(T64,[1]CEquip!$B:$B,0)), INDEX([1]Item!$A:$A,MATCH(T64,[1]Item!$B:$B,0)))), "-")</f>
        <v>23550021</v>
      </c>
      <c r="V64" s="94">
        <v>10</v>
      </c>
      <c r="W64" s="82" t="s">
        <v>466</v>
      </c>
      <c r="X64" s="11">
        <f>IFERROR(VLOOKUP(W$8&amp;W64,[1]_enum!$A:$D,4,FALSE),"-")</f>
        <v>2</v>
      </c>
      <c r="Y64" s="110" t="s">
        <v>482</v>
      </c>
      <c r="Z64" s="115">
        <f>IFERROR(IF(X64=0,INDEX([1]ShipSlot!$A:$A,MATCH(Y64,[1]ShipSlot!$C:$C,0)),IF(X64=1,INDEX([1]CEquip!$A:$A,MATCH(Y64,[1]CEquip!$B:$B,0)), INDEX([1]Item!$A:$A,MATCH(Y64,[1]Item!$B:$B,0)))), "-")</f>
        <v>23550022</v>
      </c>
      <c r="AA64" s="94">
        <v>50</v>
      </c>
      <c r="AB64" s="82" t="s">
        <v>466</v>
      </c>
      <c r="AC64" s="11">
        <f>IFERROR(VLOOKUP(AB$8&amp;AB64,[1]_enum!$A:$D,4,FALSE),"-")</f>
        <v>2</v>
      </c>
      <c r="AD64" s="110" t="s">
        <v>483</v>
      </c>
      <c r="AE64" s="115">
        <f>IFERROR(IF(AC64=0,INDEX([1]ShipSlot!$A:$A,MATCH(AD64,[1]ShipSlot!$C:$C,0)),IF(AC64=1,INDEX([1]CEquip!$A:$A,MATCH(AD64,[1]CEquip!$B:$B,0)), INDEX([1]Item!$A:$A,MATCH(AD64,[1]Item!$B:$B,0)))), "-")</f>
        <v>23550023</v>
      </c>
      <c r="AF64" s="94">
        <v>50</v>
      </c>
      <c r="AG64" s="82" t="s">
        <v>466</v>
      </c>
      <c r="AH64" s="11">
        <f>IFERROR(VLOOKUP(AG$8&amp;AG64,[1]_enum!$A:$D,4,FALSE),"-")</f>
        <v>2</v>
      </c>
      <c r="AI64" s="110" t="s">
        <v>484</v>
      </c>
      <c r="AJ64" s="115">
        <f>IFERROR(IF(AH64=0,INDEX([1]ShipSlot!$A:$A,MATCH(AI64,[1]ShipSlot!$C:$C,0)),IF(AH64=1,INDEX([1]CEquip!$A:$A,MATCH(AI64,[1]CEquip!$B:$B,0)), INDEX([1]Item!$A:$A,MATCH(AI64,[1]Item!$B:$B,0)))), "-")</f>
        <v>23550024</v>
      </c>
      <c r="AK64" s="94">
        <v>50</v>
      </c>
    </row>
    <row r="65" spans="1:37" x14ac:dyDescent="0.2">
      <c r="A65" s="116">
        <v>2500</v>
      </c>
      <c r="B65" s="82" t="s">
        <v>465</v>
      </c>
      <c r="C65" s="11">
        <f>IFERROR(VLOOKUP(B$8&amp;B65,[1]_enum!$A:$D,4,FALSE),"-")</f>
        <v>1</v>
      </c>
      <c r="D65" s="89" t="s">
        <v>534</v>
      </c>
      <c r="E65" s="115">
        <f>IFERROR(IF(C65=0,INDEX([1]ShipSlot!$A:$A,MATCH(D65,[1]ShipSlot!$C:$C,0)),IF(C65=1,INDEX([1]CEquip!$A:$A,MATCH(D65,[1]CEquip!$B:$B,0)), INDEX([1]Item!$A:$A,MATCH(D65,[1]Item!$B:$B,0)))), "-")</f>
        <v>22172013</v>
      </c>
      <c r="F65" s="82" t="s">
        <v>537</v>
      </c>
      <c r="G65" s="82" t="s">
        <v>495</v>
      </c>
      <c r="H65" s="81">
        <v>1800</v>
      </c>
      <c r="I65" s="81">
        <v>1</v>
      </c>
      <c r="J65" s="82" t="s">
        <v>593</v>
      </c>
      <c r="K65" s="81">
        <f>IFERROR(VLOOKUP(J$8&amp;J65,[1]_enum!$A:$D,4,FALSE),"-")</f>
        <v>0</v>
      </c>
      <c r="L65" s="81">
        <v>100</v>
      </c>
      <c r="M65" s="81">
        <v>100</v>
      </c>
      <c r="N65" s="81">
        <v>1111111</v>
      </c>
      <c r="O65" s="83" t="s">
        <v>450</v>
      </c>
      <c r="P65" s="84">
        <f>IFERROR(INDEX([1]Point!$A:$A,MATCH(O65,[1]Point!$B:$B,0),1),"-")</f>
        <v>100001</v>
      </c>
      <c r="Q65" s="81">
        <v>20000</v>
      </c>
      <c r="R65" s="82" t="s">
        <v>466</v>
      </c>
      <c r="S65" s="11">
        <f>IFERROR(VLOOKUP(R$8&amp;R65,[1]_enum!$A:$D,4,FALSE),"-")</f>
        <v>2</v>
      </c>
      <c r="T65" s="110" t="s">
        <v>626</v>
      </c>
      <c r="U65" s="115">
        <f>IFERROR(IF(S65=0,INDEX([1]ShipSlot!$A:$A,MATCH(T65,[1]ShipSlot!$C:$C,0)),IF(S65=1,INDEX([1]CEquip!$A:$A,MATCH(T65,[1]CEquip!$B:$B,0)), INDEX([1]Item!$A:$A,MATCH(T65,[1]Item!$B:$B,0)))), "-")</f>
        <v>23550001</v>
      </c>
      <c r="V65" s="94">
        <v>10</v>
      </c>
      <c r="W65" s="82" t="s">
        <v>466</v>
      </c>
      <c r="X65" s="11">
        <f>IFERROR(VLOOKUP(W$8&amp;W65,[1]_enum!$A:$D,4,FALSE),"-")</f>
        <v>2</v>
      </c>
      <c r="Y65" s="110" t="s">
        <v>485</v>
      </c>
      <c r="Z65" s="115">
        <f>IFERROR(IF(X65=0,INDEX([1]ShipSlot!$A:$A,MATCH(Y65,[1]ShipSlot!$C:$C,0)),IF(X65=1,INDEX([1]CEquip!$A:$A,MATCH(Y65,[1]CEquip!$B:$B,0)), INDEX([1]Item!$A:$A,MATCH(Y65,[1]Item!$B:$B,0)))), "-")</f>
        <v>23550002</v>
      </c>
      <c r="AA65" s="94">
        <v>100</v>
      </c>
      <c r="AB65" s="82"/>
      <c r="AC65" s="11" t="str">
        <f>IFERROR(VLOOKUP(AB$8&amp;AB65,[1]_enum!$A:$D,4,FALSE),"-")</f>
        <v>-</v>
      </c>
      <c r="AD65" s="110"/>
      <c r="AE65" s="115" t="str">
        <f>IFERROR(IF(AC65=0,INDEX([1]ShipSlot!$A:$A,MATCH(AD65,[1]ShipSlot!$C:$C,0)),IF(AC65=1,INDEX([1]CEquip!$A:$A,MATCH(AD65,[1]CEquip!$B:$B,0)), INDEX([1]Item!$A:$A,MATCH(AD65,[1]Item!$B:$B,0)))), "-")</f>
        <v>-</v>
      </c>
      <c r="AF65" s="94" t="s">
        <v>18</v>
      </c>
      <c r="AG65" s="82"/>
      <c r="AH65" s="11" t="str">
        <f>IFERROR(VLOOKUP(AG$8&amp;AG65,[1]_enum!$A:$D,4,FALSE),"-")</f>
        <v>-</v>
      </c>
      <c r="AI65" s="110"/>
      <c r="AJ65" s="115" t="str">
        <f>IFERROR(IF(AH65=0,INDEX([1]ShipSlot!$A:$A,MATCH(AI65,[1]ShipSlot!$C:$C,0)),IF(AH65=1,INDEX([1]CEquip!$A:$A,MATCH(AI65,[1]CEquip!$B:$B,0)), INDEX([1]Item!$A:$A,MATCH(AI65,[1]Item!$B:$B,0)))), "-")</f>
        <v>-</v>
      </c>
      <c r="AK65" s="94" t="s">
        <v>18</v>
      </c>
    </row>
    <row r="66" spans="1:37" x14ac:dyDescent="0.2">
      <c r="A66" s="116">
        <v>2501</v>
      </c>
      <c r="B66" s="82" t="s">
        <v>465</v>
      </c>
      <c r="C66" s="11">
        <f>IFERROR(VLOOKUP(B$8&amp;B66,[1]_enum!$A:$D,4,FALSE),"-")</f>
        <v>1</v>
      </c>
      <c r="D66" s="89" t="s">
        <v>535</v>
      </c>
      <c r="E66" s="115">
        <f>IFERROR(IF(C66=0,INDEX([1]ShipSlot!$A:$A,MATCH(D66,[1]ShipSlot!$C:$C,0)),IF(C66=1,INDEX([1]CEquip!$A:$A,MATCH(D66,[1]CEquip!$B:$B,0)), INDEX([1]Item!$A:$A,MATCH(D66,[1]Item!$B:$B,0)))), "-")</f>
        <v>22272005</v>
      </c>
      <c r="F66" s="82" t="s">
        <v>538</v>
      </c>
      <c r="G66" s="82" t="s">
        <v>495</v>
      </c>
      <c r="H66" s="81">
        <v>1800</v>
      </c>
      <c r="I66" s="81">
        <v>1</v>
      </c>
      <c r="J66" s="82" t="s">
        <v>593</v>
      </c>
      <c r="K66" s="81">
        <f>IFERROR(VLOOKUP(J$8&amp;J66,[1]_enum!$A:$D,4,FALSE),"-")</f>
        <v>0</v>
      </c>
      <c r="L66" s="81">
        <v>100</v>
      </c>
      <c r="M66" s="81">
        <v>100</v>
      </c>
      <c r="N66" s="81">
        <v>1111111</v>
      </c>
      <c r="O66" s="83" t="s">
        <v>450</v>
      </c>
      <c r="P66" s="84">
        <f>IFERROR(INDEX([1]Point!$A:$A,MATCH(O66,[1]Point!$B:$B,0),1),"-")</f>
        <v>100001</v>
      </c>
      <c r="Q66" s="81">
        <v>20000</v>
      </c>
      <c r="R66" s="82" t="s">
        <v>466</v>
      </c>
      <c r="S66" s="11">
        <f>IFERROR(VLOOKUP(R$8&amp;R66,[1]_enum!$A:$D,4,FALSE),"-")</f>
        <v>2</v>
      </c>
      <c r="T66" s="89" t="s">
        <v>626</v>
      </c>
      <c r="U66" s="115">
        <f>IFERROR(IF(S66=0,INDEX([1]ShipSlot!$A:$A,MATCH(T66,[1]ShipSlot!$C:$C,0)),IF(S66=1,INDEX([1]CEquip!$A:$A,MATCH(T66,[1]CEquip!$B:$B,0)), INDEX([1]Item!$A:$A,MATCH(T66,[1]Item!$B:$B,0)))), "-")</f>
        <v>23550001</v>
      </c>
      <c r="V66" s="94">
        <v>10</v>
      </c>
      <c r="W66" s="82" t="s">
        <v>466</v>
      </c>
      <c r="X66" s="11">
        <f>IFERROR(VLOOKUP(W$8&amp;W66,[1]_enum!$A:$D,4,FALSE),"-")</f>
        <v>2</v>
      </c>
      <c r="Y66" s="110" t="s">
        <v>486</v>
      </c>
      <c r="Z66" s="115">
        <f>IFERROR(IF(X66=0,INDEX([1]ShipSlot!$A:$A,MATCH(Y66,[1]ShipSlot!$C:$C,0)),IF(X66=1,INDEX([1]CEquip!$A:$A,MATCH(Y66,[1]CEquip!$B:$B,0)), INDEX([1]Item!$A:$A,MATCH(Y66,[1]Item!$B:$B,0)))), "-")</f>
        <v>23550003</v>
      </c>
      <c r="AA66" s="94">
        <v>100</v>
      </c>
      <c r="AB66" s="82"/>
      <c r="AC66" s="11" t="str">
        <f>IFERROR(VLOOKUP(AB$8&amp;AB66,[1]_enum!$A:$D,4,FALSE),"-")</f>
        <v>-</v>
      </c>
      <c r="AD66" s="110"/>
      <c r="AE66" s="115" t="str">
        <f>IFERROR(IF(AC66=0,INDEX([1]ShipSlot!$A:$A,MATCH(AD66,[1]ShipSlot!$C:$C,0)),IF(AC66=1,INDEX([1]CEquip!$A:$A,MATCH(AD66,[1]CEquip!$B:$B,0)), INDEX([1]Item!$A:$A,MATCH(AD66,[1]Item!$B:$B,0)))), "-")</f>
        <v>-</v>
      </c>
      <c r="AF66" s="94" t="s">
        <v>18</v>
      </c>
      <c r="AG66" s="82"/>
      <c r="AH66" s="11" t="str">
        <f>IFERROR(VLOOKUP(AG$8&amp;AG66,[1]_enum!$A:$D,4,FALSE),"-")</f>
        <v>-</v>
      </c>
      <c r="AI66" s="110"/>
      <c r="AJ66" s="115" t="str">
        <f>IFERROR(IF(AH66=0,INDEX([1]ShipSlot!$A:$A,MATCH(AI66,[1]ShipSlot!$C:$C,0)),IF(AH66=1,INDEX([1]CEquip!$A:$A,MATCH(AI66,[1]CEquip!$B:$B,0)), INDEX([1]Item!$A:$A,MATCH(AI66,[1]Item!$B:$B,0)))), "-")</f>
        <v>-</v>
      </c>
      <c r="AK66" s="94" t="s">
        <v>18</v>
      </c>
    </row>
    <row r="67" spans="1:37" x14ac:dyDescent="0.2">
      <c r="A67" s="116">
        <v>2502</v>
      </c>
      <c r="B67" s="82" t="s">
        <v>465</v>
      </c>
      <c r="C67" s="11">
        <f>IFERROR(VLOOKUP(B$8&amp;B67,[1]_enum!$A:$D,4,FALSE),"-")</f>
        <v>1</v>
      </c>
      <c r="D67" s="83" t="s">
        <v>536</v>
      </c>
      <c r="E67" s="115">
        <f>IFERROR(IF(C67=0,INDEX([1]ShipSlot!$A:$A,MATCH(D67,[1]ShipSlot!$C:$C,0)),IF(C67=1,INDEX([1]CEquip!$A:$A,MATCH(D67,[1]CEquip!$B:$B,0)), INDEX([1]Item!$A:$A,MATCH(D67,[1]Item!$B:$B,0)))), "-")</f>
        <v>22372005</v>
      </c>
      <c r="F67" s="82" t="s">
        <v>539</v>
      </c>
      <c r="G67" s="82" t="s">
        <v>495</v>
      </c>
      <c r="H67" s="81">
        <v>1800</v>
      </c>
      <c r="I67" s="81">
        <v>1</v>
      </c>
      <c r="J67" s="82" t="s">
        <v>593</v>
      </c>
      <c r="K67" s="81">
        <f>IFERROR(VLOOKUP(J$8&amp;J67,[1]_enum!$A:$D,4,FALSE),"-")</f>
        <v>0</v>
      </c>
      <c r="L67" s="81">
        <v>100</v>
      </c>
      <c r="M67" s="81">
        <v>100</v>
      </c>
      <c r="N67" s="81">
        <v>1111111</v>
      </c>
      <c r="O67" s="83" t="s">
        <v>450</v>
      </c>
      <c r="P67" s="84">
        <f>IFERROR(INDEX([1]Point!$A:$A,MATCH(O67,[1]Point!$B:$B,0),1),"-")</f>
        <v>100001</v>
      </c>
      <c r="Q67" s="81">
        <v>20000</v>
      </c>
      <c r="R67" s="82" t="s">
        <v>466</v>
      </c>
      <c r="S67" s="11">
        <f>IFERROR(VLOOKUP(R$8&amp;R67,[1]_enum!$A:$D,4,FALSE),"-")</f>
        <v>2</v>
      </c>
      <c r="T67" s="89" t="s">
        <v>626</v>
      </c>
      <c r="U67" s="115">
        <f>IFERROR(IF(S67=0,INDEX([1]ShipSlot!$A:$A,MATCH(T67,[1]ShipSlot!$C:$C,0)),IF(S67=1,INDEX([1]CEquip!$A:$A,MATCH(T67,[1]CEquip!$B:$B,0)), INDEX([1]Item!$A:$A,MATCH(T67,[1]Item!$B:$B,0)))), "-")</f>
        <v>23550001</v>
      </c>
      <c r="V67" s="94">
        <v>10</v>
      </c>
      <c r="W67" s="82" t="s">
        <v>466</v>
      </c>
      <c r="X67" s="11">
        <f>IFERROR(VLOOKUP(W$8&amp;W67,[1]_enum!$A:$D,4,FALSE),"-")</f>
        <v>2</v>
      </c>
      <c r="Y67" s="110" t="s">
        <v>487</v>
      </c>
      <c r="Z67" s="115">
        <f>IFERROR(IF(X67=0,INDEX([1]ShipSlot!$A:$A,MATCH(Y67,[1]ShipSlot!$C:$C,0)),IF(X67=1,INDEX([1]CEquip!$A:$A,MATCH(Y67,[1]CEquip!$B:$B,0)), INDEX([1]Item!$A:$A,MATCH(Y67,[1]Item!$B:$B,0)))), "-")</f>
        <v>23550004</v>
      </c>
      <c r="AA67" s="94">
        <v>100</v>
      </c>
      <c r="AB67" s="82"/>
      <c r="AC67" s="11" t="str">
        <f>IFERROR(VLOOKUP(AB$8&amp;AB67,[1]_enum!$A:$D,4,FALSE),"-")</f>
        <v>-</v>
      </c>
      <c r="AD67" s="110"/>
      <c r="AE67" s="115" t="str">
        <f>IFERROR(IF(AC67=0,INDEX([1]ShipSlot!$A:$A,MATCH(AD67,[1]ShipSlot!$C:$C,0)),IF(AC67=1,INDEX([1]CEquip!$A:$A,MATCH(AD67,[1]CEquip!$B:$B,0)), INDEX([1]Item!$A:$A,MATCH(AD67,[1]Item!$B:$B,0)))), "-")</f>
        <v>-</v>
      </c>
      <c r="AF67" s="94" t="s">
        <v>18</v>
      </c>
      <c r="AG67" s="82"/>
      <c r="AH67" s="11" t="str">
        <f>IFERROR(VLOOKUP(AG$8&amp;AG67,[1]_enum!$A:$D,4,FALSE),"-")</f>
        <v>-</v>
      </c>
      <c r="AI67" s="110"/>
      <c r="AJ67" s="115" t="str">
        <f>IFERROR(IF(AH67=0,INDEX([1]ShipSlot!$A:$A,MATCH(AI67,[1]ShipSlot!$C:$C,0)),IF(AH67=1,INDEX([1]CEquip!$A:$A,MATCH(AI67,[1]CEquip!$B:$B,0)), INDEX([1]Item!$A:$A,MATCH(AI67,[1]Item!$B:$B,0)))), "-")</f>
        <v>-</v>
      </c>
      <c r="AK67" s="94" t="s">
        <v>18</v>
      </c>
    </row>
    <row r="68" spans="1:37" x14ac:dyDescent="0.2">
      <c r="A68" s="116">
        <v>2503</v>
      </c>
      <c r="B68" s="82" t="s">
        <v>465</v>
      </c>
      <c r="C68" s="11">
        <f>IFERROR(VLOOKUP(B$8&amp;B68,[1]_enum!$A:$D,4,FALSE),"-")</f>
        <v>1</v>
      </c>
      <c r="D68" s="83" t="s">
        <v>540</v>
      </c>
      <c r="E68" s="115">
        <f>IFERROR(IF(C68=0,INDEX([1]ShipSlot!$A:$A,MATCH(D68,[1]ShipSlot!$C:$C,0)),IF(C68=1,INDEX([1]CEquip!$A:$A,MATCH(D68,[1]CEquip!$B:$B,0)), INDEX([1]Item!$A:$A,MATCH(D68,[1]Item!$B:$B,0)))), "-")</f>
        <v>22173007</v>
      </c>
      <c r="F68" s="82" t="s">
        <v>537</v>
      </c>
      <c r="G68" s="82" t="s">
        <v>519</v>
      </c>
      <c r="H68" s="81">
        <v>21600</v>
      </c>
      <c r="I68" s="81">
        <v>4</v>
      </c>
      <c r="J68" s="82" t="s">
        <v>593</v>
      </c>
      <c r="K68" s="81">
        <f>IFERROR(VLOOKUP(J$8&amp;J68,[1]_enum!$A:$D,4,FALSE),"-")</f>
        <v>0</v>
      </c>
      <c r="L68" s="81">
        <v>100</v>
      </c>
      <c r="M68" s="81">
        <v>250</v>
      </c>
      <c r="N68" s="81">
        <v>1111111</v>
      </c>
      <c r="O68" s="83" t="s">
        <v>450</v>
      </c>
      <c r="P68" s="84">
        <f>IFERROR(INDEX([1]Point!$A:$A,MATCH(O68,[1]Point!$B:$B,0),1),"-")</f>
        <v>100001</v>
      </c>
      <c r="Q68" s="81">
        <v>600000</v>
      </c>
      <c r="R68" s="82" t="s">
        <v>466</v>
      </c>
      <c r="S68" s="11">
        <f>IFERROR(VLOOKUP(R$8&amp;R68,[1]_enum!$A:$D,4,FALSE),"-")</f>
        <v>2</v>
      </c>
      <c r="T68" s="89" t="s">
        <v>629</v>
      </c>
      <c r="U68" s="115">
        <f>IFERROR(IF(S68=0,INDEX([1]ShipSlot!$A:$A,MATCH(T68,[1]ShipSlot!$C:$C,0)),IF(S68=1,INDEX([1]CEquip!$A:$A,MATCH(T68,[1]CEquip!$B:$B,0)), INDEX([1]Item!$A:$A,MATCH(T68,[1]Item!$B:$B,0)))), "-")</f>
        <v>23550005</v>
      </c>
      <c r="V68" s="94">
        <v>10</v>
      </c>
      <c r="W68" s="82" t="s">
        <v>466</v>
      </c>
      <c r="X68" s="11">
        <f>IFERROR(VLOOKUP(W$8&amp;W68,[1]_enum!$A:$D,4,FALSE),"-")</f>
        <v>2</v>
      </c>
      <c r="Y68" s="110" t="s">
        <v>473</v>
      </c>
      <c r="Z68" s="115">
        <f>IFERROR(IF(X68=0,INDEX([1]ShipSlot!$A:$A,MATCH(Y68,[1]ShipSlot!$C:$C,0)),IF(X68=1,INDEX([1]CEquip!$A:$A,MATCH(Y68,[1]CEquip!$B:$B,0)), INDEX([1]Item!$A:$A,MATCH(Y68,[1]Item!$B:$B,0)))), "-")</f>
        <v>23550006</v>
      </c>
      <c r="AA68" s="94">
        <v>100</v>
      </c>
      <c r="AB68" s="82"/>
      <c r="AC68" s="11" t="str">
        <f>IFERROR(VLOOKUP(AB$8&amp;AB68,[1]_enum!$A:$D,4,FALSE),"-")</f>
        <v>-</v>
      </c>
      <c r="AD68" s="110"/>
      <c r="AE68" s="115" t="str">
        <f>IFERROR(IF(AC68=0,INDEX([1]ShipSlot!$A:$A,MATCH(AD68,[1]ShipSlot!$C:$C,0)),IF(AC68=1,INDEX([1]CEquip!$A:$A,MATCH(AD68,[1]CEquip!$B:$B,0)), INDEX([1]Item!$A:$A,MATCH(AD68,[1]Item!$B:$B,0)))), "-")</f>
        <v>-</v>
      </c>
      <c r="AF68" s="94" t="s">
        <v>18</v>
      </c>
      <c r="AG68" s="82"/>
      <c r="AH68" s="11" t="str">
        <f>IFERROR(VLOOKUP(AG$8&amp;AG68,[1]_enum!$A:$D,4,FALSE),"-")</f>
        <v>-</v>
      </c>
      <c r="AI68" s="110"/>
      <c r="AJ68" s="115" t="str">
        <f>IFERROR(IF(AH68=0,INDEX([1]ShipSlot!$A:$A,MATCH(AI68,[1]ShipSlot!$C:$C,0)),IF(AH68=1,INDEX([1]CEquip!$A:$A,MATCH(AI68,[1]CEquip!$B:$B,0)), INDEX([1]Item!$A:$A,MATCH(AI68,[1]Item!$B:$B,0)))), "-")</f>
        <v>-</v>
      </c>
      <c r="AK68" s="94" t="s">
        <v>18</v>
      </c>
    </row>
    <row r="69" spans="1:37" x14ac:dyDescent="0.2">
      <c r="A69" s="116">
        <v>2504</v>
      </c>
      <c r="B69" s="82" t="s">
        <v>465</v>
      </c>
      <c r="C69" s="11">
        <f>IFERROR(VLOOKUP(B$8&amp;B69,[1]_enum!$A:$D,4,FALSE),"-")</f>
        <v>1</v>
      </c>
      <c r="D69" s="83" t="s">
        <v>541</v>
      </c>
      <c r="E69" s="115">
        <f>IFERROR(IF(C69=0,INDEX([1]ShipSlot!$A:$A,MATCH(D69,[1]ShipSlot!$C:$C,0)),IF(C69=1,INDEX([1]CEquip!$A:$A,MATCH(D69,[1]CEquip!$B:$B,0)), INDEX([1]Item!$A:$A,MATCH(D69,[1]Item!$B:$B,0)))), "-")</f>
        <v>22173008</v>
      </c>
      <c r="F69" s="82" t="s">
        <v>537</v>
      </c>
      <c r="G69" s="82" t="s">
        <v>519</v>
      </c>
      <c r="H69" s="81">
        <v>21600</v>
      </c>
      <c r="I69" s="81">
        <v>4</v>
      </c>
      <c r="J69" s="82" t="s">
        <v>593</v>
      </c>
      <c r="K69" s="81">
        <f>IFERROR(VLOOKUP(J$8&amp;J69,[1]_enum!$A:$D,4,FALSE),"-")</f>
        <v>0</v>
      </c>
      <c r="L69" s="81">
        <v>100</v>
      </c>
      <c r="M69" s="81">
        <v>250</v>
      </c>
      <c r="N69" s="81">
        <v>1111111</v>
      </c>
      <c r="O69" s="83" t="s">
        <v>450</v>
      </c>
      <c r="P69" s="84">
        <f>IFERROR(INDEX([1]Point!$A:$A,MATCH(O69,[1]Point!$B:$B,0),1),"-")</f>
        <v>100001</v>
      </c>
      <c r="Q69" s="81">
        <v>600000</v>
      </c>
      <c r="R69" s="82" t="s">
        <v>466</v>
      </c>
      <c r="S69" s="11">
        <f>IFERROR(VLOOKUP(R$8&amp;R69,[1]_enum!$A:$D,4,FALSE),"-")</f>
        <v>2</v>
      </c>
      <c r="T69" s="89" t="s">
        <v>629</v>
      </c>
      <c r="U69" s="115">
        <f>IFERROR(IF(S69=0,INDEX([1]ShipSlot!$A:$A,MATCH(T69,[1]ShipSlot!$C:$C,0)),IF(S69=1,INDEX([1]CEquip!$A:$A,MATCH(T69,[1]CEquip!$B:$B,0)), INDEX([1]Item!$A:$A,MATCH(T69,[1]Item!$B:$B,0)))), "-")</f>
        <v>23550005</v>
      </c>
      <c r="V69" s="94">
        <v>10</v>
      </c>
      <c r="W69" s="82" t="s">
        <v>466</v>
      </c>
      <c r="X69" s="11">
        <f>IFERROR(VLOOKUP(W$8&amp;W69,[1]_enum!$A:$D,4,FALSE),"-")</f>
        <v>2</v>
      </c>
      <c r="Y69" s="110" t="s">
        <v>473</v>
      </c>
      <c r="Z69" s="115">
        <f>IFERROR(IF(X69=0,INDEX([1]ShipSlot!$A:$A,MATCH(Y69,[1]ShipSlot!$C:$C,0)),IF(X69=1,INDEX([1]CEquip!$A:$A,MATCH(Y69,[1]CEquip!$B:$B,0)), INDEX([1]Item!$A:$A,MATCH(Y69,[1]Item!$B:$B,0)))), "-")</f>
        <v>23550006</v>
      </c>
      <c r="AA69" s="94">
        <v>100</v>
      </c>
      <c r="AB69" s="82"/>
      <c r="AC69" s="11" t="str">
        <f>IFERROR(VLOOKUP(AB$8&amp;AB69,[1]_enum!$A:$D,4,FALSE),"-")</f>
        <v>-</v>
      </c>
      <c r="AD69" s="110"/>
      <c r="AE69" s="115" t="str">
        <f>IFERROR(IF(AC69=0,INDEX([1]ShipSlot!$A:$A,MATCH(AD69,[1]ShipSlot!$C:$C,0)),IF(AC69=1,INDEX([1]CEquip!$A:$A,MATCH(AD69,[1]CEquip!$B:$B,0)), INDEX([1]Item!$A:$A,MATCH(AD69,[1]Item!$B:$B,0)))), "-")</f>
        <v>-</v>
      </c>
      <c r="AF69" s="94" t="s">
        <v>18</v>
      </c>
      <c r="AG69" s="82"/>
      <c r="AH69" s="11" t="str">
        <f>IFERROR(VLOOKUP(AG$8&amp;AG69,[1]_enum!$A:$D,4,FALSE),"-")</f>
        <v>-</v>
      </c>
      <c r="AI69" s="110"/>
      <c r="AJ69" s="115" t="str">
        <f>IFERROR(IF(AH69=0,INDEX([1]ShipSlot!$A:$A,MATCH(AI69,[1]ShipSlot!$C:$C,0)),IF(AH69=1,INDEX([1]CEquip!$A:$A,MATCH(AI69,[1]CEquip!$B:$B,0)), INDEX([1]Item!$A:$A,MATCH(AI69,[1]Item!$B:$B,0)))), "-")</f>
        <v>-</v>
      </c>
      <c r="AK69" s="94" t="s">
        <v>18</v>
      </c>
    </row>
    <row r="70" spans="1:37" x14ac:dyDescent="0.2">
      <c r="A70" s="116">
        <v>2505</v>
      </c>
      <c r="B70" s="82" t="s">
        <v>465</v>
      </c>
      <c r="C70" s="11">
        <f>IFERROR(VLOOKUP(B$8&amp;B70,[1]_enum!$A:$D,4,FALSE),"-")</f>
        <v>1</v>
      </c>
      <c r="D70" s="83" t="s">
        <v>542</v>
      </c>
      <c r="E70" s="115">
        <f>IFERROR(IF(C70=0,INDEX([1]ShipSlot!$A:$A,MATCH(D70,[1]ShipSlot!$C:$C,0)),IF(C70=1,INDEX([1]CEquip!$A:$A,MATCH(D70,[1]CEquip!$B:$B,0)), INDEX([1]Item!$A:$A,MATCH(D70,[1]Item!$B:$B,0)))), "-")</f>
        <v>22173009</v>
      </c>
      <c r="F70" s="82" t="s">
        <v>537</v>
      </c>
      <c r="G70" s="82" t="s">
        <v>519</v>
      </c>
      <c r="H70" s="81">
        <v>21600</v>
      </c>
      <c r="I70" s="81">
        <v>4</v>
      </c>
      <c r="J70" s="82" t="s">
        <v>593</v>
      </c>
      <c r="K70" s="81">
        <f>IFERROR(VLOOKUP(J$8&amp;J70,[1]_enum!$A:$D,4,FALSE),"-")</f>
        <v>0</v>
      </c>
      <c r="L70" s="81">
        <v>100</v>
      </c>
      <c r="M70" s="81">
        <v>250</v>
      </c>
      <c r="N70" s="81">
        <v>1111111</v>
      </c>
      <c r="O70" s="83" t="s">
        <v>450</v>
      </c>
      <c r="P70" s="84">
        <f>IFERROR(INDEX([1]Point!$A:$A,MATCH(O70,[1]Point!$B:$B,0),1),"-")</f>
        <v>100001</v>
      </c>
      <c r="Q70" s="81">
        <v>600000</v>
      </c>
      <c r="R70" s="82" t="s">
        <v>466</v>
      </c>
      <c r="S70" s="11">
        <f>IFERROR(VLOOKUP(R$8&amp;R70,[1]_enum!$A:$D,4,FALSE),"-")</f>
        <v>2</v>
      </c>
      <c r="T70" s="89" t="s">
        <v>629</v>
      </c>
      <c r="U70" s="115">
        <f>IFERROR(IF(S70=0,INDEX([1]ShipSlot!$A:$A,MATCH(T70,[1]ShipSlot!$C:$C,0)),IF(S70=1,INDEX([1]CEquip!$A:$A,MATCH(T70,[1]CEquip!$B:$B,0)), INDEX([1]Item!$A:$A,MATCH(T70,[1]Item!$B:$B,0)))), "-")</f>
        <v>23550005</v>
      </c>
      <c r="V70" s="94">
        <v>10</v>
      </c>
      <c r="W70" s="82" t="s">
        <v>466</v>
      </c>
      <c r="X70" s="11">
        <f>IFERROR(VLOOKUP(W$8&amp;W70,[1]_enum!$A:$D,4,FALSE),"-")</f>
        <v>2</v>
      </c>
      <c r="Y70" s="110" t="s">
        <v>473</v>
      </c>
      <c r="Z70" s="115">
        <f>IFERROR(IF(X70=0,INDEX([1]ShipSlot!$A:$A,MATCH(Y70,[1]ShipSlot!$C:$C,0)),IF(X70=1,INDEX([1]CEquip!$A:$A,MATCH(Y70,[1]CEquip!$B:$B,0)), INDEX([1]Item!$A:$A,MATCH(Y70,[1]Item!$B:$B,0)))), "-")</f>
        <v>23550006</v>
      </c>
      <c r="AA70" s="94">
        <v>100</v>
      </c>
      <c r="AB70" s="82"/>
      <c r="AC70" s="11" t="str">
        <f>IFERROR(VLOOKUP(AB$8&amp;AB70,[1]_enum!$A:$D,4,FALSE),"-")</f>
        <v>-</v>
      </c>
      <c r="AD70" s="110"/>
      <c r="AE70" s="115" t="str">
        <f>IFERROR(IF(AC70=0,INDEX([1]ShipSlot!$A:$A,MATCH(AD70,[1]ShipSlot!$C:$C,0)),IF(AC70=1,INDEX([1]CEquip!$A:$A,MATCH(AD70,[1]CEquip!$B:$B,0)), INDEX([1]Item!$A:$A,MATCH(AD70,[1]Item!$B:$B,0)))), "-")</f>
        <v>-</v>
      </c>
      <c r="AF70" s="94" t="s">
        <v>18</v>
      </c>
      <c r="AG70" s="82"/>
      <c r="AH70" s="11" t="str">
        <f>IFERROR(VLOOKUP(AG$8&amp;AG70,[1]_enum!$A:$D,4,FALSE),"-")</f>
        <v>-</v>
      </c>
      <c r="AI70" s="110"/>
      <c r="AJ70" s="115" t="str">
        <f>IFERROR(IF(AH70=0,INDEX([1]ShipSlot!$A:$A,MATCH(AI70,[1]ShipSlot!$C:$C,0)),IF(AH70=1,INDEX([1]CEquip!$A:$A,MATCH(AI70,[1]CEquip!$B:$B,0)), INDEX([1]Item!$A:$A,MATCH(AI70,[1]Item!$B:$B,0)))), "-")</f>
        <v>-</v>
      </c>
      <c r="AK70" s="94" t="s">
        <v>18</v>
      </c>
    </row>
    <row r="71" spans="1:37" x14ac:dyDescent="0.2">
      <c r="A71" s="116">
        <v>2506</v>
      </c>
      <c r="B71" s="82" t="s">
        <v>465</v>
      </c>
      <c r="C71" s="11">
        <f>IFERROR(VLOOKUP(B$8&amp;B71,[1]_enum!$A:$D,4,FALSE),"-")</f>
        <v>1</v>
      </c>
      <c r="D71" s="89" t="s">
        <v>543</v>
      </c>
      <c r="E71" s="115">
        <f>IFERROR(IF(C71=0,INDEX([1]ShipSlot!$A:$A,MATCH(D71,[1]ShipSlot!$C:$C,0)),IF(C71=1,INDEX([1]CEquip!$A:$A,MATCH(D71,[1]CEquip!$B:$B,0)), INDEX([1]Item!$A:$A,MATCH(D71,[1]Item!$B:$B,0)))), "-")</f>
        <v>22173010</v>
      </c>
      <c r="F71" s="82" t="s">
        <v>537</v>
      </c>
      <c r="G71" s="82" t="s">
        <v>519</v>
      </c>
      <c r="H71" s="81">
        <v>21600</v>
      </c>
      <c r="I71" s="81">
        <v>4</v>
      </c>
      <c r="J71" s="82" t="s">
        <v>593</v>
      </c>
      <c r="K71" s="81">
        <f>IFERROR(VLOOKUP(J$8&amp;J71,[1]_enum!$A:$D,4,FALSE),"-")</f>
        <v>0</v>
      </c>
      <c r="L71" s="81">
        <v>100</v>
      </c>
      <c r="M71" s="81">
        <v>250</v>
      </c>
      <c r="N71" s="81">
        <v>1111111</v>
      </c>
      <c r="O71" s="83" t="s">
        <v>450</v>
      </c>
      <c r="P71" s="84">
        <f>IFERROR(INDEX([1]Point!$A:$A,MATCH(O71,[1]Point!$B:$B,0),1),"-")</f>
        <v>100001</v>
      </c>
      <c r="Q71" s="81">
        <v>600000</v>
      </c>
      <c r="R71" s="82" t="s">
        <v>466</v>
      </c>
      <c r="S71" s="11">
        <f>IFERROR(VLOOKUP(R$8&amp;R71,[1]_enum!$A:$D,4,FALSE),"-")</f>
        <v>2</v>
      </c>
      <c r="T71" s="89" t="s">
        <v>629</v>
      </c>
      <c r="U71" s="115">
        <f>IFERROR(IF(S71=0,INDEX([1]ShipSlot!$A:$A,MATCH(T71,[1]ShipSlot!$C:$C,0)),IF(S71=1,INDEX([1]CEquip!$A:$A,MATCH(T71,[1]CEquip!$B:$B,0)), INDEX([1]Item!$A:$A,MATCH(T71,[1]Item!$B:$B,0)))), "-")</f>
        <v>23550005</v>
      </c>
      <c r="V71" s="94">
        <v>10</v>
      </c>
      <c r="W71" s="82" t="s">
        <v>466</v>
      </c>
      <c r="X71" s="11">
        <f>IFERROR(VLOOKUP(W$8&amp;W71,[1]_enum!$A:$D,4,FALSE),"-")</f>
        <v>2</v>
      </c>
      <c r="Y71" s="110" t="s">
        <v>473</v>
      </c>
      <c r="Z71" s="115">
        <f>IFERROR(IF(X71=0,INDEX([1]ShipSlot!$A:$A,MATCH(Y71,[1]ShipSlot!$C:$C,0)),IF(X71=1,INDEX([1]CEquip!$A:$A,MATCH(Y71,[1]CEquip!$B:$B,0)), INDEX([1]Item!$A:$A,MATCH(Y71,[1]Item!$B:$B,0)))), "-")</f>
        <v>23550006</v>
      </c>
      <c r="AA71" s="94">
        <v>100</v>
      </c>
      <c r="AB71" s="82"/>
      <c r="AC71" s="11" t="str">
        <f>IFERROR(VLOOKUP(AB$8&amp;AB71,[1]_enum!$A:$D,4,FALSE),"-")</f>
        <v>-</v>
      </c>
      <c r="AD71" s="110"/>
      <c r="AE71" s="115" t="str">
        <f>IFERROR(IF(AC71=0,INDEX([1]ShipSlot!$A:$A,MATCH(AD71,[1]ShipSlot!$C:$C,0)),IF(AC71=1,INDEX([1]CEquip!$A:$A,MATCH(AD71,[1]CEquip!$B:$B,0)), INDEX([1]Item!$A:$A,MATCH(AD71,[1]Item!$B:$B,0)))), "-")</f>
        <v>-</v>
      </c>
      <c r="AF71" s="94" t="s">
        <v>18</v>
      </c>
      <c r="AG71" s="82"/>
      <c r="AH71" s="11" t="str">
        <f>IFERROR(VLOOKUP(AG$8&amp;AG71,[1]_enum!$A:$D,4,FALSE),"-")</f>
        <v>-</v>
      </c>
      <c r="AI71" s="110"/>
      <c r="AJ71" s="115" t="str">
        <f>IFERROR(IF(AH71=0,INDEX([1]ShipSlot!$A:$A,MATCH(AI71,[1]ShipSlot!$C:$C,0)),IF(AH71=1,INDEX([1]CEquip!$A:$A,MATCH(AI71,[1]CEquip!$B:$B,0)), INDEX([1]Item!$A:$A,MATCH(AI71,[1]Item!$B:$B,0)))), "-")</f>
        <v>-</v>
      </c>
      <c r="AK71" s="94" t="s">
        <v>18</v>
      </c>
    </row>
    <row r="72" spans="1:37" x14ac:dyDescent="0.2">
      <c r="A72" s="116">
        <v>2507</v>
      </c>
      <c r="B72" s="82" t="s">
        <v>465</v>
      </c>
      <c r="C72" s="11">
        <f>IFERROR(VLOOKUP(B$8&amp;B72,[1]_enum!$A:$D,4,FALSE),"-")</f>
        <v>1</v>
      </c>
      <c r="D72" s="89" t="s">
        <v>544</v>
      </c>
      <c r="E72" s="115">
        <f>IFERROR(IF(C72=0,INDEX([1]ShipSlot!$A:$A,MATCH(D72,[1]ShipSlot!$C:$C,0)),IF(C72=1,INDEX([1]CEquip!$A:$A,MATCH(D72,[1]CEquip!$B:$B,0)), INDEX([1]Item!$A:$A,MATCH(D72,[1]Item!$B:$B,0)))), "-")</f>
        <v>22173011</v>
      </c>
      <c r="F72" s="82" t="s">
        <v>537</v>
      </c>
      <c r="G72" s="82" t="s">
        <v>519</v>
      </c>
      <c r="H72" s="81">
        <v>21600</v>
      </c>
      <c r="I72" s="81">
        <v>4</v>
      </c>
      <c r="J72" s="82" t="s">
        <v>593</v>
      </c>
      <c r="K72" s="81">
        <f>IFERROR(VLOOKUP(J$8&amp;J72,[1]_enum!$A:$D,4,FALSE),"-")</f>
        <v>0</v>
      </c>
      <c r="L72" s="81">
        <v>100</v>
      </c>
      <c r="M72" s="81">
        <v>250</v>
      </c>
      <c r="N72" s="81">
        <v>1111111</v>
      </c>
      <c r="O72" s="83" t="s">
        <v>450</v>
      </c>
      <c r="P72" s="84">
        <f>IFERROR(INDEX([1]Point!$A:$A,MATCH(O72,[1]Point!$B:$B,0),1),"-")</f>
        <v>100001</v>
      </c>
      <c r="Q72" s="81">
        <v>600000</v>
      </c>
      <c r="R72" s="82" t="s">
        <v>466</v>
      </c>
      <c r="S72" s="11">
        <f>IFERROR(VLOOKUP(R$8&amp;R72,[1]_enum!$A:$D,4,FALSE),"-")</f>
        <v>2</v>
      </c>
      <c r="T72" s="110" t="s">
        <v>629</v>
      </c>
      <c r="U72" s="115">
        <f>IFERROR(IF(S72=0,INDEX([1]ShipSlot!$A:$A,MATCH(T72,[1]ShipSlot!$C:$C,0)),IF(S72=1,INDEX([1]CEquip!$A:$A,MATCH(T72,[1]CEquip!$B:$B,0)), INDEX([1]Item!$A:$A,MATCH(T72,[1]Item!$B:$B,0)))), "-")</f>
        <v>23550005</v>
      </c>
      <c r="V72" s="94">
        <v>10</v>
      </c>
      <c r="W72" s="82" t="s">
        <v>466</v>
      </c>
      <c r="X72" s="11">
        <f>IFERROR(VLOOKUP(W$8&amp;W72,[1]_enum!$A:$D,4,FALSE),"-")</f>
        <v>2</v>
      </c>
      <c r="Y72" s="110" t="s">
        <v>473</v>
      </c>
      <c r="Z72" s="115">
        <f>IFERROR(IF(X72=0,INDEX([1]ShipSlot!$A:$A,MATCH(Y72,[1]ShipSlot!$C:$C,0)),IF(X72=1,INDEX([1]CEquip!$A:$A,MATCH(Y72,[1]CEquip!$B:$B,0)), INDEX([1]Item!$A:$A,MATCH(Y72,[1]Item!$B:$B,0)))), "-")</f>
        <v>23550006</v>
      </c>
      <c r="AA72" s="94">
        <v>100</v>
      </c>
      <c r="AB72" s="82"/>
      <c r="AC72" s="11" t="str">
        <f>IFERROR(VLOOKUP(AB$8&amp;AB72,[1]_enum!$A:$D,4,FALSE),"-")</f>
        <v>-</v>
      </c>
      <c r="AD72" s="110"/>
      <c r="AE72" s="115" t="str">
        <f>IFERROR(IF(AC72=0,INDEX([1]ShipSlot!$A:$A,MATCH(AD72,[1]ShipSlot!$C:$C,0)),IF(AC72=1,INDEX([1]CEquip!$A:$A,MATCH(AD72,[1]CEquip!$B:$B,0)), INDEX([1]Item!$A:$A,MATCH(AD72,[1]Item!$B:$B,0)))), "-")</f>
        <v>-</v>
      </c>
      <c r="AF72" s="94" t="s">
        <v>18</v>
      </c>
      <c r="AG72" s="82"/>
      <c r="AH72" s="11" t="str">
        <f>IFERROR(VLOOKUP(AG$8&amp;AG72,[1]_enum!$A:$D,4,FALSE),"-")</f>
        <v>-</v>
      </c>
      <c r="AI72" s="110"/>
      <c r="AJ72" s="115" t="str">
        <f>IFERROR(IF(AH72=0,INDEX([1]ShipSlot!$A:$A,MATCH(AI72,[1]ShipSlot!$C:$C,0)),IF(AH72=1,INDEX([1]CEquip!$A:$A,MATCH(AI72,[1]CEquip!$B:$B,0)), INDEX([1]Item!$A:$A,MATCH(AI72,[1]Item!$B:$B,0)))), "-")</f>
        <v>-</v>
      </c>
      <c r="AK72" s="94" t="s">
        <v>18</v>
      </c>
    </row>
    <row r="73" spans="1:37" x14ac:dyDescent="0.2">
      <c r="A73" s="116">
        <v>2508</v>
      </c>
      <c r="B73" s="82" t="s">
        <v>465</v>
      </c>
      <c r="C73" s="11">
        <f>IFERROR(VLOOKUP(B$8&amp;B73,[1]_enum!$A:$D,4,FALSE),"-")</f>
        <v>1</v>
      </c>
      <c r="D73" s="89" t="s">
        <v>545</v>
      </c>
      <c r="E73" s="115">
        <f>IFERROR(IF(C73=0,INDEX([1]ShipSlot!$A:$A,MATCH(D73,[1]ShipSlot!$C:$C,0)),IF(C73=1,INDEX([1]CEquip!$A:$A,MATCH(D73,[1]CEquip!$B:$B,0)), INDEX([1]Item!$A:$A,MATCH(D73,[1]Item!$B:$B,0)))), "-")</f>
        <v>22173012</v>
      </c>
      <c r="F73" s="82" t="s">
        <v>537</v>
      </c>
      <c r="G73" s="82" t="s">
        <v>519</v>
      </c>
      <c r="H73" s="81">
        <v>21600</v>
      </c>
      <c r="I73" s="81">
        <v>4</v>
      </c>
      <c r="J73" s="82" t="s">
        <v>593</v>
      </c>
      <c r="K73" s="81">
        <f>IFERROR(VLOOKUP(J$8&amp;J73,[1]_enum!$A:$D,4,FALSE),"-")</f>
        <v>0</v>
      </c>
      <c r="L73" s="81">
        <v>100</v>
      </c>
      <c r="M73" s="81">
        <v>250</v>
      </c>
      <c r="N73" s="81">
        <v>1111111</v>
      </c>
      <c r="O73" s="83" t="s">
        <v>450</v>
      </c>
      <c r="P73" s="84">
        <f>IFERROR(INDEX([1]Point!$A:$A,MATCH(O73,[1]Point!$B:$B,0),1),"-")</f>
        <v>100001</v>
      </c>
      <c r="Q73" s="81">
        <v>600000</v>
      </c>
      <c r="R73" s="82" t="s">
        <v>466</v>
      </c>
      <c r="S73" s="11">
        <f>IFERROR(VLOOKUP(R$8&amp;R73,[1]_enum!$A:$D,4,FALSE),"-")</f>
        <v>2</v>
      </c>
      <c r="T73" s="89" t="s">
        <v>629</v>
      </c>
      <c r="U73" s="115">
        <f>IFERROR(IF(S73=0,INDEX([1]ShipSlot!$A:$A,MATCH(T73,[1]ShipSlot!$C:$C,0)),IF(S73=1,INDEX([1]CEquip!$A:$A,MATCH(T73,[1]CEquip!$B:$B,0)), INDEX([1]Item!$A:$A,MATCH(T73,[1]Item!$B:$B,0)))), "-")</f>
        <v>23550005</v>
      </c>
      <c r="V73" s="94">
        <v>10</v>
      </c>
      <c r="W73" s="82" t="s">
        <v>466</v>
      </c>
      <c r="X73" s="11">
        <f>IFERROR(VLOOKUP(W$8&amp;W73,[1]_enum!$A:$D,4,FALSE),"-")</f>
        <v>2</v>
      </c>
      <c r="Y73" s="110" t="s">
        <v>473</v>
      </c>
      <c r="Z73" s="115">
        <f>IFERROR(IF(X73=0,INDEX([1]ShipSlot!$A:$A,MATCH(Y73,[1]ShipSlot!$C:$C,0)),IF(X73=1,INDEX([1]CEquip!$A:$A,MATCH(Y73,[1]CEquip!$B:$B,0)), INDEX([1]Item!$A:$A,MATCH(Y73,[1]Item!$B:$B,0)))), "-")</f>
        <v>23550006</v>
      </c>
      <c r="AA73" s="94">
        <v>100</v>
      </c>
      <c r="AB73" s="82"/>
      <c r="AC73" s="11" t="str">
        <f>IFERROR(VLOOKUP(AB$8&amp;AB73,[1]_enum!$A:$D,4,FALSE),"-")</f>
        <v>-</v>
      </c>
      <c r="AD73" s="110"/>
      <c r="AE73" s="115" t="str">
        <f>IFERROR(IF(AC73=0,INDEX([1]ShipSlot!$A:$A,MATCH(AD73,[1]ShipSlot!$C:$C,0)),IF(AC73=1,INDEX([1]CEquip!$A:$A,MATCH(AD73,[1]CEquip!$B:$B,0)), INDEX([1]Item!$A:$A,MATCH(AD73,[1]Item!$B:$B,0)))), "-")</f>
        <v>-</v>
      </c>
      <c r="AF73" s="94" t="s">
        <v>18</v>
      </c>
      <c r="AG73" s="82"/>
      <c r="AH73" s="11" t="str">
        <f>IFERROR(VLOOKUP(AG$8&amp;AG73,[1]_enum!$A:$D,4,FALSE),"-")</f>
        <v>-</v>
      </c>
      <c r="AI73" s="110"/>
      <c r="AJ73" s="115" t="str">
        <f>IFERROR(IF(AH73=0,INDEX([1]ShipSlot!$A:$A,MATCH(AI73,[1]ShipSlot!$C:$C,0)),IF(AH73=1,INDEX([1]CEquip!$A:$A,MATCH(AI73,[1]CEquip!$B:$B,0)), INDEX([1]Item!$A:$A,MATCH(AI73,[1]Item!$B:$B,0)))), "-")</f>
        <v>-</v>
      </c>
      <c r="AK73" s="94" t="s">
        <v>18</v>
      </c>
    </row>
    <row r="74" spans="1:37" x14ac:dyDescent="0.2">
      <c r="A74" s="116">
        <v>2509</v>
      </c>
      <c r="B74" s="82" t="s">
        <v>465</v>
      </c>
      <c r="C74" s="11">
        <f>IFERROR(VLOOKUP(B$8&amp;B74,[1]_enum!$A:$D,4,FALSE),"-")</f>
        <v>1</v>
      </c>
      <c r="D74" s="83" t="s">
        <v>546</v>
      </c>
      <c r="E74" s="115">
        <f>IFERROR(IF(C74=0,INDEX([1]ShipSlot!$A:$A,MATCH(D74,[1]ShipSlot!$C:$C,0)),IF(C74=1,INDEX([1]CEquip!$A:$A,MATCH(D74,[1]CEquip!$B:$B,0)), INDEX([1]Item!$A:$A,MATCH(D74,[1]Item!$B:$B,0)))), "-")</f>
        <v>22173013</v>
      </c>
      <c r="F74" s="82" t="s">
        <v>537</v>
      </c>
      <c r="G74" s="82" t="s">
        <v>519</v>
      </c>
      <c r="H74" s="81">
        <v>21600</v>
      </c>
      <c r="I74" s="81">
        <v>4</v>
      </c>
      <c r="J74" s="82" t="s">
        <v>593</v>
      </c>
      <c r="K74" s="81">
        <f>IFERROR(VLOOKUP(J$8&amp;J74,[1]_enum!$A:$D,4,FALSE),"-")</f>
        <v>0</v>
      </c>
      <c r="L74" s="81">
        <v>100</v>
      </c>
      <c r="M74" s="81">
        <v>250</v>
      </c>
      <c r="N74" s="81">
        <v>1111111</v>
      </c>
      <c r="O74" s="83" t="s">
        <v>450</v>
      </c>
      <c r="P74" s="84">
        <f>IFERROR(INDEX([1]Point!$A:$A,MATCH(O74,[1]Point!$B:$B,0),1),"-")</f>
        <v>100001</v>
      </c>
      <c r="Q74" s="81">
        <v>600000</v>
      </c>
      <c r="R74" s="82" t="s">
        <v>466</v>
      </c>
      <c r="S74" s="11">
        <f>IFERROR(VLOOKUP(R$8&amp;R74,[1]_enum!$A:$D,4,FALSE),"-")</f>
        <v>2</v>
      </c>
      <c r="T74" s="89" t="s">
        <v>629</v>
      </c>
      <c r="U74" s="115">
        <f>IFERROR(IF(S74=0,INDEX([1]ShipSlot!$A:$A,MATCH(T74,[1]ShipSlot!$C:$C,0)),IF(S74=1,INDEX([1]CEquip!$A:$A,MATCH(T74,[1]CEquip!$B:$B,0)), INDEX([1]Item!$A:$A,MATCH(T74,[1]Item!$B:$B,0)))), "-")</f>
        <v>23550005</v>
      </c>
      <c r="V74" s="94">
        <v>10</v>
      </c>
      <c r="W74" s="82" t="s">
        <v>466</v>
      </c>
      <c r="X74" s="11">
        <f>IFERROR(VLOOKUP(W$8&amp;W74,[1]_enum!$A:$D,4,FALSE),"-")</f>
        <v>2</v>
      </c>
      <c r="Y74" s="110" t="s">
        <v>473</v>
      </c>
      <c r="Z74" s="115">
        <f>IFERROR(IF(X74=0,INDEX([1]ShipSlot!$A:$A,MATCH(Y74,[1]ShipSlot!$C:$C,0)),IF(X74=1,INDEX([1]CEquip!$A:$A,MATCH(Y74,[1]CEquip!$B:$B,0)), INDEX([1]Item!$A:$A,MATCH(Y74,[1]Item!$B:$B,0)))), "-")</f>
        <v>23550006</v>
      </c>
      <c r="AA74" s="94">
        <v>100</v>
      </c>
      <c r="AB74" s="82"/>
      <c r="AC74" s="11" t="str">
        <f>IFERROR(VLOOKUP(AB$8&amp;AB74,[1]_enum!$A:$D,4,FALSE),"-")</f>
        <v>-</v>
      </c>
      <c r="AD74" s="110"/>
      <c r="AE74" s="115" t="str">
        <f>IFERROR(IF(AC74=0,INDEX([1]ShipSlot!$A:$A,MATCH(AD74,[1]ShipSlot!$C:$C,0)),IF(AC74=1,INDEX([1]CEquip!$A:$A,MATCH(AD74,[1]CEquip!$B:$B,0)), INDEX([1]Item!$A:$A,MATCH(AD74,[1]Item!$B:$B,0)))), "-")</f>
        <v>-</v>
      </c>
      <c r="AF74" s="94" t="s">
        <v>18</v>
      </c>
      <c r="AG74" s="82"/>
      <c r="AH74" s="11" t="str">
        <f>IFERROR(VLOOKUP(AG$8&amp;AG74,[1]_enum!$A:$D,4,FALSE),"-")</f>
        <v>-</v>
      </c>
      <c r="AI74" s="110"/>
      <c r="AJ74" s="115" t="str">
        <f>IFERROR(IF(AH74=0,INDEX([1]ShipSlot!$A:$A,MATCH(AI74,[1]ShipSlot!$C:$C,0)),IF(AH74=1,INDEX([1]CEquip!$A:$A,MATCH(AI74,[1]CEquip!$B:$B,0)), INDEX([1]Item!$A:$A,MATCH(AI74,[1]Item!$B:$B,0)))), "-")</f>
        <v>-</v>
      </c>
      <c r="AK74" s="94" t="s">
        <v>18</v>
      </c>
    </row>
    <row r="75" spans="1:37" x14ac:dyDescent="0.2">
      <c r="A75" s="116">
        <v>2510</v>
      </c>
      <c r="B75" s="82" t="s">
        <v>465</v>
      </c>
      <c r="C75" s="11">
        <f>IFERROR(VLOOKUP(B$8&amp;B75,[1]_enum!$A:$D,4,FALSE),"-")</f>
        <v>1</v>
      </c>
      <c r="D75" s="83" t="s">
        <v>547</v>
      </c>
      <c r="E75" s="115">
        <f>IFERROR(IF(C75=0,INDEX([1]ShipSlot!$A:$A,MATCH(D75,[1]ShipSlot!$C:$C,0)),IF(C75=1,INDEX([1]CEquip!$A:$A,MATCH(D75,[1]CEquip!$B:$B,0)), INDEX([1]Item!$A:$A,MATCH(D75,[1]Item!$B:$B,0)))), "-")</f>
        <v>22173014</v>
      </c>
      <c r="F75" s="82" t="s">
        <v>537</v>
      </c>
      <c r="G75" s="82" t="s">
        <v>519</v>
      </c>
      <c r="H75" s="81">
        <v>21600</v>
      </c>
      <c r="I75" s="81">
        <v>4</v>
      </c>
      <c r="J75" s="82" t="s">
        <v>593</v>
      </c>
      <c r="K75" s="81">
        <f>IFERROR(VLOOKUP(J$8&amp;J75,[1]_enum!$A:$D,4,FALSE),"-")</f>
        <v>0</v>
      </c>
      <c r="L75" s="81">
        <v>100</v>
      </c>
      <c r="M75" s="81">
        <v>250</v>
      </c>
      <c r="N75" s="81">
        <v>1111111</v>
      </c>
      <c r="O75" s="83" t="s">
        <v>450</v>
      </c>
      <c r="P75" s="84">
        <f>IFERROR(INDEX([1]Point!$A:$A,MATCH(O75,[1]Point!$B:$B,0),1),"-")</f>
        <v>100001</v>
      </c>
      <c r="Q75" s="81">
        <v>600000</v>
      </c>
      <c r="R75" s="82" t="s">
        <v>466</v>
      </c>
      <c r="S75" s="11">
        <f>IFERROR(VLOOKUP(R$8&amp;R75,[1]_enum!$A:$D,4,FALSE),"-")</f>
        <v>2</v>
      </c>
      <c r="T75" s="89" t="s">
        <v>629</v>
      </c>
      <c r="U75" s="115">
        <f>IFERROR(IF(S75=0,INDEX([1]ShipSlot!$A:$A,MATCH(T75,[1]ShipSlot!$C:$C,0)),IF(S75=1,INDEX([1]CEquip!$A:$A,MATCH(T75,[1]CEquip!$B:$B,0)), INDEX([1]Item!$A:$A,MATCH(T75,[1]Item!$B:$B,0)))), "-")</f>
        <v>23550005</v>
      </c>
      <c r="V75" s="94">
        <v>10</v>
      </c>
      <c r="W75" s="82" t="s">
        <v>466</v>
      </c>
      <c r="X75" s="11">
        <f>IFERROR(VLOOKUP(W$8&amp;W75,[1]_enum!$A:$D,4,FALSE),"-")</f>
        <v>2</v>
      </c>
      <c r="Y75" s="110" t="s">
        <v>473</v>
      </c>
      <c r="Z75" s="115">
        <f>IFERROR(IF(X75=0,INDEX([1]ShipSlot!$A:$A,MATCH(Y75,[1]ShipSlot!$C:$C,0)),IF(X75=1,INDEX([1]CEquip!$A:$A,MATCH(Y75,[1]CEquip!$B:$B,0)), INDEX([1]Item!$A:$A,MATCH(Y75,[1]Item!$B:$B,0)))), "-")</f>
        <v>23550006</v>
      </c>
      <c r="AA75" s="94">
        <v>100</v>
      </c>
      <c r="AB75" s="82"/>
      <c r="AC75" s="11" t="str">
        <f>IFERROR(VLOOKUP(AB$8&amp;AB75,[1]_enum!$A:$D,4,FALSE),"-")</f>
        <v>-</v>
      </c>
      <c r="AD75" s="110"/>
      <c r="AE75" s="115" t="str">
        <f>IFERROR(IF(AC75=0,INDEX([1]ShipSlot!$A:$A,MATCH(AD75,[1]ShipSlot!$C:$C,0)),IF(AC75=1,INDEX([1]CEquip!$A:$A,MATCH(AD75,[1]CEquip!$B:$B,0)), INDEX([1]Item!$A:$A,MATCH(AD75,[1]Item!$B:$B,0)))), "-")</f>
        <v>-</v>
      </c>
      <c r="AF75" s="94" t="s">
        <v>18</v>
      </c>
      <c r="AG75" s="82"/>
      <c r="AH75" s="11" t="str">
        <f>IFERROR(VLOOKUP(AG$8&amp;AG75,[1]_enum!$A:$D,4,FALSE),"-")</f>
        <v>-</v>
      </c>
      <c r="AI75" s="110"/>
      <c r="AJ75" s="115" t="str">
        <f>IFERROR(IF(AH75=0,INDEX([1]ShipSlot!$A:$A,MATCH(AI75,[1]ShipSlot!$C:$C,0)),IF(AH75=1,INDEX([1]CEquip!$A:$A,MATCH(AI75,[1]CEquip!$B:$B,0)), INDEX([1]Item!$A:$A,MATCH(AI75,[1]Item!$B:$B,0)))), "-")</f>
        <v>-</v>
      </c>
      <c r="AK75" s="94" t="s">
        <v>18</v>
      </c>
    </row>
    <row r="76" spans="1:37" x14ac:dyDescent="0.2">
      <c r="A76" s="116">
        <v>2511</v>
      </c>
      <c r="B76" s="82" t="s">
        <v>465</v>
      </c>
      <c r="C76" s="11">
        <f>IFERROR(VLOOKUP(B$8&amp;B76,[1]_enum!$A:$D,4,FALSE),"-")</f>
        <v>1</v>
      </c>
      <c r="D76" s="83" t="s">
        <v>548</v>
      </c>
      <c r="E76" s="115">
        <f>IFERROR(IF(C76=0,INDEX([1]ShipSlot!$A:$A,MATCH(D76,[1]ShipSlot!$C:$C,0)),IF(C76=1,INDEX([1]CEquip!$A:$A,MATCH(D76,[1]CEquip!$B:$B,0)), INDEX([1]Item!$A:$A,MATCH(D76,[1]Item!$B:$B,0)))), "-")</f>
        <v>22173015</v>
      </c>
      <c r="F76" s="82" t="s">
        <v>537</v>
      </c>
      <c r="G76" s="82" t="s">
        <v>519</v>
      </c>
      <c r="H76" s="81">
        <v>21600</v>
      </c>
      <c r="I76" s="81">
        <v>4</v>
      </c>
      <c r="J76" s="82" t="s">
        <v>593</v>
      </c>
      <c r="K76" s="81">
        <f>IFERROR(VLOOKUP(J$8&amp;J76,[1]_enum!$A:$D,4,FALSE),"-")</f>
        <v>0</v>
      </c>
      <c r="L76" s="81">
        <v>100</v>
      </c>
      <c r="M76" s="81">
        <v>250</v>
      </c>
      <c r="N76" s="81">
        <v>1111111</v>
      </c>
      <c r="O76" s="83" t="s">
        <v>450</v>
      </c>
      <c r="P76" s="84">
        <f>IFERROR(INDEX([1]Point!$A:$A,MATCH(O76,[1]Point!$B:$B,0),1),"-")</f>
        <v>100001</v>
      </c>
      <c r="Q76" s="81">
        <v>600000</v>
      </c>
      <c r="R76" s="82" t="s">
        <v>466</v>
      </c>
      <c r="S76" s="11">
        <f>IFERROR(VLOOKUP(R$8&amp;R76,[1]_enum!$A:$D,4,FALSE),"-")</f>
        <v>2</v>
      </c>
      <c r="T76" s="89" t="s">
        <v>629</v>
      </c>
      <c r="U76" s="115">
        <f>IFERROR(IF(S76=0,INDEX([1]ShipSlot!$A:$A,MATCH(T76,[1]ShipSlot!$C:$C,0)),IF(S76=1,INDEX([1]CEquip!$A:$A,MATCH(T76,[1]CEquip!$B:$B,0)), INDEX([1]Item!$A:$A,MATCH(T76,[1]Item!$B:$B,0)))), "-")</f>
        <v>23550005</v>
      </c>
      <c r="V76" s="94">
        <v>10</v>
      </c>
      <c r="W76" s="82" t="s">
        <v>466</v>
      </c>
      <c r="X76" s="11">
        <f>IFERROR(VLOOKUP(W$8&amp;W76,[1]_enum!$A:$D,4,FALSE),"-")</f>
        <v>2</v>
      </c>
      <c r="Y76" s="110" t="s">
        <v>473</v>
      </c>
      <c r="Z76" s="115">
        <f>IFERROR(IF(X76=0,INDEX([1]ShipSlot!$A:$A,MATCH(Y76,[1]ShipSlot!$C:$C,0)),IF(X76=1,INDEX([1]CEquip!$A:$A,MATCH(Y76,[1]CEquip!$B:$B,0)), INDEX([1]Item!$A:$A,MATCH(Y76,[1]Item!$B:$B,0)))), "-")</f>
        <v>23550006</v>
      </c>
      <c r="AA76" s="94">
        <v>100</v>
      </c>
      <c r="AB76" s="82"/>
      <c r="AC76" s="11" t="str">
        <f>IFERROR(VLOOKUP(AB$8&amp;AB76,[1]_enum!$A:$D,4,FALSE),"-")</f>
        <v>-</v>
      </c>
      <c r="AD76" s="110"/>
      <c r="AE76" s="115" t="str">
        <f>IFERROR(IF(AC76=0,INDEX([1]ShipSlot!$A:$A,MATCH(AD76,[1]ShipSlot!$C:$C,0)),IF(AC76=1,INDEX([1]CEquip!$A:$A,MATCH(AD76,[1]CEquip!$B:$B,0)), INDEX([1]Item!$A:$A,MATCH(AD76,[1]Item!$B:$B,0)))), "-")</f>
        <v>-</v>
      </c>
      <c r="AF76" s="94" t="s">
        <v>18</v>
      </c>
      <c r="AG76" s="82"/>
      <c r="AH76" s="11" t="str">
        <f>IFERROR(VLOOKUP(AG$8&amp;AG76,[1]_enum!$A:$D,4,FALSE),"-")</f>
        <v>-</v>
      </c>
      <c r="AI76" s="110"/>
      <c r="AJ76" s="115" t="str">
        <f>IFERROR(IF(AH76=0,INDEX([1]ShipSlot!$A:$A,MATCH(AI76,[1]ShipSlot!$C:$C,0)),IF(AH76=1,INDEX([1]CEquip!$A:$A,MATCH(AI76,[1]CEquip!$B:$B,0)), INDEX([1]Item!$A:$A,MATCH(AI76,[1]Item!$B:$B,0)))), "-")</f>
        <v>-</v>
      </c>
      <c r="AK76" s="94" t="s">
        <v>18</v>
      </c>
    </row>
    <row r="77" spans="1:37" x14ac:dyDescent="0.2">
      <c r="A77" s="116">
        <v>2512</v>
      </c>
      <c r="B77" s="82" t="s">
        <v>465</v>
      </c>
      <c r="C77" s="11">
        <f>IFERROR(VLOOKUP(B$8&amp;B77,[1]_enum!$A:$D,4,FALSE),"-")</f>
        <v>1</v>
      </c>
      <c r="D77" s="83" t="s">
        <v>549</v>
      </c>
      <c r="E77" s="115">
        <f>IFERROR(IF(C77=0,INDEX([1]ShipSlot!$A:$A,MATCH(D77,[1]ShipSlot!$C:$C,0)),IF(C77=1,INDEX([1]CEquip!$A:$A,MATCH(D77,[1]CEquip!$B:$B,0)), INDEX([1]Item!$A:$A,MATCH(D77,[1]Item!$B:$B,0)))), "-")</f>
        <v>22173016</v>
      </c>
      <c r="F77" s="82" t="s">
        <v>537</v>
      </c>
      <c r="G77" s="82" t="s">
        <v>519</v>
      </c>
      <c r="H77" s="81">
        <v>21600</v>
      </c>
      <c r="I77" s="81">
        <v>4</v>
      </c>
      <c r="J77" s="82" t="s">
        <v>593</v>
      </c>
      <c r="K77" s="81">
        <f>IFERROR(VLOOKUP(J$8&amp;J77,[1]_enum!$A:$D,4,FALSE),"-")</f>
        <v>0</v>
      </c>
      <c r="L77" s="81">
        <v>100</v>
      </c>
      <c r="M77" s="81">
        <v>250</v>
      </c>
      <c r="N77" s="81">
        <v>1111111</v>
      </c>
      <c r="O77" s="83" t="s">
        <v>450</v>
      </c>
      <c r="P77" s="84">
        <f>IFERROR(INDEX([1]Point!$A:$A,MATCH(O77,[1]Point!$B:$B,0),1),"-")</f>
        <v>100001</v>
      </c>
      <c r="Q77" s="81">
        <v>600000</v>
      </c>
      <c r="R77" s="82" t="s">
        <v>466</v>
      </c>
      <c r="S77" s="11">
        <f>IFERROR(VLOOKUP(R$8&amp;R77,[1]_enum!$A:$D,4,FALSE),"-")</f>
        <v>2</v>
      </c>
      <c r="T77" s="89" t="s">
        <v>629</v>
      </c>
      <c r="U77" s="115">
        <f>IFERROR(IF(S77=0,INDEX([1]ShipSlot!$A:$A,MATCH(T77,[1]ShipSlot!$C:$C,0)),IF(S77=1,INDEX([1]CEquip!$A:$A,MATCH(T77,[1]CEquip!$B:$B,0)), INDEX([1]Item!$A:$A,MATCH(T77,[1]Item!$B:$B,0)))), "-")</f>
        <v>23550005</v>
      </c>
      <c r="V77" s="94">
        <v>10</v>
      </c>
      <c r="W77" s="82" t="s">
        <v>466</v>
      </c>
      <c r="X77" s="11">
        <f>IFERROR(VLOOKUP(W$8&amp;W77,[1]_enum!$A:$D,4,FALSE),"-")</f>
        <v>2</v>
      </c>
      <c r="Y77" s="110" t="s">
        <v>473</v>
      </c>
      <c r="Z77" s="115">
        <f>IFERROR(IF(X77=0,INDEX([1]ShipSlot!$A:$A,MATCH(Y77,[1]ShipSlot!$C:$C,0)),IF(X77=1,INDEX([1]CEquip!$A:$A,MATCH(Y77,[1]CEquip!$B:$B,0)), INDEX([1]Item!$A:$A,MATCH(Y77,[1]Item!$B:$B,0)))), "-")</f>
        <v>23550006</v>
      </c>
      <c r="AA77" s="94">
        <v>100</v>
      </c>
      <c r="AB77" s="82"/>
      <c r="AC77" s="11" t="str">
        <f>IFERROR(VLOOKUP(AB$8&amp;AB77,[1]_enum!$A:$D,4,FALSE),"-")</f>
        <v>-</v>
      </c>
      <c r="AD77" s="110"/>
      <c r="AE77" s="115" t="str">
        <f>IFERROR(IF(AC77=0,INDEX([1]ShipSlot!$A:$A,MATCH(AD77,[1]ShipSlot!$C:$C,0)),IF(AC77=1,INDEX([1]CEquip!$A:$A,MATCH(AD77,[1]CEquip!$B:$B,0)), INDEX([1]Item!$A:$A,MATCH(AD77,[1]Item!$B:$B,0)))), "-")</f>
        <v>-</v>
      </c>
      <c r="AF77" s="94" t="s">
        <v>18</v>
      </c>
      <c r="AG77" s="82"/>
      <c r="AH77" s="11" t="str">
        <f>IFERROR(VLOOKUP(AG$8&amp;AG77,[1]_enum!$A:$D,4,FALSE),"-")</f>
        <v>-</v>
      </c>
      <c r="AI77" s="110"/>
      <c r="AJ77" s="115" t="str">
        <f>IFERROR(IF(AH77=0,INDEX([1]ShipSlot!$A:$A,MATCH(AI77,[1]ShipSlot!$C:$C,0)),IF(AH77=1,INDEX([1]CEquip!$A:$A,MATCH(AI77,[1]CEquip!$B:$B,0)), INDEX([1]Item!$A:$A,MATCH(AI77,[1]Item!$B:$B,0)))), "-")</f>
        <v>-</v>
      </c>
      <c r="AK77" s="94" t="s">
        <v>18</v>
      </c>
    </row>
    <row r="78" spans="1:37" x14ac:dyDescent="0.2">
      <c r="A78" s="116">
        <v>2513</v>
      </c>
      <c r="B78" s="82" t="s">
        <v>465</v>
      </c>
      <c r="C78" s="11">
        <f>IFERROR(VLOOKUP(B$8&amp;B78,[1]_enum!$A:$D,4,FALSE),"-")</f>
        <v>1</v>
      </c>
      <c r="D78" s="89" t="s">
        <v>550</v>
      </c>
      <c r="E78" s="115">
        <f>IFERROR(IF(C78=0,INDEX([1]ShipSlot!$A:$A,MATCH(D78,[1]ShipSlot!$C:$C,0)),IF(C78=1,INDEX([1]CEquip!$A:$A,MATCH(D78,[1]CEquip!$B:$B,0)), INDEX([1]Item!$A:$A,MATCH(D78,[1]Item!$B:$B,0)))), "-")</f>
        <v>22273005</v>
      </c>
      <c r="F78" s="82" t="s">
        <v>538</v>
      </c>
      <c r="G78" s="82" t="s">
        <v>519</v>
      </c>
      <c r="H78" s="81">
        <v>21600</v>
      </c>
      <c r="I78" s="81">
        <v>4</v>
      </c>
      <c r="J78" s="82" t="s">
        <v>593</v>
      </c>
      <c r="K78" s="81">
        <f>IFERROR(VLOOKUP(J$8&amp;J78,[1]_enum!$A:$D,4,FALSE),"-")</f>
        <v>0</v>
      </c>
      <c r="L78" s="81">
        <v>100</v>
      </c>
      <c r="M78" s="81">
        <v>250</v>
      </c>
      <c r="N78" s="81">
        <v>1111111</v>
      </c>
      <c r="O78" s="83" t="s">
        <v>450</v>
      </c>
      <c r="P78" s="84">
        <f>IFERROR(INDEX([1]Point!$A:$A,MATCH(O78,[1]Point!$B:$B,0),1),"-")</f>
        <v>100001</v>
      </c>
      <c r="Q78" s="81">
        <v>600000</v>
      </c>
      <c r="R78" s="82" t="s">
        <v>466</v>
      </c>
      <c r="S78" s="11">
        <f>IFERROR(VLOOKUP(R$8&amp;R78,[1]_enum!$A:$D,4,FALSE),"-")</f>
        <v>2</v>
      </c>
      <c r="T78" s="89" t="s">
        <v>629</v>
      </c>
      <c r="U78" s="115">
        <f>IFERROR(IF(S78=0,INDEX([1]ShipSlot!$A:$A,MATCH(T78,[1]ShipSlot!$C:$C,0)),IF(S78=1,INDEX([1]CEquip!$A:$A,MATCH(T78,[1]CEquip!$B:$B,0)), INDEX([1]Item!$A:$A,MATCH(T78,[1]Item!$B:$B,0)))), "-")</f>
        <v>23550005</v>
      </c>
      <c r="V78" s="94">
        <v>10</v>
      </c>
      <c r="W78" s="82" t="s">
        <v>466</v>
      </c>
      <c r="X78" s="11">
        <f>IFERROR(VLOOKUP(W$8&amp;W78,[1]_enum!$A:$D,4,FALSE),"-")</f>
        <v>2</v>
      </c>
      <c r="Y78" s="110" t="s">
        <v>474</v>
      </c>
      <c r="Z78" s="115">
        <f>IFERROR(IF(X78=0,INDEX([1]ShipSlot!$A:$A,MATCH(Y78,[1]ShipSlot!$C:$C,0)),IF(X78=1,INDEX([1]CEquip!$A:$A,MATCH(Y78,[1]CEquip!$B:$B,0)), INDEX([1]Item!$A:$A,MATCH(Y78,[1]Item!$B:$B,0)))), "-")</f>
        <v>23550007</v>
      </c>
      <c r="AA78" s="94">
        <v>100</v>
      </c>
      <c r="AB78" s="82"/>
      <c r="AC78" s="11" t="str">
        <f>IFERROR(VLOOKUP(AB$8&amp;AB78,[1]_enum!$A:$D,4,FALSE),"-")</f>
        <v>-</v>
      </c>
      <c r="AD78" s="110"/>
      <c r="AE78" s="115" t="str">
        <f>IFERROR(IF(AC78=0,INDEX([1]ShipSlot!$A:$A,MATCH(AD78,[1]ShipSlot!$C:$C,0)),IF(AC78=1,INDEX([1]CEquip!$A:$A,MATCH(AD78,[1]CEquip!$B:$B,0)), INDEX([1]Item!$A:$A,MATCH(AD78,[1]Item!$B:$B,0)))), "-")</f>
        <v>-</v>
      </c>
      <c r="AF78" s="94" t="s">
        <v>18</v>
      </c>
      <c r="AG78" s="82"/>
      <c r="AH78" s="11" t="str">
        <f>IFERROR(VLOOKUP(AG$8&amp;AG78,[1]_enum!$A:$D,4,FALSE),"-")</f>
        <v>-</v>
      </c>
      <c r="AI78" s="110"/>
      <c r="AJ78" s="115" t="str">
        <f>IFERROR(IF(AH78=0,INDEX([1]ShipSlot!$A:$A,MATCH(AI78,[1]ShipSlot!$C:$C,0)),IF(AH78=1,INDEX([1]CEquip!$A:$A,MATCH(AI78,[1]CEquip!$B:$B,0)), INDEX([1]Item!$A:$A,MATCH(AI78,[1]Item!$B:$B,0)))), "-")</f>
        <v>-</v>
      </c>
      <c r="AK78" s="94" t="s">
        <v>18</v>
      </c>
    </row>
    <row r="79" spans="1:37" x14ac:dyDescent="0.2">
      <c r="A79" s="116">
        <v>2514</v>
      </c>
      <c r="B79" s="82" t="s">
        <v>465</v>
      </c>
      <c r="C79" s="11">
        <f>IFERROR(VLOOKUP(B$8&amp;B79,[1]_enum!$A:$D,4,FALSE),"-")</f>
        <v>1</v>
      </c>
      <c r="D79" s="89" t="s">
        <v>551</v>
      </c>
      <c r="E79" s="115">
        <f>IFERROR(IF(C79=0,INDEX([1]ShipSlot!$A:$A,MATCH(D79,[1]ShipSlot!$C:$C,0)),IF(C79=1,INDEX([1]CEquip!$A:$A,MATCH(D79,[1]CEquip!$B:$B,0)), INDEX([1]Item!$A:$A,MATCH(D79,[1]Item!$B:$B,0)))), "-")</f>
        <v>22273007</v>
      </c>
      <c r="F79" s="82" t="s">
        <v>538</v>
      </c>
      <c r="G79" s="82" t="s">
        <v>519</v>
      </c>
      <c r="H79" s="81">
        <v>21600</v>
      </c>
      <c r="I79" s="81">
        <v>4</v>
      </c>
      <c r="J79" s="82" t="s">
        <v>593</v>
      </c>
      <c r="K79" s="81">
        <f>IFERROR(VLOOKUP(J$8&amp;J79,[1]_enum!$A:$D,4,FALSE),"-")</f>
        <v>0</v>
      </c>
      <c r="L79" s="81">
        <v>100</v>
      </c>
      <c r="M79" s="81">
        <v>250</v>
      </c>
      <c r="N79" s="81">
        <v>1111111</v>
      </c>
      <c r="O79" s="83" t="s">
        <v>450</v>
      </c>
      <c r="P79" s="84">
        <f>IFERROR(INDEX([1]Point!$A:$A,MATCH(O79,[1]Point!$B:$B,0),1),"-")</f>
        <v>100001</v>
      </c>
      <c r="Q79" s="81">
        <v>600000</v>
      </c>
      <c r="R79" s="82" t="s">
        <v>466</v>
      </c>
      <c r="S79" s="11">
        <f>IFERROR(VLOOKUP(R$8&amp;R79,[1]_enum!$A:$D,4,FALSE),"-")</f>
        <v>2</v>
      </c>
      <c r="T79" s="110" t="s">
        <v>629</v>
      </c>
      <c r="U79" s="115">
        <f>IFERROR(IF(S79=0,INDEX([1]ShipSlot!$A:$A,MATCH(T79,[1]ShipSlot!$C:$C,0)),IF(S79=1,INDEX([1]CEquip!$A:$A,MATCH(T79,[1]CEquip!$B:$B,0)), INDEX([1]Item!$A:$A,MATCH(T79,[1]Item!$B:$B,0)))), "-")</f>
        <v>23550005</v>
      </c>
      <c r="V79" s="94">
        <v>10</v>
      </c>
      <c r="W79" s="82" t="s">
        <v>466</v>
      </c>
      <c r="X79" s="11">
        <f>IFERROR(VLOOKUP(W$8&amp;W79,[1]_enum!$A:$D,4,FALSE),"-")</f>
        <v>2</v>
      </c>
      <c r="Y79" s="110" t="s">
        <v>474</v>
      </c>
      <c r="Z79" s="115">
        <f>IFERROR(IF(X79=0,INDEX([1]ShipSlot!$A:$A,MATCH(Y79,[1]ShipSlot!$C:$C,0)),IF(X79=1,INDEX([1]CEquip!$A:$A,MATCH(Y79,[1]CEquip!$B:$B,0)), INDEX([1]Item!$A:$A,MATCH(Y79,[1]Item!$B:$B,0)))), "-")</f>
        <v>23550007</v>
      </c>
      <c r="AA79" s="94">
        <v>100</v>
      </c>
      <c r="AB79" s="82"/>
      <c r="AC79" s="11" t="str">
        <f>IFERROR(VLOOKUP(AB$8&amp;AB79,[1]_enum!$A:$D,4,FALSE),"-")</f>
        <v>-</v>
      </c>
      <c r="AD79" s="110"/>
      <c r="AE79" s="115" t="str">
        <f>IFERROR(IF(AC79=0,INDEX([1]ShipSlot!$A:$A,MATCH(AD79,[1]ShipSlot!$C:$C,0)),IF(AC79=1,INDEX([1]CEquip!$A:$A,MATCH(AD79,[1]CEquip!$B:$B,0)), INDEX([1]Item!$A:$A,MATCH(AD79,[1]Item!$B:$B,0)))), "-")</f>
        <v>-</v>
      </c>
      <c r="AF79" s="94" t="s">
        <v>18</v>
      </c>
      <c r="AG79" s="82"/>
      <c r="AH79" s="11" t="str">
        <f>IFERROR(VLOOKUP(AG$8&amp;AG79,[1]_enum!$A:$D,4,FALSE),"-")</f>
        <v>-</v>
      </c>
      <c r="AI79" s="110"/>
      <c r="AJ79" s="115" t="str">
        <f>IFERROR(IF(AH79=0,INDEX([1]ShipSlot!$A:$A,MATCH(AI79,[1]ShipSlot!$C:$C,0)),IF(AH79=1,INDEX([1]CEquip!$A:$A,MATCH(AI79,[1]CEquip!$B:$B,0)), INDEX([1]Item!$A:$A,MATCH(AI79,[1]Item!$B:$B,0)))), "-")</f>
        <v>-</v>
      </c>
      <c r="AK79" s="94" t="s">
        <v>18</v>
      </c>
    </row>
    <row r="80" spans="1:37" x14ac:dyDescent="0.2">
      <c r="A80" s="116">
        <v>2515</v>
      </c>
      <c r="B80" s="82" t="s">
        <v>465</v>
      </c>
      <c r="C80" s="11">
        <f>IFERROR(VLOOKUP(B$8&amp;B80,[1]_enum!$A:$D,4,FALSE),"-")</f>
        <v>1</v>
      </c>
      <c r="D80" s="89" t="s">
        <v>552</v>
      </c>
      <c r="E80" s="115">
        <f>IFERROR(IF(C80=0,INDEX([1]ShipSlot!$A:$A,MATCH(D80,[1]ShipSlot!$C:$C,0)),IF(C80=1,INDEX([1]CEquip!$A:$A,MATCH(D80,[1]CEquip!$B:$B,0)), INDEX([1]Item!$A:$A,MATCH(D80,[1]Item!$B:$B,0)))), "-")</f>
        <v>22273009</v>
      </c>
      <c r="F80" s="82" t="s">
        <v>538</v>
      </c>
      <c r="G80" s="82" t="s">
        <v>519</v>
      </c>
      <c r="H80" s="81">
        <v>21600</v>
      </c>
      <c r="I80" s="81">
        <v>4</v>
      </c>
      <c r="J80" s="82" t="s">
        <v>593</v>
      </c>
      <c r="K80" s="81">
        <f>IFERROR(VLOOKUP(J$8&amp;J80,[1]_enum!$A:$D,4,FALSE),"-")</f>
        <v>0</v>
      </c>
      <c r="L80" s="81">
        <v>100</v>
      </c>
      <c r="M80" s="81">
        <v>250</v>
      </c>
      <c r="N80" s="81">
        <v>1111111</v>
      </c>
      <c r="O80" s="83" t="s">
        <v>450</v>
      </c>
      <c r="P80" s="84">
        <f>IFERROR(INDEX([1]Point!$A:$A,MATCH(O80,[1]Point!$B:$B,0),1),"-")</f>
        <v>100001</v>
      </c>
      <c r="Q80" s="81">
        <v>600000</v>
      </c>
      <c r="R80" s="82" t="s">
        <v>466</v>
      </c>
      <c r="S80" s="11">
        <f>IFERROR(VLOOKUP(R$8&amp;R80,[1]_enum!$A:$D,4,FALSE),"-")</f>
        <v>2</v>
      </c>
      <c r="T80" s="89" t="s">
        <v>629</v>
      </c>
      <c r="U80" s="115">
        <f>IFERROR(IF(S80=0,INDEX([1]ShipSlot!$A:$A,MATCH(T80,[1]ShipSlot!$C:$C,0)),IF(S80=1,INDEX([1]CEquip!$A:$A,MATCH(T80,[1]CEquip!$B:$B,0)), INDEX([1]Item!$A:$A,MATCH(T80,[1]Item!$B:$B,0)))), "-")</f>
        <v>23550005</v>
      </c>
      <c r="V80" s="94">
        <v>10</v>
      </c>
      <c r="W80" s="82" t="s">
        <v>466</v>
      </c>
      <c r="X80" s="11">
        <f>IFERROR(VLOOKUP(W$8&amp;W80,[1]_enum!$A:$D,4,FALSE),"-")</f>
        <v>2</v>
      </c>
      <c r="Y80" s="110" t="s">
        <v>474</v>
      </c>
      <c r="Z80" s="115">
        <f>IFERROR(IF(X80=0,INDEX([1]ShipSlot!$A:$A,MATCH(Y80,[1]ShipSlot!$C:$C,0)),IF(X80=1,INDEX([1]CEquip!$A:$A,MATCH(Y80,[1]CEquip!$B:$B,0)), INDEX([1]Item!$A:$A,MATCH(Y80,[1]Item!$B:$B,0)))), "-")</f>
        <v>23550007</v>
      </c>
      <c r="AA80" s="94">
        <v>100</v>
      </c>
      <c r="AB80" s="82"/>
      <c r="AC80" s="11" t="str">
        <f>IFERROR(VLOOKUP(AB$8&amp;AB80,[1]_enum!$A:$D,4,FALSE),"-")</f>
        <v>-</v>
      </c>
      <c r="AD80" s="110"/>
      <c r="AE80" s="115" t="str">
        <f>IFERROR(IF(AC80=0,INDEX([1]ShipSlot!$A:$A,MATCH(AD80,[1]ShipSlot!$C:$C,0)),IF(AC80=1,INDEX([1]CEquip!$A:$A,MATCH(AD80,[1]CEquip!$B:$B,0)), INDEX([1]Item!$A:$A,MATCH(AD80,[1]Item!$B:$B,0)))), "-")</f>
        <v>-</v>
      </c>
      <c r="AF80" s="94" t="s">
        <v>18</v>
      </c>
      <c r="AG80" s="82"/>
      <c r="AH80" s="11" t="str">
        <f>IFERROR(VLOOKUP(AG$8&amp;AG80,[1]_enum!$A:$D,4,FALSE),"-")</f>
        <v>-</v>
      </c>
      <c r="AI80" s="110"/>
      <c r="AJ80" s="115" t="str">
        <f>IFERROR(IF(AH80=0,INDEX([1]ShipSlot!$A:$A,MATCH(AI80,[1]ShipSlot!$C:$C,0)),IF(AH80=1,INDEX([1]CEquip!$A:$A,MATCH(AI80,[1]CEquip!$B:$B,0)), INDEX([1]Item!$A:$A,MATCH(AI80,[1]Item!$B:$B,0)))), "-")</f>
        <v>-</v>
      </c>
      <c r="AK80" s="94" t="s">
        <v>18</v>
      </c>
    </row>
    <row r="81" spans="1:37" x14ac:dyDescent="0.2">
      <c r="A81" s="116">
        <v>2516</v>
      </c>
      <c r="B81" s="82" t="s">
        <v>465</v>
      </c>
      <c r="C81" s="11">
        <f>IFERROR(VLOOKUP(B$8&amp;B81,[1]_enum!$A:$D,4,FALSE),"-")</f>
        <v>1</v>
      </c>
      <c r="D81" s="83" t="s">
        <v>553</v>
      </c>
      <c r="E81" s="115">
        <f>IFERROR(IF(C81=0,INDEX([1]ShipSlot!$A:$A,MATCH(D81,[1]ShipSlot!$C:$C,0)),IF(C81=1,INDEX([1]CEquip!$A:$A,MATCH(D81,[1]CEquip!$B:$B,0)), INDEX([1]Item!$A:$A,MATCH(D81,[1]Item!$B:$B,0)))), "-")</f>
        <v>22373013</v>
      </c>
      <c r="F81" s="82" t="s">
        <v>539</v>
      </c>
      <c r="G81" s="82" t="s">
        <v>519</v>
      </c>
      <c r="H81" s="81">
        <v>21600</v>
      </c>
      <c r="I81" s="81">
        <v>4</v>
      </c>
      <c r="J81" s="82" t="s">
        <v>593</v>
      </c>
      <c r="K81" s="81">
        <f>IFERROR(VLOOKUP(J$8&amp;J81,[1]_enum!$A:$D,4,FALSE),"-")</f>
        <v>0</v>
      </c>
      <c r="L81" s="81">
        <v>100</v>
      </c>
      <c r="M81" s="81">
        <v>250</v>
      </c>
      <c r="N81" s="81">
        <v>1111111</v>
      </c>
      <c r="O81" s="83" t="s">
        <v>450</v>
      </c>
      <c r="P81" s="84">
        <f>IFERROR(INDEX([1]Point!$A:$A,MATCH(O81,[1]Point!$B:$B,0),1),"-")</f>
        <v>100001</v>
      </c>
      <c r="Q81" s="81">
        <v>600000</v>
      </c>
      <c r="R81" s="82" t="s">
        <v>466</v>
      </c>
      <c r="S81" s="11">
        <f>IFERROR(VLOOKUP(R$8&amp;R81,[1]_enum!$A:$D,4,FALSE),"-")</f>
        <v>2</v>
      </c>
      <c r="T81" s="89" t="s">
        <v>629</v>
      </c>
      <c r="U81" s="115">
        <f>IFERROR(IF(S81=0,INDEX([1]ShipSlot!$A:$A,MATCH(T81,[1]ShipSlot!$C:$C,0)),IF(S81=1,INDEX([1]CEquip!$A:$A,MATCH(T81,[1]CEquip!$B:$B,0)), INDEX([1]Item!$A:$A,MATCH(T81,[1]Item!$B:$B,0)))), "-")</f>
        <v>23550005</v>
      </c>
      <c r="V81" s="94">
        <v>10</v>
      </c>
      <c r="W81" s="82" t="s">
        <v>466</v>
      </c>
      <c r="X81" s="11">
        <f>IFERROR(VLOOKUP(W$8&amp;W81,[1]_enum!$A:$D,4,FALSE),"-")</f>
        <v>2</v>
      </c>
      <c r="Y81" s="110" t="s">
        <v>475</v>
      </c>
      <c r="Z81" s="115">
        <f>IFERROR(IF(X81=0,INDEX([1]ShipSlot!$A:$A,MATCH(Y81,[1]ShipSlot!$C:$C,0)),IF(X81=1,INDEX([1]CEquip!$A:$A,MATCH(Y81,[1]CEquip!$B:$B,0)), INDEX([1]Item!$A:$A,MATCH(Y81,[1]Item!$B:$B,0)))), "-")</f>
        <v>23550008</v>
      </c>
      <c r="AA81" s="94">
        <v>100</v>
      </c>
      <c r="AB81" s="82"/>
      <c r="AC81" s="11" t="str">
        <f>IFERROR(VLOOKUP(AB$8&amp;AB81,[1]_enum!$A:$D,4,FALSE),"-")</f>
        <v>-</v>
      </c>
      <c r="AD81" s="110"/>
      <c r="AE81" s="115" t="str">
        <f>IFERROR(IF(AC81=0,INDEX([1]ShipSlot!$A:$A,MATCH(AD81,[1]ShipSlot!$C:$C,0)),IF(AC81=1,INDEX([1]CEquip!$A:$A,MATCH(AD81,[1]CEquip!$B:$B,0)), INDEX([1]Item!$A:$A,MATCH(AD81,[1]Item!$B:$B,0)))), "-")</f>
        <v>-</v>
      </c>
      <c r="AF81" s="94" t="s">
        <v>18</v>
      </c>
      <c r="AG81" s="82"/>
      <c r="AH81" s="11" t="str">
        <f>IFERROR(VLOOKUP(AG$8&amp;AG81,[1]_enum!$A:$D,4,FALSE),"-")</f>
        <v>-</v>
      </c>
      <c r="AI81" s="110"/>
      <c r="AJ81" s="115" t="str">
        <f>IFERROR(IF(AH81=0,INDEX([1]ShipSlot!$A:$A,MATCH(AI81,[1]ShipSlot!$C:$C,0)),IF(AH81=1,INDEX([1]CEquip!$A:$A,MATCH(AI81,[1]CEquip!$B:$B,0)), INDEX([1]Item!$A:$A,MATCH(AI81,[1]Item!$B:$B,0)))), "-")</f>
        <v>-</v>
      </c>
      <c r="AK81" s="94" t="s">
        <v>18</v>
      </c>
    </row>
    <row r="82" spans="1:37" x14ac:dyDescent="0.2">
      <c r="A82" s="116">
        <v>2517</v>
      </c>
      <c r="B82" s="82" t="s">
        <v>465</v>
      </c>
      <c r="C82" s="11">
        <f>IFERROR(VLOOKUP(B$8&amp;B82,[1]_enum!$A:$D,4,FALSE),"-")</f>
        <v>1</v>
      </c>
      <c r="D82" s="83" t="s">
        <v>554</v>
      </c>
      <c r="E82" s="115">
        <f>IFERROR(IF(C82=0,INDEX([1]ShipSlot!$A:$A,MATCH(D82,[1]ShipSlot!$C:$C,0)),IF(C82=1,INDEX([1]CEquip!$A:$A,MATCH(D82,[1]CEquip!$B:$B,0)), INDEX([1]Item!$A:$A,MATCH(D82,[1]Item!$B:$B,0)))), "-")</f>
        <v>22373015</v>
      </c>
      <c r="F82" s="82" t="s">
        <v>539</v>
      </c>
      <c r="G82" s="82" t="s">
        <v>519</v>
      </c>
      <c r="H82" s="81">
        <v>21600</v>
      </c>
      <c r="I82" s="81">
        <v>4</v>
      </c>
      <c r="J82" s="82" t="s">
        <v>593</v>
      </c>
      <c r="K82" s="81">
        <f>IFERROR(VLOOKUP(J$8&amp;J82,[1]_enum!$A:$D,4,FALSE),"-")</f>
        <v>0</v>
      </c>
      <c r="L82" s="81">
        <v>100</v>
      </c>
      <c r="M82" s="81">
        <v>250</v>
      </c>
      <c r="N82" s="81">
        <v>1111111</v>
      </c>
      <c r="O82" s="83" t="s">
        <v>450</v>
      </c>
      <c r="P82" s="84">
        <f>IFERROR(INDEX([1]Point!$A:$A,MATCH(O82,[1]Point!$B:$B,0),1),"-")</f>
        <v>100001</v>
      </c>
      <c r="Q82" s="81">
        <v>600000</v>
      </c>
      <c r="R82" s="82" t="s">
        <v>466</v>
      </c>
      <c r="S82" s="11">
        <f>IFERROR(VLOOKUP(R$8&amp;R82,[1]_enum!$A:$D,4,FALSE),"-")</f>
        <v>2</v>
      </c>
      <c r="T82" s="89" t="s">
        <v>629</v>
      </c>
      <c r="U82" s="115">
        <f>IFERROR(IF(S82=0,INDEX([1]ShipSlot!$A:$A,MATCH(T82,[1]ShipSlot!$C:$C,0)),IF(S82=1,INDEX([1]CEquip!$A:$A,MATCH(T82,[1]CEquip!$B:$B,0)), INDEX([1]Item!$A:$A,MATCH(T82,[1]Item!$B:$B,0)))), "-")</f>
        <v>23550005</v>
      </c>
      <c r="V82" s="94">
        <v>10</v>
      </c>
      <c r="W82" s="82" t="s">
        <v>466</v>
      </c>
      <c r="X82" s="11">
        <f>IFERROR(VLOOKUP(W$8&amp;W82,[1]_enum!$A:$D,4,FALSE),"-")</f>
        <v>2</v>
      </c>
      <c r="Y82" s="110" t="s">
        <v>475</v>
      </c>
      <c r="Z82" s="115">
        <f>IFERROR(IF(X82=0,INDEX([1]ShipSlot!$A:$A,MATCH(Y82,[1]ShipSlot!$C:$C,0)),IF(X82=1,INDEX([1]CEquip!$A:$A,MATCH(Y82,[1]CEquip!$B:$B,0)), INDEX([1]Item!$A:$A,MATCH(Y82,[1]Item!$B:$B,0)))), "-")</f>
        <v>23550008</v>
      </c>
      <c r="AA82" s="94">
        <v>100</v>
      </c>
      <c r="AB82" s="82"/>
      <c r="AC82" s="11" t="str">
        <f>IFERROR(VLOOKUP(AB$8&amp;AB82,[1]_enum!$A:$D,4,FALSE),"-")</f>
        <v>-</v>
      </c>
      <c r="AD82" s="110"/>
      <c r="AE82" s="115" t="str">
        <f>IFERROR(IF(AC82=0,INDEX([1]ShipSlot!$A:$A,MATCH(AD82,[1]ShipSlot!$C:$C,0)),IF(AC82=1,INDEX([1]CEquip!$A:$A,MATCH(AD82,[1]CEquip!$B:$B,0)), INDEX([1]Item!$A:$A,MATCH(AD82,[1]Item!$B:$B,0)))), "-")</f>
        <v>-</v>
      </c>
      <c r="AF82" s="94" t="s">
        <v>18</v>
      </c>
      <c r="AG82" s="82"/>
      <c r="AH82" s="11" t="str">
        <f>IFERROR(VLOOKUP(AG$8&amp;AG82,[1]_enum!$A:$D,4,FALSE),"-")</f>
        <v>-</v>
      </c>
      <c r="AI82" s="110"/>
      <c r="AJ82" s="115" t="str">
        <f>IFERROR(IF(AH82=0,INDEX([1]ShipSlot!$A:$A,MATCH(AI82,[1]ShipSlot!$C:$C,0)),IF(AH82=1,INDEX([1]CEquip!$A:$A,MATCH(AI82,[1]CEquip!$B:$B,0)), INDEX([1]Item!$A:$A,MATCH(AI82,[1]Item!$B:$B,0)))), "-")</f>
        <v>-</v>
      </c>
      <c r="AK82" s="94" t="s">
        <v>18</v>
      </c>
    </row>
    <row r="83" spans="1:37" x14ac:dyDescent="0.2">
      <c r="A83" s="116">
        <v>2518</v>
      </c>
      <c r="B83" s="82" t="s">
        <v>465</v>
      </c>
      <c r="C83" s="11">
        <f>IFERROR(VLOOKUP(B$8&amp;B83,[1]_enum!$A:$D,4,FALSE),"-")</f>
        <v>1</v>
      </c>
      <c r="D83" s="83" t="s">
        <v>555</v>
      </c>
      <c r="E83" s="115">
        <f>IFERROR(IF(C83=0,INDEX([1]ShipSlot!$A:$A,MATCH(D83,[1]ShipSlot!$C:$C,0)),IF(C83=1,INDEX([1]CEquip!$A:$A,MATCH(D83,[1]CEquip!$B:$B,0)), INDEX([1]Item!$A:$A,MATCH(D83,[1]Item!$B:$B,0)))), "-")</f>
        <v>22373017</v>
      </c>
      <c r="F83" s="82" t="s">
        <v>539</v>
      </c>
      <c r="G83" s="82" t="s">
        <v>519</v>
      </c>
      <c r="H83" s="81">
        <v>21600</v>
      </c>
      <c r="I83" s="81">
        <v>4</v>
      </c>
      <c r="J83" s="82" t="s">
        <v>593</v>
      </c>
      <c r="K83" s="81">
        <f>IFERROR(VLOOKUP(J$8&amp;J83,[1]_enum!$A:$D,4,FALSE),"-")</f>
        <v>0</v>
      </c>
      <c r="L83" s="81">
        <v>100</v>
      </c>
      <c r="M83" s="81">
        <v>250</v>
      </c>
      <c r="N83" s="81">
        <v>1111111</v>
      </c>
      <c r="O83" s="83" t="s">
        <v>450</v>
      </c>
      <c r="P83" s="84">
        <f>IFERROR(INDEX([1]Point!$A:$A,MATCH(O83,[1]Point!$B:$B,0),1),"-")</f>
        <v>100001</v>
      </c>
      <c r="Q83" s="81">
        <v>600000</v>
      </c>
      <c r="R83" s="82" t="s">
        <v>466</v>
      </c>
      <c r="S83" s="11">
        <f>IFERROR(VLOOKUP(R$8&amp;R83,[1]_enum!$A:$D,4,FALSE),"-")</f>
        <v>2</v>
      </c>
      <c r="T83" s="89" t="s">
        <v>629</v>
      </c>
      <c r="U83" s="115">
        <f>IFERROR(IF(S83=0,INDEX([1]ShipSlot!$A:$A,MATCH(T83,[1]ShipSlot!$C:$C,0)),IF(S83=1,INDEX([1]CEquip!$A:$A,MATCH(T83,[1]CEquip!$B:$B,0)), INDEX([1]Item!$A:$A,MATCH(T83,[1]Item!$B:$B,0)))), "-")</f>
        <v>23550005</v>
      </c>
      <c r="V83" s="94">
        <v>10</v>
      </c>
      <c r="W83" s="82" t="s">
        <v>466</v>
      </c>
      <c r="X83" s="11">
        <f>IFERROR(VLOOKUP(W$8&amp;W83,[1]_enum!$A:$D,4,FALSE),"-")</f>
        <v>2</v>
      </c>
      <c r="Y83" s="110" t="s">
        <v>475</v>
      </c>
      <c r="Z83" s="115">
        <f>IFERROR(IF(X83=0,INDEX([1]ShipSlot!$A:$A,MATCH(Y83,[1]ShipSlot!$C:$C,0)),IF(X83=1,INDEX([1]CEquip!$A:$A,MATCH(Y83,[1]CEquip!$B:$B,0)), INDEX([1]Item!$A:$A,MATCH(Y83,[1]Item!$B:$B,0)))), "-")</f>
        <v>23550008</v>
      </c>
      <c r="AA83" s="94">
        <v>100</v>
      </c>
      <c r="AB83" s="82"/>
      <c r="AC83" s="11" t="str">
        <f>IFERROR(VLOOKUP(AB$8&amp;AB83,[1]_enum!$A:$D,4,FALSE),"-")</f>
        <v>-</v>
      </c>
      <c r="AD83" s="110"/>
      <c r="AE83" s="115" t="str">
        <f>IFERROR(IF(AC83=0,INDEX([1]ShipSlot!$A:$A,MATCH(AD83,[1]ShipSlot!$C:$C,0)),IF(AC83=1,INDEX([1]CEquip!$A:$A,MATCH(AD83,[1]CEquip!$B:$B,0)), INDEX([1]Item!$A:$A,MATCH(AD83,[1]Item!$B:$B,0)))), "-")</f>
        <v>-</v>
      </c>
      <c r="AF83" s="94" t="s">
        <v>18</v>
      </c>
      <c r="AG83" s="82"/>
      <c r="AH83" s="11" t="str">
        <f>IFERROR(VLOOKUP(AG$8&amp;AG83,[1]_enum!$A:$D,4,FALSE),"-")</f>
        <v>-</v>
      </c>
      <c r="AI83" s="110"/>
      <c r="AJ83" s="115" t="str">
        <f>IFERROR(IF(AH83=0,INDEX([1]ShipSlot!$A:$A,MATCH(AI83,[1]ShipSlot!$C:$C,0)),IF(AH83=1,INDEX([1]CEquip!$A:$A,MATCH(AI83,[1]CEquip!$B:$B,0)), INDEX([1]Item!$A:$A,MATCH(AI83,[1]Item!$B:$B,0)))), "-")</f>
        <v>-</v>
      </c>
      <c r="AK83" s="94" t="s">
        <v>18</v>
      </c>
    </row>
    <row r="84" spans="1:37" x14ac:dyDescent="0.2">
      <c r="A84" s="116">
        <v>2519</v>
      </c>
      <c r="B84" s="82" t="s">
        <v>465</v>
      </c>
      <c r="C84" s="11">
        <f>IFERROR(VLOOKUP(B$8&amp;B84,[1]_enum!$A:$D,4,FALSE),"-")</f>
        <v>1</v>
      </c>
      <c r="D84" s="83" t="s">
        <v>567</v>
      </c>
      <c r="E84" s="115">
        <f>IFERROR(IF(C84=0,INDEX([1]ShipSlot!$A:$A,MATCH(D84,[1]ShipSlot!$C:$C,0)),IF(C84=1,INDEX([1]CEquip!$A:$A,MATCH(D84,[1]CEquip!$B:$B,0)), INDEX([1]Item!$A:$A,MATCH(D84,[1]Item!$B:$B,0)))), "-")</f>
        <v>22473007</v>
      </c>
      <c r="F84" s="82" t="s">
        <v>564</v>
      </c>
      <c r="G84" s="82" t="s">
        <v>519</v>
      </c>
      <c r="H84" s="81">
        <v>21600</v>
      </c>
      <c r="I84" s="81">
        <v>4</v>
      </c>
      <c r="J84" s="82" t="s">
        <v>593</v>
      </c>
      <c r="K84" s="81">
        <f>IFERROR(VLOOKUP(J$8&amp;J84,[1]_enum!$A:$D,4,FALSE),"-")</f>
        <v>0</v>
      </c>
      <c r="L84" s="81">
        <v>100</v>
      </c>
      <c r="M84" s="81">
        <v>250</v>
      </c>
      <c r="N84" s="81">
        <v>1111111</v>
      </c>
      <c r="O84" s="83" t="s">
        <v>450</v>
      </c>
      <c r="P84" s="84">
        <f>IFERROR(INDEX([1]Point!$A:$A,MATCH(O84,[1]Point!$B:$B,0),1),"-")</f>
        <v>100001</v>
      </c>
      <c r="Q84" s="81">
        <v>600000</v>
      </c>
      <c r="R84" s="82" t="s">
        <v>466</v>
      </c>
      <c r="S84" s="11">
        <f>IFERROR(VLOOKUP(R$8&amp;R84,[1]_enum!$A:$D,4,FALSE),"-")</f>
        <v>2</v>
      </c>
      <c r="T84" s="89" t="s">
        <v>629</v>
      </c>
      <c r="U84" s="115">
        <f>IFERROR(IF(S84=0,INDEX([1]ShipSlot!$A:$A,MATCH(T84,[1]ShipSlot!$C:$C,0)),IF(S84=1,INDEX([1]CEquip!$A:$A,MATCH(T84,[1]CEquip!$B:$B,0)), INDEX([1]Item!$A:$A,MATCH(T84,[1]Item!$B:$B,0)))), "-")</f>
        <v>23550005</v>
      </c>
      <c r="V84" s="94">
        <v>10</v>
      </c>
      <c r="W84" s="82" t="s">
        <v>466</v>
      </c>
      <c r="X84" s="11">
        <f>IFERROR(VLOOKUP(W$8&amp;W84,[1]_enum!$A:$D,4,FALSE),"-")</f>
        <v>2</v>
      </c>
      <c r="Y84" s="110" t="s">
        <v>473</v>
      </c>
      <c r="Z84" s="115">
        <f>IFERROR(IF(X84=0,INDEX([1]ShipSlot!$A:$A,MATCH(Y84,[1]ShipSlot!$C:$C,0)),IF(X84=1,INDEX([1]CEquip!$A:$A,MATCH(Y84,[1]CEquip!$B:$B,0)), INDEX([1]Item!$A:$A,MATCH(Y84,[1]Item!$B:$B,0)))), "-")</f>
        <v>23550006</v>
      </c>
      <c r="AA84" s="94">
        <v>100</v>
      </c>
      <c r="AB84" s="82"/>
      <c r="AC84" s="11" t="str">
        <f>IFERROR(VLOOKUP(AB$8&amp;AB84,[1]_enum!$A:$D,4,FALSE),"-")</f>
        <v>-</v>
      </c>
      <c r="AD84" s="110"/>
      <c r="AE84" s="115" t="str">
        <f>IFERROR(IF(AC84=0,INDEX([1]ShipSlot!$A:$A,MATCH(AD84,[1]ShipSlot!$C:$C,0)),IF(AC84=1,INDEX([1]CEquip!$A:$A,MATCH(AD84,[1]CEquip!$B:$B,0)), INDEX([1]Item!$A:$A,MATCH(AD84,[1]Item!$B:$B,0)))), "-")</f>
        <v>-</v>
      </c>
      <c r="AF84" s="94" t="s">
        <v>18</v>
      </c>
      <c r="AG84" s="82"/>
      <c r="AH84" s="11" t="str">
        <f>IFERROR(VLOOKUP(AG$8&amp;AG84,[1]_enum!$A:$D,4,FALSE),"-")</f>
        <v>-</v>
      </c>
      <c r="AI84" s="110"/>
      <c r="AJ84" s="115" t="str">
        <f>IFERROR(IF(AH84=0,INDEX([1]ShipSlot!$A:$A,MATCH(AI84,[1]ShipSlot!$C:$C,0)),IF(AH84=1,INDEX([1]CEquip!$A:$A,MATCH(AI84,[1]CEquip!$B:$B,0)), INDEX([1]Item!$A:$A,MATCH(AI84,[1]Item!$B:$B,0)))), "-")</f>
        <v>-</v>
      </c>
      <c r="AK84" s="94" t="s">
        <v>18</v>
      </c>
    </row>
    <row r="85" spans="1:37" x14ac:dyDescent="0.2">
      <c r="A85" s="116">
        <v>2520</v>
      </c>
      <c r="B85" s="82" t="s">
        <v>465</v>
      </c>
      <c r="C85" s="11">
        <f>IFERROR(VLOOKUP(B$8&amp;B85,[1]_enum!$A:$D,4,FALSE),"-")</f>
        <v>1</v>
      </c>
      <c r="D85" s="89" t="s">
        <v>556</v>
      </c>
      <c r="E85" s="115">
        <f>IFERROR(IF(C85=0,INDEX([1]ShipSlot!$A:$A,MATCH(D85,[1]ShipSlot!$C:$C,0)),IF(C85=1,INDEX([1]CEquip!$A:$A,MATCH(D85,[1]CEquip!$B:$B,0)), INDEX([1]Item!$A:$A,MATCH(D85,[1]Item!$B:$B,0)))), "-")</f>
        <v>22473008</v>
      </c>
      <c r="F85" s="82" t="s">
        <v>564</v>
      </c>
      <c r="G85" s="82" t="s">
        <v>519</v>
      </c>
      <c r="H85" s="81">
        <v>21600</v>
      </c>
      <c r="I85" s="81">
        <v>4</v>
      </c>
      <c r="J85" s="82" t="s">
        <v>593</v>
      </c>
      <c r="K85" s="81">
        <f>IFERROR(VLOOKUP(J$8&amp;J85,[1]_enum!$A:$D,4,FALSE),"-")</f>
        <v>0</v>
      </c>
      <c r="L85" s="81">
        <v>100</v>
      </c>
      <c r="M85" s="81">
        <v>250</v>
      </c>
      <c r="N85" s="81">
        <v>1111111</v>
      </c>
      <c r="O85" s="83" t="s">
        <v>450</v>
      </c>
      <c r="P85" s="84">
        <f>IFERROR(INDEX([1]Point!$A:$A,MATCH(O85,[1]Point!$B:$B,0),1),"-")</f>
        <v>100001</v>
      </c>
      <c r="Q85" s="81">
        <v>600000</v>
      </c>
      <c r="R85" s="82" t="s">
        <v>466</v>
      </c>
      <c r="S85" s="11">
        <f>IFERROR(VLOOKUP(R$8&amp;R85,[1]_enum!$A:$D,4,FALSE),"-")</f>
        <v>2</v>
      </c>
      <c r="T85" s="89" t="s">
        <v>629</v>
      </c>
      <c r="U85" s="115">
        <f>IFERROR(IF(S85=0,INDEX([1]ShipSlot!$A:$A,MATCH(T85,[1]ShipSlot!$C:$C,0)),IF(S85=1,INDEX([1]CEquip!$A:$A,MATCH(T85,[1]CEquip!$B:$B,0)), INDEX([1]Item!$A:$A,MATCH(T85,[1]Item!$B:$B,0)))), "-")</f>
        <v>23550005</v>
      </c>
      <c r="V85" s="94">
        <v>10</v>
      </c>
      <c r="W85" s="82" t="s">
        <v>466</v>
      </c>
      <c r="X85" s="11">
        <f>IFERROR(VLOOKUP(W$8&amp;W85,[1]_enum!$A:$D,4,FALSE),"-")</f>
        <v>2</v>
      </c>
      <c r="Y85" s="110" t="s">
        <v>473</v>
      </c>
      <c r="Z85" s="115">
        <f>IFERROR(IF(X85=0,INDEX([1]ShipSlot!$A:$A,MATCH(Y85,[1]ShipSlot!$C:$C,0)),IF(X85=1,INDEX([1]CEquip!$A:$A,MATCH(Y85,[1]CEquip!$B:$B,0)), INDEX([1]Item!$A:$A,MATCH(Y85,[1]Item!$B:$B,0)))), "-")</f>
        <v>23550006</v>
      </c>
      <c r="AA85" s="94">
        <v>100</v>
      </c>
      <c r="AB85" s="82"/>
      <c r="AC85" s="11" t="str">
        <f>IFERROR(VLOOKUP(AB$8&amp;AB85,[1]_enum!$A:$D,4,FALSE),"-")</f>
        <v>-</v>
      </c>
      <c r="AD85" s="110"/>
      <c r="AE85" s="115" t="str">
        <f>IFERROR(IF(AC85=0,INDEX([1]ShipSlot!$A:$A,MATCH(AD85,[1]ShipSlot!$C:$C,0)),IF(AC85=1,INDEX([1]CEquip!$A:$A,MATCH(AD85,[1]CEquip!$B:$B,0)), INDEX([1]Item!$A:$A,MATCH(AD85,[1]Item!$B:$B,0)))), "-")</f>
        <v>-</v>
      </c>
      <c r="AF85" s="94" t="s">
        <v>18</v>
      </c>
      <c r="AG85" s="82"/>
      <c r="AH85" s="11" t="str">
        <f>IFERROR(VLOOKUP(AG$8&amp;AG85,[1]_enum!$A:$D,4,FALSE),"-")</f>
        <v>-</v>
      </c>
      <c r="AI85" s="110"/>
      <c r="AJ85" s="115" t="str">
        <f>IFERROR(IF(AH85=0,INDEX([1]ShipSlot!$A:$A,MATCH(AI85,[1]ShipSlot!$C:$C,0)),IF(AH85=1,INDEX([1]CEquip!$A:$A,MATCH(AI85,[1]CEquip!$B:$B,0)), INDEX([1]Item!$A:$A,MATCH(AI85,[1]Item!$B:$B,0)))), "-")</f>
        <v>-</v>
      </c>
      <c r="AK85" s="94" t="s">
        <v>18</v>
      </c>
    </row>
    <row r="86" spans="1:37" x14ac:dyDescent="0.2">
      <c r="A86" s="116">
        <v>2521</v>
      </c>
      <c r="B86" s="82" t="s">
        <v>465</v>
      </c>
      <c r="C86" s="11">
        <f>IFERROR(VLOOKUP(B$8&amp;B86,[1]_enum!$A:$D,4,FALSE),"-")</f>
        <v>1</v>
      </c>
      <c r="D86" s="89" t="s">
        <v>557</v>
      </c>
      <c r="E86" s="115">
        <f>IFERROR(IF(C86=0,INDEX([1]ShipSlot!$A:$A,MATCH(D86,[1]ShipSlot!$C:$C,0)),IF(C86=1,INDEX([1]CEquip!$A:$A,MATCH(D86,[1]CEquip!$B:$B,0)), INDEX([1]Item!$A:$A,MATCH(D86,[1]Item!$B:$B,0)))), "-")</f>
        <v>22473009</v>
      </c>
      <c r="F86" s="82" t="s">
        <v>564</v>
      </c>
      <c r="G86" s="82" t="s">
        <v>519</v>
      </c>
      <c r="H86" s="81">
        <v>21600</v>
      </c>
      <c r="I86" s="81">
        <v>4</v>
      </c>
      <c r="J86" s="82" t="s">
        <v>593</v>
      </c>
      <c r="K86" s="81">
        <f>IFERROR(VLOOKUP(J$8&amp;J86,[1]_enum!$A:$D,4,FALSE),"-")</f>
        <v>0</v>
      </c>
      <c r="L86" s="81">
        <v>100</v>
      </c>
      <c r="M86" s="81">
        <v>250</v>
      </c>
      <c r="N86" s="81">
        <v>1111111</v>
      </c>
      <c r="O86" s="83" t="s">
        <v>450</v>
      </c>
      <c r="P86" s="84">
        <f>IFERROR(INDEX([1]Point!$A:$A,MATCH(O86,[1]Point!$B:$B,0),1),"-")</f>
        <v>100001</v>
      </c>
      <c r="Q86" s="81">
        <v>600000</v>
      </c>
      <c r="R86" s="82" t="s">
        <v>466</v>
      </c>
      <c r="S86" s="11">
        <f>IFERROR(VLOOKUP(R$8&amp;R86,[1]_enum!$A:$D,4,FALSE),"-")</f>
        <v>2</v>
      </c>
      <c r="T86" s="110" t="s">
        <v>629</v>
      </c>
      <c r="U86" s="115">
        <f>IFERROR(IF(S86=0,INDEX([1]ShipSlot!$A:$A,MATCH(T86,[1]ShipSlot!$C:$C,0)),IF(S86=1,INDEX([1]CEquip!$A:$A,MATCH(T86,[1]CEquip!$B:$B,0)), INDEX([1]Item!$A:$A,MATCH(T86,[1]Item!$B:$B,0)))), "-")</f>
        <v>23550005</v>
      </c>
      <c r="V86" s="94">
        <v>10</v>
      </c>
      <c r="W86" s="82" t="s">
        <v>466</v>
      </c>
      <c r="X86" s="11">
        <f>IFERROR(VLOOKUP(W$8&amp;W86,[1]_enum!$A:$D,4,FALSE),"-")</f>
        <v>2</v>
      </c>
      <c r="Y86" s="110" t="s">
        <v>473</v>
      </c>
      <c r="Z86" s="115">
        <f>IFERROR(IF(X86=0,INDEX([1]ShipSlot!$A:$A,MATCH(Y86,[1]ShipSlot!$C:$C,0)),IF(X86=1,INDEX([1]CEquip!$A:$A,MATCH(Y86,[1]CEquip!$B:$B,0)), INDEX([1]Item!$A:$A,MATCH(Y86,[1]Item!$B:$B,0)))), "-")</f>
        <v>23550006</v>
      </c>
      <c r="AA86" s="94">
        <v>100</v>
      </c>
      <c r="AB86" s="82"/>
      <c r="AC86" s="11" t="str">
        <f>IFERROR(VLOOKUP(AB$8&amp;AB86,[1]_enum!$A:$D,4,FALSE),"-")</f>
        <v>-</v>
      </c>
      <c r="AD86" s="110"/>
      <c r="AE86" s="115" t="str">
        <f>IFERROR(IF(AC86=0,INDEX([1]ShipSlot!$A:$A,MATCH(AD86,[1]ShipSlot!$C:$C,0)),IF(AC86=1,INDEX([1]CEquip!$A:$A,MATCH(AD86,[1]CEquip!$B:$B,0)), INDEX([1]Item!$A:$A,MATCH(AD86,[1]Item!$B:$B,0)))), "-")</f>
        <v>-</v>
      </c>
      <c r="AF86" s="94" t="s">
        <v>18</v>
      </c>
      <c r="AG86" s="82"/>
      <c r="AH86" s="11" t="str">
        <f>IFERROR(VLOOKUP(AG$8&amp;AG86,[1]_enum!$A:$D,4,FALSE),"-")</f>
        <v>-</v>
      </c>
      <c r="AI86" s="110"/>
      <c r="AJ86" s="115" t="str">
        <f>IFERROR(IF(AH86=0,INDEX([1]ShipSlot!$A:$A,MATCH(AI86,[1]ShipSlot!$C:$C,0)),IF(AH86=1,INDEX([1]CEquip!$A:$A,MATCH(AI86,[1]CEquip!$B:$B,0)), INDEX([1]Item!$A:$A,MATCH(AI86,[1]Item!$B:$B,0)))), "-")</f>
        <v>-</v>
      </c>
      <c r="AK86" s="94" t="s">
        <v>18</v>
      </c>
    </row>
    <row r="87" spans="1:37" x14ac:dyDescent="0.2">
      <c r="A87" s="116">
        <v>2522</v>
      </c>
      <c r="B87" s="82" t="s">
        <v>465</v>
      </c>
      <c r="C87" s="11">
        <f>IFERROR(VLOOKUP(B$8&amp;B87,[1]_enum!$A:$D,4,FALSE),"-")</f>
        <v>1</v>
      </c>
      <c r="D87" s="89" t="s">
        <v>558</v>
      </c>
      <c r="E87" s="115">
        <f>IFERROR(IF(C87=0,INDEX([1]ShipSlot!$A:$A,MATCH(D87,[1]ShipSlot!$C:$C,0)),IF(C87=1,INDEX([1]CEquip!$A:$A,MATCH(D87,[1]CEquip!$B:$B,0)), INDEX([1]Item!$A:$A,MATCH(D87,[1]Item!$B:$B,0)))), "-")</f>
        <v>22573001</v>
      </c>
      <c r="F87" s="82" t="s">
        <v>565</v>
      </c>
      <c r="G87" s="82" t="s">
        <v>519</v>
      </c>
      <c r="H87" s="81">
        <v>21600</v>
      </c>
      <c r="I87" s="81">
        <v>4</v>
      </c>
      <c r="J87" s="82" t="s">
        <v>593</v>
      </c>
      <c r="K87" s="81">
        <f>IFERROR(VLOOKUP(J$8&amp;J87,[1]_enum!$A:$D,4,FALSE),"-")</f>
        <v>0</v>
      </c>
      <c r="L87" s="81">
        <v>100</v>
      </c>
      <c r="M87" s="81">
        <v>250</v>
      </c>
      <c r="N87" s="81">
        <v>1111111</v>
      </c>
      <c r="O87" s="83" t="s">
        <v>450</v>
      </c>
      <c r="P87" s="84">
        <f>IFERROR(INDEX([1]Point!$A:$A,MATCH(O87,[1]Point!$B:$B,0),1),"-")</f>
        <v>100001</v>
      </c>
      <c r="Q87" s="81">
        <v>600000</v>
      </c>
      <c r="R87" s="82" t="s">
        <v>466</v>
      </c>
      <c r="S87" s="11">
        <f>IFERROR(VLOOKUP(R$8&amp;R87,[1]_enum!$A:$D,4,FALSE),"-")</f>
        <v>2</v>
      </c>
      <c r="T87" s="89" t="s">
        <v>629</v>
      </c>
      <c r="U87" s="115">
        <f>IFERROR(IF(S87=0,INDEX([1]ShipSlot!$A:$A,MATCH(T87,[1]ShipSlot!$C:$C,0)),IF(S87=1,INDEX([1]CEquip!$A:$A,MATCH(T87,[1]CEquip!$B:$B,0)), INDEX([1]Item!$A:$A,MATCH(T87,[1]Item!$B:$B,0)))), "-")</f>
        <v>23550005</v>
      </c>
      <c r="V87" s="94">
        <v>10</v>
      </c>
      <c r="W87" s="82" t="s">
        <v>466</v>
      </c>
      <c r="X87" s="11">
        <f>IFERROR(VLOOKUP(W$8&amp;W87,[1]_enum!$A:$D,4,FALSE),"-")</f>
        <v>2</v>
      </c>
      <c r="Y87" s="110" t="s">
        <v>474</v>
      </c>
      <c r="Z87" s="115">
        <f>IFERROR(IF(X87=0,INDEX([1]ShipSlot!$A:$A,MATCH(Y87,[1]ShipSlot!$C:$C,0)),IF(X87=1,INDEX([1]CEquip!$A:$A,MATCH(Y87,[1]CEquip!$B:$B,0)), INDEX([1]Item!$A:$A,MATCH(Y87,[1]Item!$B:$B,0)))), "-")</f>
        <v>23550007</v>
      </c>
      <c r="AA87" s="94">
        <v>100</v>
      </c>
      <c r="AB87" s="82"/>
      <c r="AC87" s="11" t="str">
        <f>IFERROR(VLOOKUP(AB$8&amp;AB87,[1]_enum!$A:$D,4,FALSE),"-")</f>
        <v>-</v>
      </c>
      <c r="AD87" s="110"/>
      <c r="AE87" s="115" t="str">
        <f>IFERROR(IF(AC87=0,INDEX([1]ShipSlot!$A:$A,MATCH(AD87,[1]ShipSlot!$C:$C,0)),IF(AC87=1,INDEX([1]CEquip!$A:$A,MATCH(AD87,[1]CEquip!$B:$B,0)), INDEX([1]Item!$A:$A,MATCH(AD87,[1]Item!$B:$B,0)))), "-")</f>
        <v>-</v>
      </c>
      <c r="AF87" s="94" t="s">
        <v>18</v>
      </c>
      <c r="AG87" s="82"/>
      <c r="AH87" s="11" t="str">
        <f>IFERROR(VLOOKUP(AG$8&amp;AG87,[1]_enum!$A:$D,4,FALSE),"-")</f>
        <v>-</v>
      </c>
      <c r="AI87" s="110"/>
      <c r="AJ87" s="115" t="str">
        <f>IFERROR(IF(AH87=0,INDEX([1]ShipSlot!$A:$A,MATCH(AI87,[1]ShipSlot!$C:$C,0)),IF(AH87=1,INDEX([1]CEquip!$A:$A,MATCH(AI87,[1]CEquip!$B:$B,0)), INDEX([1]Item!$A:$A,MATCH(AI87,[1]Item!$B:$B,0)))), "-")</f>
        <v>-</v>
      </c>
      <c r="AK87" s="94" t="s">
        <v>18</v>
      </c>
    </row>
    <row r="88" spans="1:37" x14ac:dyDescent="0.2">
      <c r="A88" s="116">
        <v>2523</v>
      </c>
      <c r="B88" s="82" t="s">
        <v>465</v>
      </c>
      <c r="C88" s="11">
        <f>IFERROR(VLOOKUP(B$8&amp;B88,[1]_enum!$A:$D,4,FALSE),"-")</f>
        <v>1</v>
      </c>
      <c r="D88" s="83" t="s">
        <v>559</v>
      </c>
      <c r="E88" s="115">
        <f>IFERROR(IF(C88=0,INDEX([1]ShipSlot!$A:$A,MATCH(D88,[1]ShipSlot!$C:$C,0)),IF(C88=1,INDEX([1]CEquip!$A:$A,MATCH(D88,[1]CEquip!$B:$B,0)), INDEX([1]Item!$A:$A,MATCH(D88,[1]Item!$B:$B,0)))), "-")</f>
        <v>22573002</v>
      </c>
      <c r="F88" s="82" t="s">
        <v>565</v>
      </c>
      <c r="G88" s="82" t="s">
        <v>519</v>
      </c>
      <c r="H88" s="81">
        <v>21600</v>
      </c>
      <c r="I88" s="81">
        <v>4</v>
      </c>
      <c r="J88" s="82" t="s">
        <v>593</v>
      </c>
      <c r="K88" s="81">
        <f>IFERROR(VLOOKUP(J$8&amp;J88,[1]_enum!$A:$D,4,FALSE),"-")</f>
        <v>0</v>
      </c>
      <c r="L88" s="81">
        <v>100</v>
      </c>
      <c r="M88" s="81">
        <v>250</v>
      </c>
      <c r="N88" s="81">
        <v>1111111</v>
      </c>
      <c r="O88" s="83" t="s">
        <v>450</v>
      </c>
      <c r="P88" s="84">
        <f>IFERROR(INDEX([1]Point!$A:$A,MATCH(O88,[1]Point!$B:$B,0),1),"-")</f>
        <v>100001</v>
      </c>
      <c r="Q88" s="81">
        <v>600000</v>
      </c>
      <c r="R88" s="82" t="s">
        <v>466</v>
      </c>
      <c r="S88" s="11">
        <f>IFERROR(VLOOKUP(R$8&amp;R88,[1]_enum!$A:$D,4,FALSE),"-")</f>
        <v>2</v>
      </c>
      <c r="T88" s="89" t="s">
        <v>629</v>
      </c>
      <c r="U88" s="115">
        <f>IFERROR(IF(S88=0,INDEX([1]ShipSlot!$A:$A,MATCH(T88,[1]ShipSlot!$C:$C,0)),IF(S88=1,INDEX([1]CEquip!$A:$A,MATCH(T88,[1]CEquip!$B:$B,0)), INDEX([1]Item!$A:$A,MATCH(T88,[1]Item!$B:$B,0)))), "-")</f>
        <v>23550005</v>
      </c>
      <c r="V88" s="94">
        <v>10</v>
      </c>
      <c r="W88" s="82" t="s">
        <v>466</v>
      </c>
      <c r="X88" s="11">
        <f>IFERROR(VLOOKUP(W$8&amp;W88,[1]_enum!$A:$D,4,FALSE),"-")</f>
        <v>2</v>
      </c>
      <c r="Y88" s="110" t="s">
        <v>474</v>
      </c>
      <c r="Z88" s="115">
        <f>IFERROR(IF(X88=0,INDEX([1]ShipSlot!$A:$A,MATCH(Y88,[1]ShipSlot!$C:$C,0)),IF(X88=1,INDEX([1]CEquip!$A:$A,MATCH(Y88,[1]CEquip!$B:$B,0)), INDEX([1]Item!$A:$A,MATCH(Y88,[1]Item!$B:$B,0)))), "-")</f>
        <v>23550007</v>
      </c>
      <c r="AA88" s="94">
        <v>100</v>
      </c>
      <c r="AB88" s="82"/>
      <c r="AC88" s="11" t="str">
        <f>IFERROR(VLOOKUP(AB$8&amp;AB88,[1]_enum!$A:$D,4,FALSE),"-")</f>
        <v>-</v>
      </c>
      <c r="AD88" s="110"/>
      <c r="AE88" s="115" t="str">
        <f>IFERROR(IF(AC88=0,INDEX([1]ShipSlot!$A:$A,MATCH(AD88,[1]ShipSlot!$C:$C,0)),IF(AC88=1,INDEX([1]CEquip!$A:$A,MATCH(AD88,[1]CEquip!$B:$B,0)), INDEX([1]Item!$A:$A,MATCH(AD88,[1]Item!$B:$B,0)))), "-")</f>
        <v>-</v>
      </c>
      <c r="AF88" s="94" t="s">
        <v>18</v>
      </c>
      <c r="AG88" s="82"/>
      <c r="AH88" s="11" t="str">
        <f>IFERROR(VLOOKUP(AG$8&amp;AG88,[1]_enum!$A:$D,4,FALSE),"-")</f>
        <v>-</v>
      </c>
      <c r="AI88" s="110"/>
      <c r="AJ88" s="115" t="str">
        <f>IFERROR(IF(AH88=0,INDEX([1]ShipSlot!$A:$A,MATCH(AI88,[1]ShipSlot!$C:$C,0)),IF(AH88=1,INDEX([1]CEquip!$A:$A,MATCH(AI88,[1]CEquip!$B:$B,0)), INDEX([1]Item!$A:$A,MATCH(AI88,[1]Item!$B:$B,0)))), "-")</f>
        <v>-</v>
      </c>
      <c r="AK88" s="94" t="s">
        <v>18</v>
      </c>
    </row>
    <row r="89" spans="1:37" x14ac:dyDescent="0.2">
      <c r="A89" s="116">
        <v>2524</v>
      </c>
      <c r="B89" s="82" t="s">
        <v>465</v>
      </c>
      <c r="C89" s="11">
        <f>IFERROR(VLOOKUP(B$8&amp;B89,[1]_enum!$A:$D,4,FALSE),"-")</f>
        <v>1</v>
      </c>
      <c r="D89" s="83" t="s">
        <v>560</v>
      </c>
      <c r="E89" s="115">
        <f>IFERROR(IF(C89=0,INDEX([1]ShipSlot!$A:$A,MATCH(D89,[1]ShipSlot!$C:$C,0)),IF(C89=1,INDEX([1]CEquip!$A:$A,MATCH(D89,[1]CEquip!$B:$B,0)), INDEX([1]Item!$A:$A,MATCH(D89,[1]Item!$B:$B,0)))), "-")</f>
        <v>22573003</v>
      </c>
      <c r="F89" s="82" t="s">
        <v>565</v>
      </c>
      <c r="G89" s="82" t="s">
        <v>519</v>
      </c>
      <c r="H89" s="81">
        <v>21600</v>
      </c>
      <c r="I89" s="81">
        <v>4</v>
      </c>
      <c r="J89" s="82" t="s">
        <v>593</v>
      </c>
      <c r="K89" s="81">
        <f>IFERROR(VLOOKUP(J$8&amp;J89,[1]_enum!$A:$D,4,FALSE),"-")</f>
        <v>0</v>
      </c>
      <c r="L89" s="81">
        <v>100</v>
      </c>
      <c r="M89" s="81">
        <v>250</v>
      </c>
      <c r="N89" s="81">
        <v>1111111</v>
      </c>
      <c r="O89" s="83" t="s">
        <v>450</v>
      </c>
      <c r="P89" s="84">
        <f>IFERROR(INDEX([1]Point!$A:$A,MATCH(O89,[1]Point!$B:$B,0),1),"-")</f>
        <v>100001</v>
      </c>
      <c r="Q89" s="81">
        <v>600000</v>
      </c>
      <c r="R89" s="82" t="s">
        <v>466</v>
      </c>
      <c r="S89" s="11">
        <f>IFERROR(VLOOKUP(R$8&amp;R89,[1]_enum!$A:$D,4,FALSE),"-")</f>
        <v>2</v>
      </c>
      <c r="T89" s="89" t="s">
        <v>629</v>
      </c>
      <c r="U89" s="115">
        <f>IFERROR(IF(S89=0,INDEX([1]ShipSlot!$A:$A,MATCH(T89,[1]ShipSlot!$C:$C,0)),IF(S89=1,INDEX([1]CEquip!$A:$A,MATCH(T89,[1]CEquip!$B:$B,0)), INDEX([1]Item!$A:$A,MATCH(T89,[1]Item!$B:$B,0)))), "-")</f>
        <v>23550005</v>
      </c>
      <c r="V89" s="94">
        <v>10</v>
      </c>
      <c r="W89" s="82" t="s">
        <v>466</v>
      </c>
      <c r="X89" s="11">
        <f>IFERROR(VLOOKUP(W$8&amp;W89,[1]_enum!$A:$D,4,FALSE),"-")</f>
        <v>2</v>
      </c>
      <c r="Y89" s="110" t="s">
        <v>474</v>
      </c>
      <c r="Z89" s="115">
        <f>IFERROR(IF(X89=0,INDEX([1]ShipSlot!$A:$A,MATCH(Y89,[1]ShipSlot!$C:$C,0)),IF(X89=1,INDEX([1]CEquip!$A:$A,MATCH(Y89,[1]CEquip!$B:$B,0)), INDEX([1]Item!$A:$A,MATCH(Y89,[1]Item!$B:$B,0)))), "-")</f>
        <v>23550007</v>
      </c>
      <c r="AA89" s="94">
        <v>100</v>
      </c>
      <c r="AB89" s="82"/>
      <c r="AC89" s="11" t="str">
        <f>IFERROR(VLOOKUP(AB$8&amp;AB89,[1]_enum!$A:$D,4,FALSE),"-")</f>
        <v>-</v>
      </c>
      <c r="AD89" s="110"/>
      <c r="AE89" s="115" t="str">
        <f>IFERROR(IF(AC89=0,INDEX([1]ShipSlot!$A:$A,MATCH(AD89,[1]ShipSlot!$C:$C,0)),IF(AC89=1,INDEX([1]CEquip!$A:$A,MATCH(AD89,[1]CEquip!$B:$B,0)), INDEX([1]Item!$A:$A,MATCH(AD89,[1]Item!$B:$B,0)))), "-")</f>
        <v>-</v>
      </c>
      <c r="AF89" s="94" t="s">
        <v>18</v>
      </c>
      <c r="AG89" s="82"/>
      <c r="AH89" s="11" t="str">
        <f>IFERROR(VLOOKUP(AG$8&amp;AG89,[1]_enum!$A:$D,4,FALSE),"-")</f>
        <v>-</v>
      </c>
      <c r="AI89" s="110"/>
      <c r="AJ89" s="115" t="str">
        <f>IFERROR(IF(AH89=0,INDEX([1]ShipSlot!$A:$A,MATCH(AI89,[1]ShipSlot!$C:$C,0)),IF(AH89=1,INDEX([1]CEquip!$A:$A,MATCH(AI89,[1]CEquip!$B:$B,0)), INDEX([1]Item!$A:$A,MATCH(AI89,[1]Item!$B:$B,0)))), "-")</f>
        <v>-</v>
      </c>
      <c r="AK89" s="94" t="s">
        <v>18</v>
      </c>
    </row>
    <row r="90" spans="1:37" x14ac:dyDescent="0.2">
      <c r="A90" s="116">
        <v>2525</v>
      </c>
      <c r="B90" s="82" t="s">
        <v>465</v>
      </c>
      <c r="C90" s="11">
        <f>IFERROR(VLOOKUP(B$8&amp;B90,[1]_enum!$A:$D,4,FALSE),"-")</f>
        <v>1</v>
      </c>
      <c r="D90" s="83" t="s">
        <v>561</v>
      </c>
      <c r="E90" s="115">
        <f>IFERROR(IF(C90=0,INDEX([1]ShipSlot!$A:$A,MATCH(D90,[1]ShipSlot!$C:$C,0)),IF(C90=1,INDEX([1]CEquip!$A:$A,MATCH(D90,[1]CEquip!$B:$B,0)), INDEX([1]Item!$A:$A,MATCH(D90,[1]Item!$B:$B,0)))), "-")</f>
        <v>22673007</v>
      </c>
      <c r="F90" s="82" t="s">
        <v>566</v>
      </c>
      <c r="G90" s="82" t="s">
        <v>519</v>
      </c>
      <c r="H90" s="81">
        <v>21600</v>
      </c>
      <c r="I90" s="81">
        <v>4</v>
      </c>
      <c r="J90" s="82" t="s">
        <v>593</v>
      </c>
      <c r="K90" s="81">
        <f>IFERROR(VLOOKUP(J$8&amp;J90,[1]_enum!$A:$D,4,FALSE),"-")</f>
        <v>0</v>
      </c>
      <c r="L90" s="81">
        <v>100</v>
      </c>
      <c r="M90" s="81">
        <v>250</v>
      </c>
      <c r="N90" s="81">
        <v>1111111</v>
      </c>
      <c r="O90" s="83" t="s">
        <v>450</v>
      </c>
      <c r="P90" s="84">
        <f>IFERROR(INDEX([1]Point!$A:$A,MATCH(O90,[1]Point!$B:$B,0),1),"-")</f>
        <v>100001</v>
      </c>
      <c r="Q90" s="81">
        <v>600000</v>
      </c>
      <c r="R90" s="82" t="s">
        <v>466</v>
      </c>
      <c r="S90" s="11">
        <f>IFERROR(VLOOKUP(R$8&amp;R90,[1]_enum!$A:$D,4,FALSE),"-")</f>
        <v>2</v>
      </c>
      <c r="T90" s="89" t="s">
        <v>629</v>
      </c>
      <c r="U90" s="115">
        <f>IFERROR(IF(S90=0,INDEX([1]ShipSlot!$A:$A,MATCH(T90,[1]ShipSlot!$C:$C,0)),IF(S90=1,INDEX([1]CEquip!$A:$A,MATCH(T90,[1]CEquip!$B:$B,0)), INDEX([1]Item!$A:$A,MATCH(T90,[1]Item!$B:$B,0)))), "-")</f>
        <v>23550005</v>
      </c>
      <c r="V90" s="94">
        <v>10</v>
      </c>
      <c r="W90" s="82" t="s">
        <v>466</v>
      </c>
      <c r="X90" s="11">
        <f>IFERROR(VLOOKUP(W$8&amp;W90,[1]_enum!$A:$D,4,FALSE),"-")</f>
        <v>2</v>
      </c>
      <c r="Y90" s="110" t="s">
        <v>475</v>
      </c>
      <c r="Z90" s="115">
        <f>IFERROR(IF(X90=0,INDEX([1]ShipSlot!$A:$A,MATCH(Y90,[1]ShipSlot!$C:$C,0)),IF(X90=1,INDEX([1]CEquip!$A:$A,MATCH(Y90,[1]CEquip!$B:$B,0)), INDEX([1]Item!$A:$A,MATCH(Y90,[1]Item!$B:$B,0)))), "-")</f>
        <v>23550008</v>
      </c>
      <c r="AA90" s="94">
        <v>100</v>
      </c>
      <c r="AB90" s="82"/>
      <c r="AC90" s="11" t="str">
        <f>IFERROR(VLOOKUP(AB$8&amp;AB90,[1]_enum!$A:$D,4,FALSE),"-")</f>
        <v>-</v>
      </c>
      <c r="AD90" s="110"/>
      <c r="AE90" s="115" t="str">
        <f>IFERROR(IF(AC90=0,INDEX([1]ShipSlot!$A:$A,MATCH(AD90,[1]ShipSlot!$C:$C,0)),IF(AC90=1,INDEX([1]CEquip!$A:$A,MATCH(AD90,[1]CEquip!$B:$B,0)), INDEX([1]Item!$A:$A,MATCH(AD90,[1]Item!$B:$B,0)))), "-")</f>
        <v>-</v>
      </c>
      <c r="AF90" s="94" t="s">
        <v>18</v>
      </c>
      <c r="AG90" s="82"/>
      <c r="AH90" s="11" t="str">
        <f>IFERROR(VLOOKUP(AG$8&amp;AG90,[1]_enum!$A:$D,4,FALSE),"-")</f>
        <v>-</v>
      </c>
      <c r="AI90" s="110"/>
      <c r="AJ90" s="115" t="str">
        <f>IFERROR(IF(AH90=0,INDEX([1]ShipSlot!$A:$A,MATCH(AI90,[1]ShipSlot!$C:$C,0)),IF(AH90=1,INDEX([1]CEquip!$A:$A,MATCH(AI90,[1]CEquip!$B:$B,0)), INDEX([1]Item!$A:$A,MATCH(AI90,[1]Item!$B:$B,0)))), "-")</f>
        <v>-</v>
      </c>
      <c r="AK90" s="94" t="s">
        <v>18</v>
      </c>
    </row>
    <row r="91" spans="1:37" x14ac:dyDescent="0.2">
      <c r="A91" s="116">
        <v>2526</v>
      </c>
      <c r="B91" s="82" t="s">
        <v>465</v>
      </c>
      <c r="C91" s="11">
        <f>IFERROR(VLOOKUP(B$8&amp;B91,[1]_enum!$A:$D,4,FALSE),"-")</f>
        <v>1</v>
      </c>
      <c r="D91" s="83" t="s">
        <v>562</v>
      </c>
      <c r="E91" s="115">
        <f>IFERROR(IF(C91=0,INDEX([1]ShipSlot!$A:$A,MATCH(D91,[1]ShipSlot!$C:$C,0)),IF(C91=1,INDEX([1]CEquip!$A:$A,MATCH(D91,[1]CEquip!$B:$B,0)), INDEX([1]Item!$A:$A,MATCH(D91,[1]Item!$B:$B,0)))), "-")</f>
        <v>22673008</v>
      </c>
      <c r="F91" s="82" t="s">
        <v>566</v>
      </c>
      <c r="G91" s="82" t="s">
        <v>519</v>
      </c>
      <c r="H91" s="81">
        <v>21600</v>
      </c>
      <c r="I91" s="81">
        <v>4</v>
      </c>
      <c r="J91" s="82" t="s">
        <v>593</v>
      </c>
      <c r="K91" s="81">
        <f>IFERROR(VLOOKUP(J$8&amp;J91,[1]_enum!$A:$D,4,FALSE),"-")</f>
        <v>0</v>
      </c>
      <c r="L91" s="81">
        <v>100</v>
      </c>
      <c r="M91" s="81">
        <v>250</v>
      </c>
      <c r="N91" s="81">
        <v>1111111</v>
      </c>
      <c r="O91" s="83" t="s">
        <v>450</v>
      </c>
      <c r="P91" s="84">
        <f>IFERROR(INDEX([1]Point!$A:$A,MATCH(O91,[1]Point!$B:$B,0),1),"-")</f>
        <v>100001</v>
      </c>
      <c r="Q91" s="81">
        <v>600000</v>
      </c>
      <c r="R91" s="82" t="s">
        <v>466</v>
      </c>
      <c r="S91" s="11">
        <f>IFERROR(VLOOKUP(R$8&amp;R91,[1]_enum!$A:$D,4,FALSE),"-")</f>
        <v>2</v>
      </c>
      <c r="T91" s="89" t="s">
        <v>629</v>
      </c>
      <c r="U91" s="115">
        <f>IFERROR(IF(S91=0,INDEX([1]ShipSlot!$A:$A,MATCH(T91,[1]ShipSlot!$C:$C,0)),IF(S91=1,INDEX([1]CEquip!$A:$A,MATCH(T91,[1]CEquip!$B:$B,0)), INDEX([1]Item!$A:$A,MATCH(T91,[1]Item!$B:$B,0)))), "-")</f>
        <v>23550005</v>
      </c>
      <c r="V91" s="94">
        <v>10</v>
      </c>
      <c r="W91" s="82" t="s">
        <v>466</v>
      </c>
      <c r="X91" s="11">
        <f>IFERROR(VLOOKUP(W$8&amp;W91,[1]_enum!$A:$D,4,FALSE),"-")</f>
        <v>2</v>
      </c>
      <c r="Y91" s="110" t="s">
        <v>475</v>
      </c>
      <c r="Z91" s="115">
        <f>IFERROR(IF(X91=0,INDEX([1]ShipSlot!$A:$A,MATCH(Y91,[1]ShipSlot!$C:$C,0)),IF(X91=1,INDEX([1]CEquip!$A:$A,MATCH(Y91,[1]CEquip!$B:$B,0)), INDEX([1]Item!$A:$A,MATCH(Y91,[1]Item!$B:$B,0)))), "-")</f>
        <v>23550008</v>
      </c>
      <c r="AA91" s="94">
        <v>100</v>
      </c>
      <c r="AB91" s="82"/>
      <c r="AC91" s="11" t="str">
        <f>IFERROR(VLOOKUP(AB$8&amp;AB91,[1]_enum!$A:$D,4,FALSE),"-")</f>
        <v>-</v>
      </c>
      <c r="AD91" s="110"/>
      <c r="AE91" s="115" t="str">
        <f>IFERROR(IF(AC91=0,INDEX([1]ShipSlot!$A:$A,MATCH(AD91,[1]ShipSlot!$C:$C,0)),IF(AC91=1,INDEX([1]CEquip!$A:$A,MATCH(AD91,[1]CEquip!$B:$B,0)), INDEX([1]Item!$A:$A,MATCH(AD91,[1]Item!$B:$B,0)))), "-")</f>
        <v>-</v>
      </c>
      <c r="AF91" s="94" t="s">
        <v>18</v>
      </c>
      <c r="AG91" s="82"/>
      <c r="AH91" s="11" t="str">
        <f>IFERROR(VLOOKUP(AG$8&amp;AG91,[1]_enum!$A:$D,4,FALSE),"-")</f>
        <v>-</v>
      </c>
      <c r="AI91" s="110"/>
      <c r="AJ91" s="115" t="str">
        <f>IFERROR(IF(AH91=0,INDEX([1]ShipSlot!$A:$A,MATCH(AI91,[1]ShipSlot!$C:$C,0)),IF(AH91=1,INDEX([1]CEquip!$A:$A,MATCH(AI91,[1]CEquip!$B:$B,0)), INDEX([1]Item!$A:$A,MATCH(AI91,[1]Item!$B:$B,0)))), "-")</f>
        <v>-</v>
      </c>
      <c r="AK91" s="94" t="s">
        <v>18</v>
      </c>
    </row>
    <row r="92" spans="1:37" x14ac:dyDescent="0.2">
      <c r="A92" s="116">
        <v>2527</v>
      </c>
      <c r="B92" s="82" t="s">
        <v>465</v>
      </c>
      <c r="C92" s="11">
        <f>IFERROR(VLOOKUP(B$8&amp;B92,[1]_enum!$A:$D,4,FALSE),"-")</f>
        <v>1</v>
      </c>
      <c r="D92" s="89" t="s">
        <v>563</v>
      </c>
      <c r="E92" s="115">
        <f>IFERROR(IF(C92=0,INDEX([1]ShipSlot!$A:$A,MATCH(D92,[1]ShipSlot!$C:$C,0)),IF(C92=1,INDEX([1]CEquip!$A:$A,MATCH(D92,[1]CEquip!$B:$B,0)), INDEX([1]Item!$A:$A,MATCH(D92,[1]Item!$B:$B,0)))), "-")</f>
        <v>22673009</v>
      </c>
      <c r="F92" s="82" t="s">
        <v>566</v>
      </c>
      <c r="G92" s="82" t="s">
        <v>519</v>
      </c>
      <c r="H92" s="81">
        <v>21600</v>
      </c>
      <c r="I92" s="81">
        <v>4</v>
      </c>
      <c r="J92" s="82" t="s">
        <v>593</v>
      </c>
      <c r="K92" s="81">
        <f>IFERROR(VLOOKUP(J$8&amp;J92,[1]_enum!$A:$D,4,FALSE),"-")</f>
        <v>0</v>
      </c>
      <c r="L92" s="81">
        <v>100</v>
      </c>
      <c r="M92" s="81">
        <v>250</v>
      </c>
      <c r="N92" s="81">
        <v>1111111</v>
      </c>
      <c r="O92" s="83" t="s">
        <v>450</v>
      </c>
      <c r="P92" s="84">
        <f>IFERROR(INDEX([1]Point!$A:$A,MATCH(O92,[1]Point!$B:$B,0),1),"-")</f>
        <v>100001</v>
      </c>
      <c r="Q92" s="81">
        <v>600000</v>
      </c>
      <c r="R92" s="82" t="s">
        <v>466</v>
      </c>
      <c r="S92" s="11">
        <f>IFERROR(VLOOKUP(R$8&amp;R92,[1]_enum!$A:$D,4,FALSE),"-")</f>
        <v>2</v>
      </c>
      <c r="T92" s="89" t="s">
        <v>629</v>
      </c>
      <c r="U92" s="115">
        <f>IFERROR(IF(S92=0,INDEX([1]ShipSlot!$A:$A,MATCH(T92,[1]ShipSlot!$C:$C,0)),IF(S92=1,INDEX([1]CEquip!$A:$A,MATCH(T92,[1]CEquip!$B:$B,0)), INDEX([1]Item!$A:$A,MATCH(T92,[1]Item!$B:$B,0)))), "-")</f>
        <v>23550005</v>
      </c>
      <c r="V92" s="94">
        <v>10</v>
      </c>
      <c r="W92" s="82" t="s">
        <v>466</v>
      </c>
      <c r="X92" s="11">
        <f>IFERROR(VLOOKUP(W$8&amp;W92,[1]_enum!$A:$D,4,FALSE),"-")</f>
        <v>2</v>
      </c>
      <c r="Y92" s="110" t="s">
        <v>475</v>
      </c>
      <c r="Z92" s="115">
        <f>IFERROR(IF(X92=0,INDEX([1]ShipSlot!$A:$A,MATCH(Y92,[1]ShipSlot!$C:$C,0)),IF(X92=1,INDEX([1]CEquip!$A:$A,MATCH(Y92,[1]CEquip!$B:$B,0)), INDEX([1]Item!$A:$A,MATCH(Y92,[1]Item!$B:$B,0)))), "-")</f>
        <v>23550008</v>
      </c>
      <c r="AA92" s="94">
        <v>100</v>
      </c>
      <c r="AB92" s="82"/>
      <c r="AC92" s="11" t="str">
        <f>IFERROR(VLOOKUP(AB$8&amp;AB92,[1]_enum!$A:$D,4,FALSE),"-")</f>
        <v>-</v>
      </c>
      <c r="AD92" s="110"/>
      <c r="AE92" s="115" t="str">
        <f>IFERROR(IF(AC92=0,INDEX([1]ShipSlot!$A:$A,MATCH(AD92,[1]ShipSlot!$C:$C,0)),IF(AC92=1,INDEX([1]CEquip!$A:$A,MATCH(AD92,[1]CEquip!$B:$B,0)), INDEX([1]Item!$A:$A,MATCH(AD92,[1]Item!$B:$B,0)))), "-")</f>
        <v>-</v>
      </c>
      <c r="AF92" s="94" t="s">
        <v>18</v>
      </c>
      <c r="AG92" s="82"/>
      <c r="AH92" s="11" t="str">
        <f>IFERROR(VLOOKUP(AG$8&amp;AG92,[1]_enum!$A:$D,4,FALSE),"-")</f>
        <v>-</v>
      </c>
      <c r="AI92" s="110"/>
      <c r="AJ92" s="115" t="str">
        <f>IFERROR(IF(AH92=0,INDEX([1]ShipSlot!$A:$A,MATCH(AI92,[1]ShipSlot!$C:$C,0)),IF(AH92=1,INDEX([1]CEquip!$A:$A,MATCH(AI92,[1]CEquip!$B:$B,0)), INDEX([1]Item!$A:$A,MATCH(AI92,[1]Item!$B:$B,0)))), "-")</f>
        <v>-</v>
      </c>
      <c r="AK92" s="94" t="s">
        <v>18</v>
      </c>
    </row>
    <row r="93" spans="1:37" x14ac:dyDescent="0.2">
      <c r="A93" s="116">
        <v>2528</v>
      </c>
      <c r="B93" s="82" t="s">
        <v>465</v>
      </c>
      <c r="C93" s="11">
        <f>IFERROR(VLOOKUP(B$8&amp;B93,[1]_enum!$A:$D,4,FALSE),"-")</f>
        <v>1</v>
      </c>
      <c r="D93" s="89" t="s">
        <v>568</v>
      </c>
      <c r="E93" s="115">
        <f>IFERROR(IF(C93=0,INDEX([1]ShipSlot!$A:$A,MATCH(D93,[1]ShipSlot!$C:$C,0)),IF(C93=1,INDEX([1]CEquip!$A:$A,MATCH(D93,[1]CEquip!$B:$B,0)), INDEX([1]Item!$A:$A,MATCH(D93,[1]Item!$B:$B,0)))), "-")</f>
        <v>22174017</v>
      </c>
      <c r="F93" s="82" t="s">
        <v>537</v>
      </c>
      <c r="G93" s="82" t="s">
        <v>533</v>
      </c>
      <c r="H93" s="81">
        <v>86400</v>
      </c>
      <c r="I93" s="81">
        <v>7</v>
      </c>
      <c r="J93" s="82" t="s">
        <v>593</v>
      </c>
      <c r="K93" s="81">
        <f>IFERROR(VLOOKUP(J$8&amp;J93,[1]_enum!$A:$D,4,FALSE),"-")</f>
        <v>0</v>
      </c>
      <c r="L93" s="81">
        <v>100</v>
      </c>
      <c r="M93" s="81">
        <v>500</v>
      </c>
      <c r="N93" s="81">
        <v>1111111</v>
      </c>
      <c r="O93" s="83" t="s">
        <v>450</v>
      </c>
      <c r="P93" s="84">
        <f>IFERROR(INDEX([1]Point!$A:$A,MATCH(O93,[1]Point!$B:$B,0),1),"-")</f>
        <v>100001</v>
      </c>
      <c r="Q93" s="81">
        <v>5000000</v>
      </c>
      <c r="R93" s="82" t="s">
        <v>466</v>
      </c>
      <c r="S93" s="11">
        <f>IFERROR(VLOOKUP(R$8&amp;R93,[1]_enum!$A:$D,4,FALSE),"-")</f>
        <v>2</v>
      </c>
      <c r="T93" s="110" t="s">
        <v>632</v>
      </c>
      <c r="U93" s="115">
        <f>IFERROR(IF(S93=0,INDEX([1]ShipSlot!$A:$A,MATCH(T93,[1]ShipSlot!$C:$C,0)),IF(S93=1,INDEX([1]CEquip!$A:$A,MATCH(T93,[1]CEquip!$B:$B,0)), INDEX([1]Item!$A:$A,MATCH(T93,[1]Item!$B:$B,0)))), "-")</f>
        <v>23550009</v>
      </c>
      <c r="V93" s="94">
        <v>10</v>
      </c>
      <c r="W93" s="82" t="s">
        <v>466</v>
      </c>
      <c r="X93" s="11">
        <f>IFERROR(VLOOKUP(W$8&amp;W93,[1]_enum!$A:$D,4,FALSE),"-")</f>
        <v>2</v>
      </c>
      <c r="Y93" s="110" t="s">
        <v>479</v>
      </c>
      <c r="Z93" s="115">
        <f>IFERROR(IF(X93=0,INDEX([1]ShipSlot!$A:$A,MATCH(Y93,[1]ShipSlot!$C:$C,0)),IF(X93=1,INDEX([1]CEquip!$A:$A,MATCH(Y93,[1]CEquip!$B:$B,0)), INDEX([1]Item!$A:$A,MATCH(Y93,[1]Item!$B:$B,0)))), "-")</f>
        <v>23550010</v>
      </c>
      <c r="AA93" s="94">
        <v>100</v>
      </c>
      <c r="AB93" s="82"/>
      <c r="AC93" s="11" t="str">
        <f>IFERROR(VLOOKUP(AB$8&amp;AB93,[1]_enum!$A:$D,4,FALSE),"-")</f>
        <v>-</v>
      </c>
      <c r="AD93" s="110"/>
      <c r="AE93" s="115" t="str">
        <f>IFERROR(IF(AC93=0,INDEX([1]ShipSlot!$A:$A,MATCH(AD93,[1]ShipSlot!$C:$C,0)),IF(AC93=1,INDEX([1]CEquip!$A:$A,MATCH(AD93,[1]CEquip!$B:$B,0)), INDEX([1]Item!$A:$A,MATCH(AD93,[1]Item!$B:$B,0)))), "-")</f>
        <v>-</v>
      </c>
      <c r="AF93" s="94" t="s">
        <v>18</v>
      </c>
      <c r="AG93" s="82"/>
      <c r="AH93" s="11" t="str">
        <f>IFERROR(VLOOKUP(AG$8&amp;AG93,[1]_enum!$A:$D,4,FALSE),"-")</f>
        <v>-</v>
      </c>
      <c r="AI93" s="110"/>
      <c r="AJ93" s="115" t="str">
        <f>IFERROR(IF(AH93=0,INDEX([1]ShipSlot!$A:$A,MATCH(AI93,[1]ShipSlot!$C:$C,0)),IF(AH93=1,INDEX([1]CEquip!$A:$A,MATCH(AI93,[1]CEquip!$B:$B,0)), INDEX([1]Item!$A:$A,MATCH(AI93,[1]Item!$B:$B,0)))), "-")</f>
        <v>-</v>
      </c>
      <c r="AK93" s="94" t="s">
        <v>18</v>
      </c>
    </row>
    <row r="94" spans="1:37" x14ac:dyDescent="0.2">
      <c r="A94" s="116">
        <v>2529</v>
      </c>
      <c r="B94" s="82" t="s">
        <v>465</v>
      </c>
      <c r="C94" s="11">
        <f>IFERROR(VLOOKUP(B$8&amp;B94,[1]_enum!$A:$D,4,FALSE),"-")</f>
        <v>1</v>
      </c>
      <c r="D94" s="89" t="s">
        <v>569</v>
      </c>
      <c r="E94" s="115">
        <f>IFERROR(IF(C94=0,INDEX([1]ShipSlot!$A:$A,MATCH(D94,[1]ShipSlot!$C:$C,0)),IF(C94=1,INDEX([1]CEquip!$A:$A,MATCH(D94,[1]CEquip!$B:$B,0)), INDEX([1]Item!$A:$A,MATCH(D94,[1]Item!$B:$B,0)))), "-")</f>
        <v>22174018</v>
      </c>
      <c r="F94" s="82" t="s">
        <v>537</v>
      </c>
      <c r="G94" s="82" t="s">
        <v>533</v>
      </c>
      <c r="H94" s="81">
        <v>86400</v>
      </c>
      <c r="I94" s="81">
        <v>7</v>
      </c>
      <c r="J94" s="82" t="s">
        <v>593</v>
      </c>
      <c r="K94" s="81">
        <f>IFERROR(VLOOKUP(J$8&amp;J94,[1]_enum!$A:$D,4,FALSE),"-")</f>
        <v>0</v>
      </c>
      <c r="L94" s="81">
        <v>100</v>
      </c>
      <c r="M94" s="81">
        <v>500</v>
      </c>
      <c r="N94" s="81">
        <v>1111111</v>
      </c>
      <c r="O94" s="83" t="s">
        <v>450</v>
      </c>
      <c r="P94" s="84">
        <f>IFERROR(INDEX([1]Point!$A:$A,MATCH(O94,[1]Point!$B:$B,0),1),"-")</f>
        <v>100001</v>
      </c>
      <c r="Q94" s="81">
        <v>5000000</v>
      </c>
      <c r="R94" s="82" t="s">
        <v>466</v>
      </c>
      <c r="S94" s="11">
        <f>IFERROR(VLOOKUP(R$8&amp;R94,[1]_enum!$A:$D,4,FALSE),"-")</f>
        <v>2</v>
      </c>
      <c r="T94" s="89" t="s">
        <v>632</v>
      </c>
      <c r="U94" s="115">
        <f>IFERROR(IF(S94=0,INDEX([1]ShipSlot!$A:$A,MATCH(T94,[1]ShipSlot!$C:$C,0)),IF(S94=1,INDEX([1]CEquip!$A:$A,MATCH(T94,[1]CEquip!$B:$B,0)), INDEX([1]Item!$A:$A,MATCH(T94,[1]Item!$B:$B,0)))), "-")</f>
        <v>23550009</v>
      </c>
      <c r="V94" s="94">
        <v>10</v>
      </c>
      <c r="W94" s="82" t="s">
        <v>466</v>
      </c>
      <c r="X94" s="11">
        <f>IFERROR(VLOOKUP(W$8&amp;W94,[1]_enum!$A:$D,4,FALSE),"-")</f>
        <v>2</v>
      </c>
      <c r="Y94" s="110" t="s">
        <v>479</v>
      </c>
      <c r="Z94" s="115">
        <f>IFERROR(IF(X94=0,INDEX([1]ShipSlot!$A:$A,MATCH(Y94,[1]ShipSlot!$C:$C,0)),IF(X94=1,INDEX([1]CEquip!$A:$A,MATCH(Y94,[1]CEquip!$B:$B,0)), INDEX([1]Item!$A:$A,MATCH(Y94,[1]Item!$B:$B,0)))), "-")</f>
        <v>23550010</v>
      </c>
      <c r="AA94" s="94">
        <v>100</v>
      </c>
      <c r="AB94" s="82"/>
      <c r="AC94" s="11" t="str">
        <f>IFERROR(VLOOKUP(AB$8&amp;AB94,[1]_enum!$A:$D,4,FALSE),"-")</f>
        <v>-</v>
      </c>
      <c r="AD94" s="110"/>
      <c r="AE94" s="115" t="str">
        <f>IFERROR(IF(AC94=0,INDEX([1]ShipSlot!$A:$A,MATCH(AD94,[1]ShipSlot!$C:$C,0)),IF(AC94=1,INDEX([1]CEquip!$A:$A,MATCH(AD94,[1]CEquip!$B:$B,0)), INDEX([1]Item!$A:$A,MATCH(AD94,[1]Item!$B:$B,0)))), "-")</f>
        <v>-</v>
      </c>
      <c r="AF94" s="94" t="s">
        <v>18</v>
      </c>
      <c r="AG94" s="82"/>
      <c r="AH94" s="11" t="str">
        <f>IFERROR(VLOOKUP(AG$8&amp;AG94,[1]_enum!$A:$D,4,FALSE),"-")</f>
        <v>-</v>
      </c>
      <c r="AI94" s="110"/>
      <c r="AJ94" s="115" t="str">
        <f>IFERROR(IF(AH94=0,INDEX([1]ShipSlot!$A:$A,MATCH(AI94,[1]ShipSlot!$C:$C,0)),IF(AH94=1,INDEX([1]CEquip!$A:$A,MATCH(AI94,[1]CEquip!$B:$B,0)), INDEX([1]Item!$A:$A,MATCH(AI94,[1]Item!$B:$B,0)))), "-")</f>
        <v>-</v>
      </c>
      <c r="AK94" s="94" t="s">
        <v>18</v>
      </c>
    </row>
    <row r="95" spans="1:37" x14ac:dyDescent="0.2">
      <c r="A95" s="116">
        <v>2530</v>
      </c>
      <c r="B95" s="82" t="s">
        <v>465</v>
      </c>
      <c r="C95" s="11">
        <f>IFERROR(VLOOKUP(B$8&amp;B95,[1]_enum!$A:$D,4,FALSE),"-")</f>
        <v>1</v>
      </c>
      <c r="D95" s="83" t="s">
        <v>592</v>
      </c>
      <c r="E95" s="115">
        <f>IFERROR(IF(C95=0,INDEX([1]ShipSlot!$A:$A,MATCH(D95,[1]ShipSlot!$C:$C,0)),IF(C95=1,INDEX([1]CEquip!$A:$A,MATCH(D95,[1]CEquip!$B:$B,0)), INDEX([1]Item!$A:$A,MATCH(D95,[1]Item!$B:$B,0)))), "-")</f>
        <v>22174019</v>
      </c>
      <c r="F95" s="82" t="s">
        <v>537</v>
      </c>
      <c r="G95" s="82" t="s">
        <v>533</v>
      </c>
      <c r="H95" s="81">
        <v>86400</v>
      </c>
      <c r="I95" s="81">
        <v>7</v>
      </c>
      <c r="J95" s="82" t="s">
        <v>593</v>
      </c>
      <c r="K95" s="81">
        <f>IFERROR(VLOOKUP(J$8&amp;J95,[1]_enum!$A:$D,4,FALSE),"-")</f>
        <v>0</v>
      </c>
      <c r="L95" s="81">
        <v>100</v>
      </c>
      <c r="M95" s="81">
        <v>500</v>
      </c>
      <c r="N95" s="81">
        <v>1111111</v>
      </c>
      <c r="O95" s="83" t="s">
        <v>450</v>
      </c>
      <c r="P95" s="84">
        <f>IFERROR(INDEX([1]Point!$A:$A,MATCH(O95,[1]Point!$B:$B,0),1),"-")</f>
        <v>100001</v>
      </c>
      <c r="Q95" s="81">
        <v>5000000</v>
      </c>
      <c r="R95" s="82" t="s">
        <v>466</v>
      </c>
      <c r="S95" s="11">
        <f>IFERROR(VLOOKUP(R$8&amp;R95,[1]_enum!$A:$D,4,FALSE),"-")</f>
        <v>2</v>
      </c>
      <c r="T95" s="89" t="s">
        <v>632</v>
      </c>
      <c r="U95" s="115">
        <f>IFERROR(IF(S95=0,INDEX([1]ShipSlot!$A:$A,MATCH(T95,[1]ShipSlot!$C:$C,0)),IF(S95=1,INDEX([1]CEquip!$A:$A,MATCH(T95,[1]CEquip!$B:$B,0)), INDEX([1]Item!$A:$A,MATCH(T95,[1]Item!$B:$B,0)))), "-")</f>
        <v>23550009</v>
      </c>
      <c r="V95" s="94">
        <v>10</v>
      </c>
      <c r="W95" s="82" t="s">
        <v>466</v>
      </c>
      <c r="X95" s="11">
        <f>IFERROR(VLOOKUP(W$8&amp;W95,[1]_enum!$A:$D,4,FALSE),"-")</f>
        <v>2</v>
      </c>
      <c r="Y95" s="110" t="s">
        <v>479</v>
      </c>
      <c r="Z95" s="115">
        <f>IFERROR(IF(X95=0,INDEX([1]ShipSlot!$A:$A,MATCH(Y95,[1]ShipSlot!$C:$C,0)),IF(X95=1,INDEX([1]CEquip!$A:$A,MATCH(Y95,[1]CEquip!$B:$B,0)), INDEX([1]Item!$A:$A,MATCH(Y95,[1]Item!$B:$B,0)))), "-")</f>
        <v>23550010</v>
      </c>
      <c r="AA95" s="94">
        <v>100</v>
      </c>
      <c r="AB95" s="82"/>
      <c r="AC95" s="11" t="str">
        <f>IFERROR(VLOOKUP(AB$8&amp;AB95,[1]_enum!$A:$D,4,FALSE),"-")</f>
        <v>-</v>
      </c>
      <c r="AD95" s="110"/>
      <c r="AE95" s="115" t="str">
        <f>IFERROR(IF(AC95=0,INDEX([1]ShipSlot!$A:$A,MATCH(AD95,[1]ShipSlot!$C:$C,0)),IF(AC95=1,INDEX([1]CEquip!$A:$A,MATCH(AD95,[1]CEquip!$B:$B,0)), INDEX([1]Item!$A:$A,MATCH(AD95,[1]Item!$B:$B,0)))), "-")</f>
        <v>-</v>
      </c>
      <c r="AF95" s="94" t="s">
        <v>18</v>
      </c>
      <c r="AG95" s="82"/>
      <c r="AH95" s="11" t="str">
        <f>IFERROR(VLOOKUP(AG$8&amp;AG95,[1]_enum!$A:$D,4,FALSE),"-")</f>
        <v>-</v>
      </c>
      <c r="AI95" s="110"/>
      <c r="AJ95" s="115" t="str">
        <f>IFERROR(IF(AH95=0,INDEX([1]ShipSlot!$A:$A,MATCH(AI95,[1]ShipSlot!$C:$C,0)),IF(AH95=1,INDEX([1]CEquip!$A:$A,MATCH(AI95,[1]CEquip!$B:$B,0)), INDEX([1]Item!$A:$A,MATCH(AI95,[1]Item!$B:$B,0)))), "-")</f>
        <v>-</v>
      </c>
      <c r="AK95" s="94" t="s">
        <v>18</v>
      </c>
    </row>
    <row r="96" spans="1:37" x14ac:dyDescent="0.2">
      <c r="A96" s="116">
        <v>2531</v>
      </c>
      <c r="B96" s="82" t="s">
        <v>465</v>
      </c>
      <c r="C96" s="11">
        <f>IFERROR(VLOOKUP(B$8&amp;B96,[1]_enum!$A:$D,4,FALSE),"-")</f>
        <v>1</v>
      </c>
      <c r="D96" s="83" t="s">
        <v>570</v>
      </c>
      <c r="E96" s="115">
        <f>IFERROR(IF(C96=0,INDEX([1]ShipSlot!$A:$A,MATCH(D96,[1]ShipSlot!$C:$C,0)),IF(C96=1,INDEX([1]CEquip!$A:$A,MATCH(D96,[1]CEquip!$B:$B,0)), INDEX([1]Item!$A:$A,MATCH(D96,[1]Item!$B:$B,0)))), "-")</f>
        <v>22174020</v>
      </c>
      <c r="F96" s="82" t="s">
        <v>537</v>
      </c>
      <c r="G96" s="82" t="s">
        <v>533</v>
      </c>
      <c r="H96" s="81">
        <v>86400</v>
      </c>
      <c r="I96" s="81">
        <v>7</v>
      </c>
      <c r="J96" s="82" t="s">
        <v>593</v>
      </c>
      <c r="K96" s="81">
        <f>IFERROR(VLOOKUP(J$8&amp;J96,[1]_enum!$A:$D,4,FALSE),"-")</f>
        <v>0</v>
      </c>
      <c r="L96" s="81">
        <v>100</v>
      </c>
      <c r="M96" s="81">
        <v>500</v>
      </c>
      <c r="N96" s="81">
        <v>1111111</v>
      </c>
      <c r="O96" s="83" t="s">
        <v>450</v>
      </c>
      <c r="P96" s="84">
        <f>IFERROR(INDEX([1]Point!$A:$A,MATCH(O96,[1]Point!$B:$B,0),1),"-")</f>
        <v>100001</v>
      </c>
      <c r="Q96" s="81">
        <v>5000000</v>
      </c>
      <c r="R96" s="82" t="s">
        <v>466</v>
      </c>
      <c r="S96" s="11">
        <f>IFERROR(VLOOKUP(R$8&amp;R96,[1]_enum!$A:$D,4,FALSE),"-")</f>
        <v>2</v>
      </c>
      <c r="T96" s="89" t="s">
        <v>632</v>
      </c>
      <c r="U96" s="115">
        <f>IFERROR(IF(S96=0,INDEX([1]ShipSlot!$A:$A,MATCH(T96,[1]ShipSlot!$C:$C,0)),IF(S96=1,INDEX([1]CEquip!$A:$A,MATCH(T96,[1]CEquip!$B:$B,0)), INDEX([1]Item!$A:$A,MATCH(T96,[1]Item!$B:$B,0)))), "-")</f>
        <v>23550009</v>
      </c>
      <c r="V96" s="94">
        <v>10</v>
      </c>
      <c r="W96" s="82" t="s">
        <v>466</v>
      </c>
      <c r="X96" s="11">
        <f>IFERROR(VLOOKUP(W$8&amp;W96,[1]_enum!$A:$D,4,FALSE),"-")</f>
        <v>2</v>
      </c>
      <c r="Y96" s="110" t="s">
        <v>479</v>
      </c>
      <c r="Z96" s="115">
        <f>IFERROR(IF(X96=0,INDEX([1]ShipSlot!$A:$A,MATCH(Y96,[1]ShipSlot!$C:$C,0)),IF(X96=1,INDEX([1]CEquip!$A:$A,MATCH(Y96,[1]CEquip!$B:$B,0)), INDEX([1]Item!$A:$A,MATCH(Y96,[1]Item!$B:$B,0)))), "-")</f>
        <v>23550010</v>
      </c>
      <c r="AA96" s="94">
        <v>100</v>
      </c>
      <c r="AB96" s="82"/>
      <c r="AC96" s="11" t="str">
        <f>IFERROR(VLOOKUP(AB$8&amp;AB96,[1]_enum!$A:$D,4,FALSE),"-")</f>
        <v>-</v>
      </c>
      <c r="AD96" s="110"/>
      <c r="AE96" s="115" t="str">
        <f>IFERROR(IF(AC96=0,INDEX([1]ShipSlot!$A:$A,MATCH(AD96,[1]ShipSlot!$C:$C,0)),IF(AC96=1,INDEX([1]CEquip!$A:$A,MATCH(AD96,[1]CEquip!$B:$B,0)), INDEX([1]Item!$A:$A,MATCH(AD96,[1]Item!$B:$B,0)))), "-")</f>
        <v>-</v>
      </c>
      <c r="AF96" s="94" t="s">
        <v>18</v>
      </c>
      <c r="AG96" s="82"/>
      <c r="AH96" s="11" t="str">
        <f>IFERROR(VLOOKUP(AG$8&amp;AG96,[1]_enum!$A:$D,4,FALSE),"-")</f>
        <v>-</v>
      </c>
      <c r="AI96" s="110"/>
      <c r="AJ96" s="115" t="str">
        <f>IFERROR(IF(AH96=0,INDEX([1]ShipSlot!$A:$A,MATCH(AI96,[1]ShipSlot!$C:$C,0)),IF(AH96=1,INDEX([1]CEquip!$A:$A,MATCH(AI96,[1]CEquip!$B:$B,0)), INDEX([1]Item!$A:$A,MATCH(AI96,[1]Item!$B:$B,0)))), "-")</f>
        <v>-</v>
      </c>
      <c r="AK96" s="94" t="s">
        <v>18</v>
      </c>
    </row>
    <row r="97" spans="1:37" x14ac:dyDescent="0.2">
      <c r="A97" s="116">
        <v>2532</v>
      </c>
      <c r="B97" s="82" t="s">
        <v>465</v>
      </c>
      <c r="C97" s="11">
        <f>IFERROR(VLOOKUP(B$8&amp;B97,[1]_enum!$A:$D,4,FALSE),"-")</f>
        <v>1</v>
      </c>
      <c r="D97" s="83" t="s">
        <v>571</v>
      </c>
      <c r="E97" s="115">
        <f>IFERROR(IF(C97=0,INDEX([1]ShipSlot!$A:$A,MATCH(D97,[1]ShipSlot!$C:$C,0)),IF(C97=1,INDEX([1]CEquip!$A:$A,MATCH(D97,[1]CEquip!$B:$B,0)), INDEX([1]Item!$A:$A,MATCH(D97,[1]Item!$B:$B,0)))), "-")</f>
        <v>22174021</v>
      </c>
      <c r="F97" s="82" t="s">
        <v>537</v>
      </c>
      <c r="G97" s="82" t="s">
        <v>533</v>
      </c>
      <c r="H97" s="81">
        <v>86400</v>
      </c>
      <c r="I97" s="81">
        <v>7</v>
      </c>
      <c r="J97" s="82" t="s">
        <v>593</v>
      </c>
      <c r="K97" s="81">
        <f>IFERROR(VLOOKUP(J$8&amp;J97,[1]_enum!$A:$D,4,FALSE),"-")</f>
        <v>0</v>
      </c>
      <c r="L97" s="81">
        <v>100</v>
      </c>
      <c r="M97" s="81">
        <v>500</v>
      </c>
      <c r="N97" s="81">
        <v>1111111</v>
      </c>
      <c r="O97" s="83" t="s">
        <v>450</v>
      </c>
      <c r="P97" s="84">
        <f>IFERROR(INDEX([1]Point!$A:$A,MATCH(O97,[1]Point!$B:$B,0),1),"-")</f>
        <v>100001</v>
      </c>
      <c r="Q97" s="81">
        <v>5000000</v>
      </c>
      <c r="R97" s="82" t="s">
        <v>466</v>
      </c>
      <c r="S97" s="11">
        <f>IFERROR(VLOOKUP(R$8&amp;R97,[1]_enum!$A:$D,4,FALSE),"-")</f>
        <v>2</v>
      </c>
      <c r="T97" s="89" t="s">
        <v>632</v>
      </c>
      <c r="U97" s="115">
        <f>IFERROR(IF(S97=0,INDEX([1]ShipSlot!$A:$A,MATCH(T97,[1]ShipSlot!$C:$C,0)),IF(S97=1,INDEX([1]CEquip!$A:$A,MATCH(T97,[1]CEquip!$B:$B,0)), INDEX([1]Item!$A:$A,MATCH(T97,[1]Item!$B:$B,0)))), "-")</f>
        <v>23550009</v>
      </c>
      <c r="V97" s="94">
        <v>10</v>
      </c>
      <c r="W97" s="82" t="s">
        <v>466</v>
      </c>
      <c r="X97" s="11">
        <f>IFERROR(VLOOKUP(W$8&amp;W97,[1]_enum!$A:$D,4,FALSE),"-")</f>
        <v>2</v>
      </c>
      <c r="Y97" s="110" t="s">
        <v>479</v>
      </c>
      <c r="Z97" s="115">
        <f>IFERROR(IF(X97=0,INDEX([1]ShipSlot!$A:$A,MATCH(Y97,[1]ShipSlot!$C:$C,0)),IF(X97=1,INDEX([1]CEquip!$A:$A,MATCH(Y97,[1]CEquip!$B:$B,0)), INDEX([1]Item!$A:$A,MATCH(Y97,[1]Item!$B:$B,0)))), "-")</f>
        <v>23550010</v>
      </c>
      <c r="AA97" s="94">
        <v>100</v>
      </c>
      <c r="AB97" s="82"/>
      <c r="AC97" s="11" t="str">
        <f>IFERROR(VLOOKUP(AB$8&amp;AB97,[1]_enum!$A:$D,4,FALSE),"-")</f>
        <v>-</v>
      </c>
      <c r="AD97" s="110"/>
      <c r="AE97" s="115" t="str">
        <f>IFERROR(IF(AC97=0,INDEX([1]ShipSlot!$A:$A,MATCH(AD97,[1]ShipSlot!$C:$C,0)),IF(AC97=1,INDEX([1]CEquip!$A:$A,MATCH(AD97,[1]CEquip!$B:$B,0)), INDEX([1]Item!$A:$A,MATCH(AD97,[1]Item!$B:$B,0)))), "-")</f>
        <v>-</v>
      </c>
      <c r="AF97" s="94" t="s">
        <v>18</v>
      </c>
      <c r="AG97" s="82"/>
      <c r="AH97" s="11" t="str">
        <f>IFERROR(VLOOKUP(AG$8&amp;AG97,[1]_enum!$A:$D,4,FALSE),"-")</f>
        <v>-</v>
      </c>
      <c r="AI97" s="110"/>
      <c r="AJ97" s="115" t="str">
        <f>IFERROR(IF(AH97=0,INDEX([1]ShipSlot!$A:$A,MATCH(AI97,[1]ShipSlot!$C:$C,0)),IF(AH97=1,INDEX([1]CEquip!$A:$A,MATCH(AI97,[1]CEquip!$B:$B,0)), INDEX([1]Item!$A:$A,MATCH(AI97,[1]Item!$B:$B,0)))), "-")</f>
        <v>-</v>
      </c>
      <c r="AK97" s="94" t="s">
        <v>18</v>
      </c>
    </row>
    <row r="98" spans="1:37" x14ac:dyDescent="0.2">
      <c r="A98" s="116">
        <v>2533</v>
      </c>
      <c r="B98" s="82" t="s">
        <v>465</v>
      </c>
      <c r="C98" s="11">
        <f>IFERROR(VLOOKUP(B$8&amp;B98,[1]_enum!$A:$D,4,FALSE),"-")</f>
        <v>1</v>
      </c>
      <c r="D98" s="83" t="s">
        <v>572</v>
      </c>
      <c r="E98" s="115">
        <f>IFERROR(IF(C98=0,INDEX([1]ShipSlot!$A:$A,MATCH(D98,[1]ShipSlot!$C:$C,0)),IF(C98=1,INDEX([1]CEquip!$A:$A,MATCH(D98,[1]CEquip!$B:$B,0)), INDEX([1]Item!$A:$A,MATCH(D98,[1]Item!$B:$B,0)))), "-")</f>
        <v>22174022</v>
      </c>
      <c r="F98" s="82" t="s">
        <v>537</v>
      </c>
      <c r="G98" s="82" t="s">
        <v>533</v>
      </c>
      <c r="H98" s="81">
        <v>86400</v>
      </c>
      <c r="I98" s="81">
        <v>7</v>
      </c>
      <c r="J98" s="82" t="s">
        <v>593</v>
      </c>
      <c r="K98" s="81">
        <f>IFERROR(VLOOKUP(J$8&amp;J98,[1]_enum!$A:$D,4,FALSE),"-")</f>
        <v>0</v>
      </c>
      <c r="L98" s="81">
        <v>100</v>
      </c>
      <c r="M98" s="81">
        <v>500</v>
      </c>
      <c r="N98" s="81">
        <v>1111111</v>
      </c>
      <c r="O98" s="83" t="s">
        <v>450</v>
      </c>
      <c r="P98" s="84">
        <f>IFERROR(INDEX([1]Point!$A:$A,MATCH(O98,[1]Point!$B:$B,0),1),"-")</f>
        <v>100001</v>
      </c>
      <c r="Q98" s="81">
        <v>5000000</v>
      </c>
      <c r="R98" s="82" t="s">
        <v>466</v>
      </c>
      <c r="S98" s="11">
        <f>IFERROR(VLOOKUP(R$8&amp;R98,[1]_enum!$A:$D,4,FALSE),"-")</f>
        <v>2</v>
      </c>
      <c r="T98" s="89" t="s">
        <v>632</v>
      </c>
      <c r="U98" s="115">
        <f>IFERROR(IF(S98=0,INDEX([1]ShipSlot!$A:$A,MATCH(T98,[1]ShipSlot!$C:$C,0)),IF(S98=1,INDEX([1]CEquip!$A:$A,MATCH(T98,[1]CEquip!$B:$B,0)), INDEX([1]Item!$A:$A,MATCH(T98,[1]Item!$B:$B,0)))), "-")</f>
        <v>23550009</v>
      </c>
      <c r="V98" s="94">
        <v>10</v>
      </c>
      <c r="W98" s="82" t="s">
        <v>466</v>
      </c>
      <c r="X98" s="11">
        <f>IFERROR(VLOOKUP(W$8&amp;W98,[1]_enum!$A:$D,4,FALSE),"-")</f>
        <v>2</v>
      </c>
      <c r="Y98" s="110" t="s">
        <v>479</v>
      </c>
      <c r="Z98" s="115">
        <f>IFERROR(IF(X98=0,INDEX([1]ShipSlot!$A:$A,MATCH(Y98,[1]ShipSlot!$C:$C,0)),IF(X98=1,INDEX([1]CEquip!$A:$A,MATCH(Y98,[1]CEquip!$B:$B,0)), INDEX([1]Item!$A:$A,MATCH(Y98,[1]Item!$B:$B,0)))), "-")</f>
        <v>23550010</v>
      </c>
      <c r="AA98" s="94">
        <v>100</v>
      </c>
      <c r="AB98" s="82"/>
      <c r="AC98" s="11" t="str">
        <f>IFERROR(VLOOKUP(AB$8&amp;AB98,[1]_enum!$A:$D,4,FALSE),"-")</f>
        <v>-</v>
      </c>
      <c r="AD98" s="110"/>
      <c r="AE98" s="115" t="str">
        <f>IFERROR(IF(AC98=0,INDEX([1]ShipSlot!$A:$A,MATCH(AD98,[1]ShipSlot!$C:$C,0)),IF(AC98=1,INDEX([1]CEquip!$A:$A,MATCH(AD98,[1]CEquip!$B:$B,0)), INDEX([1]Item!$A:$A,MATCH(AD98,[1]Item!$B:$B,0)))), "-")</f>
        <v>-</v>
      </c>
      <c r="AF98" s="94" t="s">
        <v>18</v>
      </c>
      <c r="AG98" s="82"/>
      <c r="AH98" s="11" t="str">
        <f>IFERROR(VLOOKUP(AG$8&amp;AG98,[1]_enum!$A:$D,4,FALSE),"-")</f>
        <v>-</v>
      </c>
      <c r="AI98" s="110"/>
      <c r="AJ98" s="115" t="str">
        <f>IFERROR(IF(AH98=0,INDEX([1]ShipSlot!$A:$A,MATCH(AI98,[1]ShipSlot!$C:$C,0)),IF(AH98=1,INDEX([1]CEquip!$A:$A,MATCH(AI98,[1]CEquip!$B:$B,0)), INDEX([1]Item!$A:$A,MATCH(AI98,[1]Item!$B:$B,0)))), "-")</f>
        <v>-</v>
      </c>
      <c r="AK98" s="94" t="s">
        <v>18</v>
      </c>
    </row>
    <row r="99" spans="1:37" x14ac:dyDescent="0.2">
      <c r="A99" s="116">
        <v>2534</v>
      </c>
      <c r="B99" s="82" t="s">
        <v>465</v>
      </c>
      <c r="C99" s="11">
        <f>IFERROR(VLOOKUP(B$8&amp;B99,[1]_enum!$A:$D,4,FALSE),"-")</f>
        <v>1</v>
      </c>
      <c r="D99" s="89" t="s">
        <v>573</v>
      </c>
      <c r="E99" s="115">
        <f>IFERROR(IF(C99=0,INDEX([1]ShipSlot!$A:$A,MATCH(D99,[1]ShipSlot!$C:$C,0)),IF(C99=1,INDEX([1]CEquip!$A:$A,MATCH(D99,[1]CEquip!$B:$B,0)), INDEX([1]Item!$A:$A,MATCH(D99,[1]Item!$B:$B,0)))), "-")</f>
        <v>22174023</v>
      </c>
      <c r="F99" s="82" t="s">
        <v>537</v>
      </c>
      <c r="G99" s="82" t="s">
        <v>533</v>
      </c>
      <c r="H99" s="81">
        <v>86400</v>
      </c>
      <c r="I99" s="81">
        <v>7</v>
      </c>
      <c r="J99" s="82" t="s">
        <v>593</v>
      </c>
      <c r="K99" s="81">
        <f>IFERROR(VLOOKUP(J$8&amp;J99,[1]_enum!$A:$D,4,FALSE),"-")</f>
        <v>0</v>
      </c>
      <c r="L99" s="81">
        <v>100</v>
      </c>
      <c r="M99" s="81">
        <v>500</v>
      </c>
      <c r="N99" s="81">
        <v>1111111</v>
      </c>
      <c r="O99" s="83" t="s">
        <v>450</v>
      </c>
      <c r="P99" s="84">
        <f>IFERROR(INDEX([1]Point!$A:$A,MATCH(O99,[1]Point!$B:$B,0),1),"-")</f>
        <v>100001</v>
      </c>
      <c r="Q99" s="81">
        <v>5000000</v>
      </c>
      <c r="R99" s="82" t="s">
        <v>466</v>
      </c>
      <c r="S99" s="11">
        <f>IFERROR(VLOOKUP(R$8&amp;R99,[1]_enum!$A:$D,4,FALSE),"-")</f>
        <v>2</v>
      </c>
      <c r="T99" s="89" t="s">
        <v>632</v>
      </c>
      <c r="U99" s="115">
        <f>IFERROR(IF(S99=0,INDEX([1]ShipSlot!$A:$A,MATCH(T99,[1]ShipSlot!$C:$C,0)),IF(S99=1,INDEX([1]CEquip!$A:$A,MATCH(T99,[1]CEquip!$B:$B,0)), INDEX([1]Item!$A:$A,MATCH(T99,[1]Item!$B:$B,0)))), "-")</f>
        <v>23550009</v>
      </c>
      <c r="V99" s="94">
        <v>10</v>
      </c>
      <c r="W99" s="82" t="s">
        <v>466</v>
      </c>
      <c r="X99" s="11">
        <f>IFERROR(VLOOKUP(W$8&amp;W99,[1]_enum!$A:$D,4,FALSE),"-")</f>
        <v>2</v>
      </c>
      <c r="Y99" s="110" t="s">
        <v>479</v>
      </c>
      <c r="Z99" s="115">
        <f>IFERROR(IF(X99=0,INDEX([1]ShipSlot!$A:$A,MATCH(Y99,[1]ShipSlot!$C:$C,0)),IF(X99=1,INDEX([1]CEquip!$A:$A,MATCH(Y99,[1]CEquip!$B:$B,0)), INDEX([1]Item!$A:$A,MATCH(Y99,[1]Item!$B:$B,0)))), "-")</f>
        <v>23550010</v>
      </c>
      <c r="AA99" s="94">
        <v>100</v>
      </c>
      <c r="AB99" s="82"/>
      <c r="AC99" s="11" t="str">
        <f>IFERROR(VLOOKUP(AB$8&amp;AB99,[1]_enum!$A:$D,4,FALSE),"-")</f>
        <v>-</v>
      </c>
      <c r="AD99" s="110"/>
      <c r="AE99" s="115" t="str">
        <f>IFERROR(IF(AC99=0,INDEX([1]ShipSlot!$A:$A,MATCH(AD99,[1]ShipSlot!$C:$C,0)),IF(AC99=1,INDEX([1]CEquip!$A:$A,MATCH(AD99,[1]CEquip!$B:$B,0)), INDEX([1]Item!$A:$A,MATCH(AD99,[1]Item!$B:$B,0)))), "-")</f>
        <v>-</v>
      </c>
      <c r="AF99" s="94" t="s">
        <v>18</v>
      </c>
      <c r="AG99" s="82"/>
      <c r="AH99" s="11" t="str">
        <f>IFERROR(VLOOKUP(AG$8&amp;AG99,[1]_enum!$A:$D,4,FALSE),"-")</f>
        <v>-</v>
      </c>
      <c r="AI99" s="110"/>
      <c r="AJ99" s="115" t="str">
        <f>IFERROR(IF(AH99=0,INDEX([1]ShipSlot!$A:$A,MATCH(AI99,[1]ShipSlot!$C:$C,0)),IF(AH99=1,INDEX([1]CEquip!$A:$A,MATCH(AI99,[1]CEquip!$B:$B,0)), INDEX([1]Item!$A:$A,MATCH(AI99,[1]Item!$B:$B,0)))), "-")</f>
        <v>-</v>
      </c>
      <c r="AK99" s="94" t="s">
        <v>18</v>
      </c>
    </row>
    <row r="100" spans="1:37" x14ac:dyDescent="0.2">
      <c r="A100" s="116">
        <v>2535</v>
      </c>
      <c r="B100" s="82" t="s">
        <v>465</v>
      </c>
      <c r="C100" s="11">
        <f>IFERROR(VLOOKUP(B$8&amp;B100,[1]_enum!$A:$D,4,FALSE),"-")</f>
        <v>1</v>
      </c>
      <c r="D100" s="89" t="s">
        <v>574</v>
      </c>
      <c r="E100" s="115">
        <f>IFERROR(IF(C100=0,INDEX([1]ShipSlot!$A:$A,MATCH(D100,[1]ShipSlot!$C:$C,0)),IF(C100=1,INDEX([1]CEquip!$A:$A,MATCH(D100,[1]CEquip!$B:$B,0)), INDEX([1]Item!$A:$A,MATCH(D100,[1]Item!$B:$B,0)))), "-")</f>
        <v>22174024</v>
      </c>
      <c r="F100" s="82" t="s">
        <v>537</v>
      </c>
      <c r="G100" s="82" t="s">
        <v>533</v>
      </c>
      <c r="H100" s="81">
        <v>86400</v>
      </c>
      <c r="I100" s="81">
        <v>7</v>
      </c>
      <c r="J100" s="82" t="s">
        <v>593</v>
      </c>
      <c r="K100" s="81">
        <f>IFERROR(VLOOKUP(J$8&amp;J100,[1]_enum!$A:$D,4,FALSE),"-")</f>
        <v>0</v>
      </c>
      <c r="L100" s="81">
        <v>100</v>
      </c>
      <c r="M100" s="81">
        <v>500</v>
      </c>
      <c r="N100" s="81">
        <v>1111111</v>
      </c>
      <c r="O100" s="83" t="s">
        <v>450</v>
      </c>
      <c r="P100" s="84">
        <f>IFERROR(INDEX([1]Point!$A:$A,MATCH(O100,[1]Point!$B:$B,0),1),"-")</f>
        <v>100001</v>
      </c>
      <c r="Q100" s="81">
        <v>5000000</v>
      </c>
      <c r="R100" s="82" t="s">
        <v>466</v>
      </c>
      <c r="S100" s="11">
        <f>IFERROR(VLOOKUP(R$8&amp;R100,[1]_enum!$A:$D,4,FALSE),"-")</f>
        <v>2</v>
      </c>
      <c r="T100" s="110" t="s">
        <v>632</v>
      </c>
      <c r="U100" s="115">
        <f>IFERROR(IF(S100=0,INDEX([1]ShipSlot!$A:$A,MATCH(T100,[1]ShipSlot!$C:$C,0)),IF(S100=1,INDEX([1]CEquip!$A:$A,MATCH(T100,[1]CEquip!$B:$B,0)), INDEX([1]Item!$A:$A,MATCH(T100,[1]Item!$B:$B,0)))), "-")</f>
        <v>23550009</v>
      </c>
      <c r="V100" s="94">
        <v>10</v>
      </c>
      <c r="W100" s="82" t="s">
        <v>466</v>
      </c>
      <c r="X100" s="11">
        <f>IFERROR(VLOOKUP(W$8&amp;W100,[1]_enum!$A:$D,4,FALSE),"-")</f>
        <v>2</v>
      </c>
      <c r="Y100" s="110" t="s">
        <v>479</v>
      </c>
      <c r="Z100" s="115">
        <f>IFERROR(IF(X100=0,INDEX([1]ShipSlot!$A:$A,MATCH(Y100,[1]ShipSlot!$C:$C,0)),IF(X100=1,INDEX([1]CEquip!$A:$A,MATCH(Y100,[1]CEquip!$B:$B,0)), INDEX([1]Item!$A:$A,MATCH(Y100,[1]Item!$B:$B,0)))), "-")</f>
        <v>23550010</v>
      </c>
      <c r="AA100" s="94">
        <v>100</v>
      </c>
      <c r="AB100" s="82"/>
      <c r="AC100" s="11" t="str">
        <f>IFERROR(VLOOKUP(AB$8&amp;AB100,[1]_enum!$A:$D,4,FALSE),"-")</f>
        <v>-</v>
      </c>
      <c r="AD100" s="110"/>
      <c r="AE100" s="115" t="str">
        <f>IFERROR(IF(AC100=0,INDEX([1]ShipSlot!$A:$A,MATCH(AD100,[1]ShipSlot!$C:$C,0)),IF(AC100=1,INDEX([1]CEquip!$A:$A,MATCH(AD100,[1]CEquip!$B:$B,0)), INDEX([1]Item!$A:$A,MATCH(AD100,[1]Item!$B:$B,0)))), "-")</f>
        <v>-</v>
      </c>
      <c r="AF100" s="94" t="s">
        <v>18</v>
      </c>
      <c r="AG100" s="82"/>
      <c r="AH100" s="11" t="str">
        <f>IFERROR(VLOOKUP(AG$8&amp;AG100,[1]_enum!$A:$D,4,FALSE),"-")</f>
        <v>-</v>
      </c>
      <c r="AI100" s="110"/>
      <c r="AJ100" s="115" t="str">
        <f>IFERROR(IF(AH100=0,INDEX([1]ShipSlot!$A:$A,MATCH(AI100,[1]ShipSlot!$C:$C,0)),IF(AH100=1,INDEX([1]CEquip!$A:$A,MATCH(AI100,[1]CEquip!$B:$B,0)), INDEX([1]Item!$A:$A,MATCH(AI100,[1]Item!$B:$B,0)))), "-")</f>
        <v>-</v>
      </c>
      <c r="AK100" s="94" t="s">
        <v>18</v>
      </c>
    </row>
    <row r="101" spans="1:37" x14ac:dyDescent="0.2">
      <c r="A101" s="116">
        <v>2536</v>
      </c>
      <c r="B101" s="82" t="s">
        <v>465</v>
      </c>
      <c r="C101" s="11">
        <f>IFERROR(VLOOKUP(B$8&amp;B101,[1]_enum!$A:$D,4,FALSE),"-")</f>
        <v>1</v>
      </c>
      <c r="D101" s="89" t="s">
        <v>575</v>
      </c>
      <c r="E101" s="115">
        <f>IFERROR(IF(C101=0,INDEX([1]ShipSlot!$A:$A,MATCH(D101,[1]ShipSlot!$C:$C,0)),IF(C101=1,INDEX([1]CEquip!$A:$A,MATCH(D101,[1]CEquip!$B:$B,0)), INDEX([1]Item!$A:$A,MATCH(D101,[1]Item!$B:$B,0)))), "-")</f>
        <v>22174025</v>
      </c>
      <c r="F101" s="82" t="s">
        <v>537</v>
      </c>
      <c r="G101" s="82" t="s">
        <v>533</v>
      </c>
      <c r="H101" s="81">
        <v>86400</v>
      </c>
      <c r="I101" s="81">
        <v>7</v>
      </c>
      <c r="J101" s="82" t="s">
        <v>593</v>
      </c>
      <c r="K101" s="81">
        <f>IFERROR(VLOOKUP(J$8&amp;J101,[1]_enum!$A:$D,4,FALSE),"-")</f>
        <v>0</v>
      </c>
      <c r="L101" s="81">
        <v>100</v>
      </c>
      <c r="M101" s="81">
        <v>500</v>
      </c>
      <c r="N101" s="81">
        <v>1111111</v>
      </c>
      <c r="O101" s="83" t="s">
        <v>450</v>
      </c>
      <c r="P101" s="84">
        <f>IFERROR(INDEX([1]Point!$A:$A,MATCH(O101,[1]Point!$B:$B,0),1),"-")</f>
        <v>100001</v>
      </c>
      <c r="Q101" s="81">
        <v>5000000</v>
      </c>
      <c r="R101" s="82" t="s">
        <v>466</v>
      </c>
      <c r="S101" s="11">
        <f>IFERROR(VLOOKUP(R$8&amp;R101,[1]_enum!$A:$D,4,FALSE),"-")</f>
        <v>2</v>
      </c>
      <c r="T101" s="89" t="s">
        <v>632</v>
      </c>
      <c r="U101" s="115">
        <f>IFERROR(IF(S101=0,INDEX([1]ShipSlot!$A:$A,MATCH(T101,[1]ShipSlot!$C:$C,0)),IF(S101=1,INDEX([1]CEquip!$A:$A,MATCH(T101,[1]CEquip!$B:$B,0)), INDEX([1]Item!$A:$A,MATCH(T101,[1]Item!$B:$B,0)))), "-")</f>
        <v>23550009</v>
      </c>
      <c r="V101" s="94">
        <v>10</v>
      </c>
      <c r="W101" s="82" t="s">
        <v>466</v>
      </c>
      <c r="X101" s="11">
        <f>IFERROR(VLOOKUP(W$8&amp;W101,[1]_enum!$A:$D,4,FALSE),"-")</f>
        <v>2</v>
      </c>
      <c r="Y101" s="110" t="s">
        <v>479</v>
      </c>
      <c r="Z101" s="115">
        <f>IFERROR(IF(X101=0,INDEX([1]ShipSlot!$A:$A,MATCH(Y101,[1]ShipSlot!$C:$C,0)),IF(X101=1,INDEX([1]CEquip!$A:$A,MATCH(Y101,[1]CEquip!$B:$B,0)), INDEX([1]Item!$A:$A,MATCH(Y101,[1]Item!$B:$B,0)))), "-")</f>
        <v>23550010</v>
      </c>
      <c r="AA101" s="94">
        <v>100</v>
      </c>
      <c r="AB101" s="82"/>
      <c r="AC101" s="11" t="str">
        <f>IFERROR(VLOOKUP(AB$8&amp;AB101,[1]_enum!$A:$D,4,FALSE),"-")</f>
        <v>-</v>
      </c>
      <c r="AD101" s="110"/>
      <c r="AE101" s="115" t="str">
        <f>IFERROR(IF(AC101=0,INDEX([1]ShipSlot!$A:$A,MATCH(AD101,[1]ShipSlot!$C:$C,0)),IF(AC101=1,INDEX([1]CEquip!$A:$A,MATCH(AD101,[1]CEquip!$B:$B,0)), INDEX([1]Item!$A:$A,MATCH(AD101,[1]Item!$B:$B,0)))), "-")</f>
        <v>-</v>
      </c>
      <c r="AF101" s="94" t="s">
        <v>18</v>
      </c>
      <c r="AG101" s="82"/>
      <c r="AH101" s="11" t="str">
        <f>IFERROR(VLOOKUP(AG$8&amp;AG101,[1]_enum!$A:$D,4,FALSE),"-")</f>
        <v>-</v>
      </c>
      <c r="AI101" s="110"/>
      <c r="AJ101" s="115" t="str">
        <f>IFERROR(IF(AH101=0,INDEX([1]ShipSlot!$A:$A,MATCH(AI101,[1]ShipSlot!$C:$C,0)),IF(AH101=1,INDEX([1]CEquip!$A:$A,MATCH(AI101,[1]CEquip!$B:$B,0)), INDEX([1]Item!$A:$A,MATCH(AI101,[1]Item!$B:$B,0)))), "-")</f>
        <v>-</v>
      </c>
      <c r="AK101" s="94" t="s">
        <v>18</v>
      </c>
    </row>
    <row r="102" spans="1:37" x14ac:dyDescent="0.2">
      <c r="A102" s="116">
        <v>2537</v>
      </c>
      <c r="B102" s="82" t="s">
        <v>465</v>
      </c>
      <c r="C102" s="11">
        <f>IFERROR(VLOOKUP(B$8&amp;B102,[1]_enum!$A:$D,4,FALSE),"-")</f>
        <v>1</v>
      </c>
      <c r="D102" s="83" t="s">
        <v>576</v>
      </c>
      <c r="E102" s="115">
        <f>IFERROR(IF(C102=0,INDEX([1]ShipSlot!$A:$A,MATCH(D102,[1]ShipSlot!$C:$C,0)),IF(C102=1,INDEX([1]CEquip!$A:$A,MATCH(D102,[1]CEquip!$B:$B,0)), INDEX([1]Item!$A:$A,MATCH(D102,[1]Item!$B:$B,0)))), "-")</f>
        <v>22174026</v>
      </c>
      <c r="F102" s="82" t="s">
        <v>537</v>
      </c>
      <c r="G102" s="82" t="s">
        <v>533</v>
      </c>
      <c r="H102" s="81">
        <v>86400</v>
      </c>
      <c r="I102" s="81">
        <v>7</v>
      </c>
      <c r="J102" s="82" t="s">
        <v>593</v>
      </c>
      <c r="K102" s="81">
        <f>IFERROR(VLOOKUP(J$8&amp;J102,[1]_enum!$A:$D,4,FALSE),"-")</f>
        <v>0</v>
      </c>
      <c r="L102" s="81">
        <v>100</v>
      </c>
      <c r="M102" s="81">
        <v>500</v>
      </c>
      <c r="N102" s="81">
        <v>1111111</v>
      </c>
      <c r="O102" s="83" t="s">
        <v>450</v>
      </c>
      <c r="P102" s="84">
        <f>IFERROR(INDEX([1]Point!$A:$A,MATCH(O102,[1]Point!$B:$B,0),1),"-")</f>
        <v>100001</v>
      </c>
      <c r="Q102" s="81">
        <v>5000000</v>
      </c>
      <c r="R102" s="82" t="s">
        <v>466</v>
      </c>
      <c r="S102" s="11">
        <f>IFERROR(VLOOKUP(R$8&amp;R102,[1]_enum!$A:$D,4,FALSE),"-")</f>
        <v>2</v>
      </c>
      <c r="T102" s="89" t="s">
        <v>632</v>
      </c>
      <c r="U102" s="115">
        <f>IFERROR(IF(S102=0,INDEX([1]ShipSlot!$A:$A,MATCH(T102,[1]ShipSlot!$C:$C,0)),IF(S102=1,INDEX([1]CEquip!$A:$A,MATCH(T102,[1]CEquip!$B:$B,0)), INDEX([1]Item!$A:$A,MATCH(T102,[1]Item!$B:$B,0)))), "-")</f>
        <v>23550009</v>
      </c>
      <c r="V102" s="94">
        <v>10</v>
      </c>
      <c r="W102" s="82" t="s">
        <v>466</v>
      </c>
      <c r="X102" s="11">
        <f>IFERROR(VLOOKUP(W$8&amp;W102,[1]_enum!$A:$D,4,FALSE),"-")</f>
        <v>2</v>
      </c>
      <c r="Y102" s="110" t="s">
        <v>479</v>
      </c>
      <c r="Z102" s="115">
        <f>IFERROR(IF(X102=0,INDEX([1]ShipSlot!$A:$A,MATCH(Y102,[1]ShipSlot!$C:$C,0)),IF(X102=1,INDEX([1]CEquip!$A:$A,MATCH(Y102,[1]CEquip!$B:$B,0)), INDEX([1]Item!$A:$A,MATCH(Y102,[1]Item!$B:$B,0)))), "-")</f>
        <v>23550010</v>
      </c>
      <c r="AA102" s="94">
        <v>100</v>
      </c>
      <c r="AB102" s="82"/>
      <c r="AC102" s="11" t="str">
        <f>IFERROR(VLOOKUP(AB$8&amp;AB102,[1]_enum!$A:$D,4,FALSE),"-")</f>
        <v>-</v>
      </c>
      <c r="AD102" s="110"/>
      <c r="AE102" s="115" t="str">
        <f>IFERROR(IF(AC102=0,INDEX([1]ShipSlot!$A:$A,MATCH(AD102,[1]ShipSlot!$C:$C,0)),IF(AC102=1,INDEX([1]CEquip!$A:$A,MATCH(AD102,[1]CEquip!$B:$B,0)), INDEX([1]Item!$A:$A,MATCH(AD102,[1]Item!$B:$B,0)))), "-")</f>
        <v>-</v>
      </c>
      <c r="AF102" s="94" t="s">
        <v>18</v>
      </c>
      <c r="AG102" s="82"/>
      <c r="AH102" s="11" t="str">
        <f>IFERROR(VLOOKUP(AG$8&amp;AG102,[1]_enum!$A:$D,4,FALSE),"-")</f>
        <v>-</v>
      </c>
      <c r="AI102" s="110"/>
      <c r="AJ102" s="115" t="str">
        <f>IFERROR(IF(AH102=0,INDEX([1]ShipSlot!$A:$A,MATCH(AI102,[1]ShipSlot!$C:$C,0)),IF(AH102=1,INDEX([1]CEquip!$A:$A,MATCH(AI102,[1]CEquip!$B:$B,0)), INDEX([1]Item!$A:$A,MATCH(AI102,[1]Item!$B:$B,0)))), "-")</f>
        <v>-</v>
      </c>
      <c r="AK102" s="94" t="s">
        <v>18</v>
      </c>
    </row>
    <row r="103" spans="1:37" x14ac:dyDescent="0.2">
      <c r="A103" s="116">
        <v>2538</v>
      </c>
      <c r="B103" s="82" t="s">
        <v>465</v>
      </c>
      <c r="C103" s="11">
        <f>IFERROR(VLOOKUP(B$8&amp;B103,[1]_enum!$A:$D,4,FALSE),"-")</f>
        <v>1</v>
      </c>
      <c r="D103" s="83" t="s">
        <v>577</v>
      </c>
      <c r="E103" s="115">
        <f>IFERROR(IF(C103=0,INDEX([1]ShipSlot!$A:$A,MATCH(D103,[1]ShipSlot!$C:$C,0)),IF(C103=1,INDEX([1]CEquip!$A:$A,MATCH(D103,[1]CEquip!$B:$B,0)), INDEX([1]Item!$A:$A,MATCH(D103,[1]Item!$B:$B,0)))), "-")</f>
        <v>22274017</v>
      </c>
      <c r="F103" s="82" t="s">
        <v>538</v>
      </c>
      <c r="G103" s="82" t="s">
        <v>533</v>
      </c>
      <c r="H103" s="81">
        <v>86400</v>
      </c>
      <c r="I103" s="81">
        <v>7</v>
      </c>
      <c r="J103" s="82" t="s">
        <v>593</v>
      </c>
      <c r="K103" s="81">
        <f>IFERROR(VLOOKUP(J$8&amp;J103,[1]_enum!$A:$D,4,FALSE),"-")</f>
        <v>0</v>
      </c>
      <c r="L103" s="81">
        <v>100</v>
      </c>
      <c r="M103" s="81">
        <v>500</v>
      </c>
      <c r="N103" s="81">
        <v>1111111</v>
      </c>
      <c r="O103" s="83" t="s">
        <v>450</v>
      </c>
      <c r="P103" s="84">
        <f>IFERROR(INDEX([1]Point!$A:$A,MATCH(O103,[1]Point!$B:$B,0),1),"-")</f>
        <v>100001</v>
      </c>
      <c r="Q103" s="81">
        <v>5000000</v>
      </c>
      <c r="R103" s="82" t="s">
        <v>466</v>
      </c>
      <c r="S103" s="11">
        <f>IFERROR(VLOOKUP(R$8&amp;R103,[1]_enum!$A:$D,4,FALSE),"-")</f>
        <v>2</v>
      </c>
      <c r="T103" s="89" t="s">
        <v>632</v>
      </c>
      <c r="U103" s="115">
        <f>IFERROR(IF(S103=0,INDEX([1]ShipSlot!$A:$A,MATCH(T103,[1]ShipSlot!$C:$C,0)),IF(S103=1,INDEX([1]CEquip!$A:$A,MATCH(T103,[1]CEquip!$B:$B,0)), INDEX([1]Item!$A:$A,MATCH(T103,[1]Item!$B:$B,0)))), "-")</f>
        <v>23550009</v>
      </c>
      <c r="V103" s="94">
        <v>10</v>
      </c>
      <c r="W103" s="82" t="s">
        <v>466</v>
      </c>
      <c r="X103" s="11">
        <f>IFERROR(VLOOKUP(W$8&amp;W103,[1]_enum!$A:$D,4,FALSE),"-")</f>
        <v>2</v>
      </c>
      <c r="Y103" s="110" t="s">
        <v>480</v>
      </c>
      <c r="Z103" s="115">
        <f>IFERROR(IF(X103=0,INDEX([1]ShipSlot!$A:$A,MATCH(Y103,[1]ShipSlot!$C:$C,0)),IF(X103=1,INDEX([1]CEquip!$A:$A,MATCH(Y103,[1]CEquip!$B:$B,0)), INDEX([1]Item!$A:$A,MATCH(Y103,[1]Item!$B:$B,0)))), "-")</f>
        <v>23550011</v>
      </c>
      <c r="AA103" s="94">
        <v>100</v>
      </c>
      <c r="AB103" s="82"/>
      <c r="AC103" s="11" t="str">
        <f>IFERROR(VLOOKUP(AB$8&amp;AB103,[1]_enum!$A:$D,4,FALSE),"-")</f>
        <v>-</v>
      </c>
      <c r="AD103" s="110"/>
      <c r="AE103" s="115" t="str">
        <f>IFERROR(IF(AC103=0,INDEX([1]ShipSlot!$A:$A,MATCH(AD103,[1]ShipSlot!$C:$C,0)),IF(AC103=1,INDEX([1]CEquip!$A:$A,MATCH(AD103,[1]CEquip!$B:$B,0)), INDEX([1]Item!$A:$A,MATCH(AD103,[1]Item!$B:$B,0)))), "-")</f>
        <v>-</v>
      </c>
      <c r="AF103" s="94" t="s">
        <v>18</v>
      </c>
      <c r="AG103" s="82"/>
      <c r="AH103" s="11" t="str">
        <f>IFERROR(VLOOKUP(AG$8&amp;AG103,[1]_enum!$A:$D,4,FALSE),"-")</f>
        <v>-</v>
      </c>
      <c r="AI103" s="110"/>
      <c r="AJ103" s="115" t="str">
        <f>IFERROR(IF(AH103=0,INDEX([1]ShipSlot!$A:$A,MATCH(AI103,[1]ShipSlot!$C:$C,0)),IF(AH103=1,INDEX([1]CEquip!$A:$A,MATCH(AI103,[1]CEquip!$B:$B,0)), INDEX([1]Item!$A:$A,MATCH(AI103,[1]Item!$B:$B,0)))), "-")</f>
        <v>-</v>
      </c>
      <c r="AK103" s="94" t="s">
        <v>18</v>
      </c>
    </row>
    <row r="104" spans="1:37" x14ac:dyDescent="0.2">
      <c r="A104" s="116">
        <v>2539</v>
      </c>
      <c r="B104" s="82" t="s">
        <v>465</v>
      </c>
      <c r="C104" s="11">
        <f>IFERROR(VLOOKUP(B$8&amp;B104,[1]_enum!$A:$D,4,FALSE),"-")</f>
        <v>1</v>
      </c>
      <c r="D104" s="83" t="s">
        <v>578</v>
      </c>
      <c r="E104" s="115">
        <f>IFERROR(IF(C104=0,INDEX([1]ShipSlot!$A:$A,MATCH(D104,[1]ShipSlot!$C:$C,0)),IF(C104=1,INDEX([1]CEquip!$A:$A,MATCH(D104,[1]CEquip!$B:$B,0)), INDEX([1]Item!$A:$A,MATCH(D104,[1]Item!$B:$B,0)))), "-")</f>
        <v>22274019</v>
      </c>
      <c r="F104" s="82" t="s">
        <v>538</v>
      </c>
      <c r="G104" s="82" t="s">
        <v>533</v>
      </c>
      <c r="H104" s="81">
        <v>86400</v>
      </c>
      <c r="I104" s="81">
        <v>7</v>
      </c>
      <c r="J104" s="82" t="s">
        <v>593</v>
      </c>
      <c r="K104" s="81">
        <f>IFERROR(VLOOKUP(J$8&amp;J104,[1]_enum!$A:$D,4,FALSE),"-")</f>
        <v>0</v>
      </c>
      <c r="L104" s="81">
        <v>100</v>
      </c>
      <c r="M104" s="81">
        <v>500</v>
      </c>
      <c r="N104" s="81">
        <v>1111111</v>
      </c>
      <c r="O104" s="83" t="s">
        <v>450</v>
      </c>
      <c r="P104" s="84">
        <f>IFERROR(INDEX([1]Point!$A:$A,MATCH(O104,[1]Point!$B:$B,0),1),"-")</f>
        <v>100001</v>
      </c>
      <c r="Q104" s="81">
        <v>5000000</v>
      </c>
      <c r="R104" s="82" t="s">
        <v>466</v>
      </c>
      <c r="S104" s="11">
        <f>IFERROR(VLOOKUP(R$8&amp;R104,[1]_enum!$A:$D,4,FALSE),"-")</f>
        <v>2</v>
      </c>
      <c r="T104" s="89" t="s">
        <v>632</v>
      </c>
      <c r="U104" s="115">
        <f>IFERROR(IF(S104=0,INDEX([1]ShipSlot!$A:$A,MATCH(T104,[1]ShipSlot!$C:$C,0)),IF(S104=1,INDEX([1]CEquip!$A:$A,MATCH(T104,[1]CEquip!$B:$B,0)), INDEX([1]Item!$A:$A,MATCH(T104,[1]Item!$B:$B,0)))), "-")</f>
        <v>23550009</v>
      </c>
      <c r="V104" s="94">
        <v>10</v>
      </c>
      <c r="W104" s="82" t="s">
        <v>466</v>
      </c>
      <c r="X104" s="11">
        <f>IFERROR(VLOOKUP(W$8&amp;W104,[1]_enum!$A:$D,4,FALSE),"-")</f>
        <v>2</v>
      </c>
      <c r="Y104" s="110" t="s">
        <v>480</v>
      </c>
      <c r="Z104" s="115">
        <f>IFERROR(IF(X104=0,INDEX([1]ShipSlot!$A:$A,MATCH(Y104,[1]ShipSlot!$C:$C,0)),IF(X104=1,INDEX([1]CEquip!$A:$A,MATCH(Y104,[1]CEquip!$B:$B,0)), INDEX([1]Item!$A:$A,MATCH(Y104,[1]Item!$B:$B,0)))), "-")</f>
        <v>23550011</v>
      </c>
      <c r="AA104" s="94">
        <v>100</v>
      </c>
      <c r="AB104" s="82"/>
      <c r="AC104" s="11" t="str">
        <f>IFERROR(VLOOKUP(AB$8&amp;AB104,[1]_enum!$A:$D,4,FALSE),"-")</f>
        <v>-</v>
      </c>
      <c r="AD104" s="110"/>
      <c r="AE104" s="115" t="str">
        <f>IFERROR(IF(AC104=0,INDEX([1]ShipSlot!$A:$A,MATCH(AD104,[1]ShipSlot!$C:$C,0)),IF(AC104=1,INDEX([1]CEquip!$A:$A,MATCH(AD104,[1]CEquip!$B:$B,0)), INDEX([1]Item!$A:$A,MATCH(AD104,[1]Item!$B:$B,0)))), "-")</f>
        <v>-</v>
      </c>
      <c r="AF104" s="94" t="s">
        <v>18</v>
      </c>
      <c r="AG104" s="82"/>
      <c r="AH104" s="11" t="str">
        <f>IFERROR(VLOOKUP(AG$8&amp;AG104,[1]_enum!$A:$D,4,FALSE),"-")</f>
        <v>-</v>
      </c>
      <c r="AI104" s="110"/>
      <c r="AJ104" s="115" t="str">
        <f>IFERROR(IF(AH104=0,INDEX([1]ShipSlot!$A:$A,MATCH(AI104,[1]ShipSlot!$C:$C,0)),IF(AH104=1,INDEX([1]CEquip!$A:$A,MATCH(AI104,[1]CEquip!$B:$B,0)), INDEX([1]Item!$A:$A,MATCH(AI104,[1]Item!$B:$B,0)))), "-")</f>
        <v>-</v>
      </c>
      <c r="AK104" s="94" t="s">
        <v>18</v>
      </c>
    </row>
    <row r="105" spans="1:37" x14ac:dyDescent="0.2">
      <c r="A105" s="116">
        <v>2540</v>
      </c>
      <c r="B105" s="82" t="s">
        <v>465</v>
      </c>
      <c r="C105" s="11">
        <f>IFERROR(VLOOKUP(B$8&amp;B105,[1]_enum!$A:$D,4,FALSE),"-")</f>
        <v>1</v>
      </c>
      <c r="D105" s="83" t="s">
        <v>579</v>
      </c>
      <c r="E105" s="115">
        <f>IFERROR(IF(C105=0,INDEX([1]ShipSlot!$A:$A,MATCH(D105,[1]ShipSlot!$C:$C,0)),IF(C105=1,INDEX([1]CEquip!$A:$A,MATCH(D105,[1]CEquip!$B:$B,0)), INDEX([1]Item!$A:$A,MATCH(D105,[1]Item!$B:$B,0)))), "-")</f>
        <v>22274021</v>
      </c>
      <c r="F105" s="82" t="s">
        <v>538</v>
      </c>
      <c r="G105" s="82" t="s">
        <v>533</v>
      </c>
      <c r="H105" s="81">
        <v>86400</v>
      </c>
      <c r="I105" s="81">
        <v>7</v>
      </c>
      <c r="J105" s="82" t="s">
        <v>593</v>
      </c>
      <c r="K105" s="81">
        <f>IFERROR(VLOOKUP(J$8&amp;J105,[1]_enum!$A:$D,4,FALSE),"-")</f>
        <v>0</v>
      </c>
      <c r="L105" s="81">
        <v>100</v>
      </c>
      <c r="M105" s="81">
        <v>500</v>
      </c>
      <c r="N105" s="81">
        <v>1111111</v>
      </c>
      <c r="O105" s="83" t="s">
        <v>450</v>
      </c>
      <c r="P105" s="84">
        <f>IFERROR(INDEX([1]Point!$A:$A,MATCH(O105,[1]Point!$B:$B,0),1),"-")</f>
        <v>100001</v>
      </c>
      <c r="Q105" s="81">
        <v>5000000</v>
      </c>
      <c r="R105" s="82" t="s">
        <v>466</v>
      </c>
      <c r="S105" s="11">
        <f>IFERROR(VLOOKUP(R$8&amp;R105,[1]_enum!$A:$D,4,FALSE),"-")</f>
        <v>2</v>
      </c>
      <c r="T105" s="89" t="s">
        <v>632</v>
      </c>
      <c r="U105" s="115">
        <f>IFERROR(IF(S105=0,INDEX([1]ShipSlot!$A:$A,MATCH(T105,[1]ShipSlot!$C:$C,0)),IF(S105=1,INDEX([1]CEquip!$A:$A,MATCH(T105,[1]CEquip!$B:$B,0)), INDEX([1]Item!$A:$A,MATCH(T105,[1]Item!$B:$B,0)))), "-")</f>
        <v>23550009</v>
      </c>
      <c r="V105" s="94">
        <v>10</v>
      </c>
      <c r="W105" s="82" t="s">
        <v>466</v>
      </c>
      <c r="X105" s="11">
        <f>IFERROR(VLOOKUP(W$8&amp;W105,[1]_enum!$A:$D,4,FALSE),"-")</f>
        <v>2</v>
      </c>
      <c r="Y105" s="110" t="s">
        <v>480</v>
      </c>
      <c r="Z105" s="115">
        <f>IFERROR(IF(X105=0,INDEX([1]ShipSlot!$A:$A,MATCH(Y105,[1]ShipSlot!$C:$C,0)),IF(X105=1,INDEX([1]CEquip!$A:$A,MATCH(Y105,[1]CEquip!$B:$B,0)), INDEX([1]Item!$A:$A,MATCH(Y105,[1]Item!$B:$B,0)))), "-")</f>
        <v>23550011</v>
      </c>
      <c r="AA105" s="94">
        <v>100</v>
      </c>
      <c r="AB105" s="82"/>
      <c r="AC105" s="11" t="str">
        <f>IFERROR(VLOOKUP(AB$8&amp;AB105,[1]_enum!$A:$D,4,FALSE),"-")</f>
        <v>-</v>
      </c>
      <c r="AD105" s="110"/>
      <c r="AE105" s="115" t="str">
        <f>IFERROR(IF(AC105=0,INDEX([1]ShipSlot!$A:$A,MATCH(AD105,[1]ShipSlot!$C:$C,0)),IF(AC105=1,INDEX([1]CEquip!$A:$A,MATCH(AD105,[1]CEquip!$B:$B,0)), INDEX([1]Item!$A:$A,MATCH(AD105,[1]Item!$B:$B,0)))), "-")</f>
        <v>-</v>
      </c>
      <c r="AF105" s="94" t="s">
        <v>18</v>
      </c>
      <c r="AG105" s="82"/>
      <c r="AH105" s="11" t="str">
        <f>IFERROR(VLOOKUP(AG$8&amp;AG105,[1]_enum!$A:$D,4,FALSE),"-")</f>
        <v>-</v>
      </c>
      <c r="AI105" s="110"/>
      <c r="AJ105" s="115" t="str">
        <f>IFERROR(IF(AH105=0,INDEX([1]ShipSlot!$A:$A,MATCH(AI105,[1]ShipSlot!$C:$C,0)),IF(AH105=1,INDEX([1]CEquip!$A:$A,MATCH(AI105,[1]CEquip!$B:$B,0)), INDEX([1]Item!$A:$A,MATCH(AI105,[1]Item!$B:$B,0)))), "-")</f>
        <v>-</v>
      </c>
      <c r="AK105" s="94" t="s">
        <v>18</v>
      </c>
    </row>
    <row r="106" spans="1:37" x14ac:dyDescent="0.2">
      <c r="A106" s="116">
        <v>2541</v>
      </c>
      <c r="B106" s="82" t="s">
        <v>465</v>
      </c>
      <c r="C106" s="11">
        <f>IFERROR(VLOOKUP(B$8&amp;B106,[1]_enum!$A:$D,4,FALSE),"-")</f>
        <v>1</v>
      </c>
      <c r="D106" s="89" t="s">
        <v>580</v>
      </c>
      <c r="E106" s="115">
        <f>IFERROR(IF(C106=0,INDEX([1]ShipSlot!$A:$A,MATCH(D106,[1]ShipSlot!$C:$C,0)),IF(C106=1,INDEX([1]CEquip!$A:$A,MATCH(D106,[1]CEquip!$B:$B,0)), INDEX([1]Item!$A:$A,MATCH(D106,[1]Item!$B:$B,0)))), "-")</f>
        <v>22374003</v>
      </c>
      <c r="F106" s="82" t="s">
        <v>539</v>
      </c>
      <c r="G106" s="82" t="s">
        <v>533</v>
      </c>
      <c r="H106" s="81">
        <v>86400</v>
      </c>
      <c r="I106" s="81">
        <v>7</v>
      </c>
      <c r="J106" s="82" t="s">
        <v>593</v>
      </c>
      <c r="K106" s="81">
        <f>IFERROR(VLOOKUP(J$8&amp;J106,[1]_enum!$A:$D,4,FALSE),"-")</f>
        <v>0</v>
      </c>
      <c r="L106" s="81">
        <v>100</v>
      </c>
      <c r="M106" s="81">
        <v>500</v>
      </c>
      <c r="N106" s="81">
        <v>1111111</v>
      </c>
      <c r="O106" s="83" t="s">
        <v>450</v>
      </c>
      <c r="P106" s="84">
        <f>IFERROR(INDEX([1]Point!$A:$A,MATCH(O106,[1]Point!$B:$B,0),1),"-")</f>
        <v>100001</v>
      </c>
      <c r="Q106" s="81">
        <v>5000000</v>
      </c>
      <c r="R106" s="82" t="s">
        <v>466</v>
      </c>
      <c r="S106" s="11">
        <f>IFERROR(VLOOKUP(R$8&amp;R106,[1]_enum!$A:$D,4,FALSE),"-")</f>
        <v>2</v>
      </c>
      <c r="T106" s="89" t="s">
        <v>632</v>
      </c>
      <c r="U106" s="115">
        <f>IFERROR(IF(S106=0,INDEX([1]ShipSlot!$A:$A,MATCH(T106,[1]ShipSlot!$C:$C,0)),IF(S106=1,INDEX([1]CEquip!$A:$A,MATCH(T106,[1]CEquip!$B:$B,0)), INDEX([1]Item!$A:$A,MATCH(T106,[1]Item!$B:$B,0)))), "-")</f>
        <v>23550009</v>
      </c>
      <c r="V106" s="94">
        <v>10</v>
      </c>
      <c r="W106" s="82" t="s">
        <v>466</v>
      </c>
      <c r="X106" s="11">
        <f>IFERROR(VLOOKUP(W$8&amp;W106,[1]_enum!$A:$D,4,FALSE),"-")</f>
        <v>2</v>
      </c>
      <c r="Y106" s="110" t="s">
        <v>481</v>
      </c>
      <c r="Z106" s="115">
        <f>IFERROR(IF(X106=0,INDEX([1]ShipSlot!$A:$A,MATCH(Y106,[1]ShipSlot!$C:$C,0)),IF(X106=1,INDEX([1]CEquip!$A:$A,MATCH(Y106,[1]CEquip!$B:$B,0)), INDEX([1]Item!$A:$A,MATCH(Y106,[1]Item!$B:$B,0)))), "-")</f>
        <v>23550012</v>
      </c>
      <c r="AA106" s="94">
        <v>100</v>
      </c>
      <c r="AB106" s="82"/>
      <c r="AC106" s="11" t="str">
        <f>IFERROR(VLOOKUP(AB$8&amp;AB106,[1]_enum!$A:$D,4,FALSE),"-")</f>
        <v>-</v>
      </c>
      <c r="AD106" s="110"/>
      <c r="AE106" s="115" t="str">
        <f>IFERROR(IF(AC106=0,INDEX([1]ShipSlot!$A:$A,MATCH(AD106,[1]ShipSlot!$C:$C,0)),IF(AC106=1,INDEX([1]CEquip!$A:$A,MATCH(AD106,[1]CEquip!$B:$B,0)), INDEX([1]Item!$A:$A,MATCH(AD106,[1]Item!$B:$B,0)))), "-")</f>
        <v>-</v>
      </c>
      <c r="AF106" s="94" t="s">
        <v>18</v>
      </c>
      <c r="AG106" s="82"/>
      <c r="AH106" s="11" t="str">
        <f>IFERROR(VLOOKUP(AG$8&amp;AG106,[1]_enum!$A:$D,4,FALSE),"-")</f>
        <v>-</v>
      </c>
      <c r="AI106" s="110"/>
      <c r="AJ106" s="115" t="str">
        <f>IFERROR(IF(AH106=0,INDEX([1]ShipSlot!$A:$A,MATCH(AI106,[1]ShipSlot!$C:$C,0)),IF(AH106=1,INDEX([1]CEquip!$A:$A,MATCH(AI106,[1]CEquip!$B:$B,0)), INDEX([1]Item!$A:$A,MATCH(AI106,[1]Item!$B:$B,0)))), "-")</f>
        <v>-</v>
      </c>
      <c r="AK106" s="94" t="s">
        <v>18</v>
      </c>
    </row>
    <row r="107" spans="1:37" x14ac:dyDescent="0.2">
      <c r="A107" s="116">
        <v>2542</v>
      </c>
      <c r="B107" s="82" t="s">
        <v>465</v>
      </c>
      <c r="C107" s="11">
        <f>IFERROR(VLOOKUP(B$8&amp;B107,[1]_enum!$A:$D,4,FALSE),"-")</f>
        <v>1</v>
      </c>
      <c r="D107" s="89" t="s">
        <v>581</v>
      </c>
      <c r="E107" s="115">
        <f>IFERROR(IF(C107=0,INDEX([1]ShipSlot!$A:$A,MATCH(D107,[1]ShipSlot!$C:$C,0)),IF(C107=1,INDEX([1]CEquip!$A:$A,MATCH(D107,[1]CEquip!$B:$B,0)), INDEX([1]Item!$A:$A,MATCH(D107,[1]Item!$B:$B,0)))), "-")</f>
        <v>22374005</v>
      </c>
      <c r="F107" s="82" t="s">
        <v>539</v>
      </c>
      <c r="G107" s="82" t="s">
        <v>533</v>
      </c>
      <c r="H107" s="81">
        <v>86400</v>
      </c>
      <c r="I107" s="81">
        <v>7</v>
      </c>
      <c r="J107" s="82" t="s">
        <v>593</v>
      </c>
      <c r="K107" s="81">
        <f>IFERROR(VLOOKUP(J$8&amp;J107,[1]_enum!$A:$D,4,FALSE),"-")</f>
        <v>0</v>
      </c>
      <c r="L107" s="81">
        <v>100</v>
      </c>
      <c r="M107" s="81">
        <v>500</v>
      </c>
      <c r="N107" s="81">
        <v>1111111</v>
      </c>
      <c r="O107" s="83" t="s">
        <v>450</v>
      </c>
      <c r="P107" s="84">
        <f>IFERROR(INDEX([1]Point!$A:$A,MATCH(O107,[1]Point!$B:$B,0),1),"-")</f>
        <v>100001</v>
      </c>
      <c r="Q107" s="81">
        <v>5000000</v>
      </c>
      <c r="R107" s="82" t="s">
        <v>466</v>
      </c>
      <c r="S107" s="11">
        <f>IFERROR(VLOOKUP(R$8&amp;R107,[1]_enum!$A:$D,4,FALSE),"-")</f>
        <v>2</v>
      </c>
      <c r="T107" s="110" t="s">
        <v>632</v>
      </c>
      <c r="U107" s="115">
        <f>IFERROR(IF(S107=0,INDEX([1]ShipSlot!$A:$A,MATCH(T107,[1]ShipSlot!$C:$C,0)),IF(S107=1,INDEX([1]CEquip!$A:$A,MATCH(T107,[1]CEquip!$B:$B,0)), INDEX([1]Item!$A:$A,MATCH(T107,[1]Item!$B:$B,0)))), "-")</f>
        <v>23550009</v>
      </c>
      <c r="V107" s="94">
        <v>10</v>
      </c>
      <c r="W107" s="82" t="s">
        <v>466</v>
      </c>
      <c r="X107" s="11">
        <f>IFERROR(VLOOKUP(W$8&amp;W107,[1]_enum!$A:$D,4,FALSE),"-")</f>
        <v>2</v>
      </c>
      <c r="Y107" s="110" t="s">
        <v>481</v>
      </c>
      <c r="Z107" s="115">
        <f>IFERROR(IF(X107=0,INDEX([1]ShipSlot!$A:$A,MATCH(Y107,[1]ShipSlot!$C:$C,0)),IF(X107=1,INDEX([1]CEquip!$A:$A,MATCH(Y107,[1]CEquip!$B:$B,0)), INDEX([1]Item!$A:$A,MATCH(Y107,[1]Item!$B:$B,0)))), "-")</f>
        <v>23550012</v>
      </c>
      <c r="AA107" s="94">
        <v>100</v>
      </c>
      <c r="AB107" s="82"/>
      <c r="AC107" s="11" t="str">
        <f>IFERROR(VLOOKUP(AB$8&amp;AB107,[1]_enum!$A:$D,4,FALSE),"-")</f>
        <v>-</v>
      </c>
      <c r="AD107" s="110"/>
      <c r="AE107" s="115" t="str">
        <f>IFERROR(IF(AC107=0,INDEX([1]ShipSlot!$A:$A,MATCH(AD107,[1]ShipSlot!$C:$C,0)),IF(AC107=1,INDEX([1]CEquip!$A:$A,MATCH(AD107,[1]CEquip!$B:$B,0)), INDEX([1]Item!$A:$A,MATCH(AD107,[1]Item!$B:$B,0)))), "-")</f>
        <v>-</v>
      </c>
      <c r="AF107" s="94" t="s">
        <v>18</v>
      </c>
      <c r="AG107" s="82"/>
      <c r="AH107" s="11" t="str">
        <f>IFERROR(VLOOKUP(AG$8&amp;AG107,[1]_enum!$A:$D,4,FALSE),"-")</f>
        <v>-</v>
      </c>
      <c r="AI107" s="110"/>
      <c r="AJ107" s="115" t="str">
        <f>IFERROR(IF(AH107=0,INDEX([1]ShipSlot!$A:$A,MATCH(AI107,[1]ShipSlot!$C:$C,0)),IF(AH107=1,INDEX([1]CEquip!$A:$A,MATCH(AI107,[1]CEquip!$B:$B,0)), INDEX([1]Item!$A:$A,MATCH(AI107,[1]Item!$B:$B,0)))), "-")</f>
        <v>-</v>
      </c>
      <c r="AK107" s="94" t="s">
        <v>18</v>
      </c>
    </row>
    <row r="108" spans="1:37" x14ac:dyDescent="0.2">
      <c r="A108" s="116">
        <v>2543</v>
      </c>
      <c r="B108" s="82" t="s">
        <v>465</v>
      </c>
      <c r="C108" s="11">
        <f>IFERROR(VLOOKUP(B$8&amp;B108,[1]_enum!$A:$D,4,FALSE),"-")</f>
        <v>1</v>
      </c>
      <c r="D108" s="89" t="s">
        <v>591</v>
      </c>
      <c r="E108" s="115">
        <f>IFERROR(IF(C108=0,INDEX([1]ShipSlot!$A:$A,MATCH(D108,[1]ShipSlot!$C:$C,0)),IF(C108=1,INDEX([1]CEquip!$A:$A,MATCH(D108,[1]CEquip!$B:$B,0)), INDEX([1]Item!$A:$A,MATCH(D108,[1]Item!$B:$B,0)))), "-")</f>
        <v>22374007</v>
      </c>
      <c r="F108" s="82" t="s">
        <v>539</v>
      </c>
      <c r="G108" s="82" t="s">
        <v>533</v>
      </c>
      <c r="H108" s="81">
        <v>86400</v>
      </c>
      <c r="I108" s="81">
        <v>7</v>
      </c>
      <c r="J108" s="82" t="s">
        <v>593</v>
      </c>
      <c r="K108" s="81">
        <f>IFERROR(VLOOKUP(J$8&amp;J108,[1]_enum!$A:$D,4,FALSE),"-")</f>
        <v>0</v>
      </c>
      <c r="L108" s="81">
        <v>100</v>
      </c>
      <c r="M108" s="81">
        <v>500</v>
      </c>
      <c r="N108" s="81">
        <v>1111111</v>
      </c>
      <c r="O108" s="83" t="s">
        <v>450</v>
      </c>
      <c r="P108" s="84">
        <f>IFERROR(INDEX([1]Point!$A:$A,MATCH(O108,[1]Point!$B:$B,0),1),"-")</f>
        <v>100001</v>
      </c>
      <c r="Q108" s="81">
        <v>5000000</v>
      </c>
      <c r="R108" s="82" t="s">
        <v>466</v>
      </c>
      <c r="S108" s="11">
        <f>IFERROR(VLOOKUP(R$8&amp;R108,[1]_enum!$A:$D,4,FALSE),"-")</f>
        <v>2</v>
      </c>
      <c r="T108" s="89" t="s">
        <v>632</v>
      </c>
      <c r="U108" s="115">
        <f>IFERROR(IF(S108=0,INDEX([1]ShipSlot!$A:$A,MATCH(T108,[1]ShipSlot!$C:$C,0)),IF(S108=1,INDEX([1]CEquip!$A:$A,MATCH(T108,[1]CEquip!$B:$B,0)), INDEX([1]Item!$A:$A,MATCH(T108,[1]Item!$B:$B,0)))), "-")</f>
        <v>23550009</v>
      </c>
      <c r="V108" s="94">
        <v>10</v>
      </c>
      <c r="W108" s="82" t="s">
        <v>466</v>
      </c>
      <c r="X108" s="11">
        <f>IFERROR(VLOOKUP(W$8&amp;W108,[1]_enum!$A:$D,4,FALSE),"-")</f>
        <v>2</v>
      </c>
      <c r="Y108" s="110" t="s">
        <v>481</v>
      </c>
      <c r="Z108" s="115">
        <f>IFERROR(IF(X108=0,INDEX([1]ShipSlot!$A:$A,MATCH(Y108,[1]ShipSlot!$C:$C,0)),IF(X108=1,INDEX([1]CEquip!$A:$A,MATCH(Y108,[1]CEquip!$B:$B,0)), INDEX([1]Item!$A:$A,MATCH(Y108,[1]Item!$B:$B,0)))), "-")</f>
        <v>23550012</v>
      </c>
      <c r="AA108" s="94">
        <v>100</v>
      </c>
      <c r="AB108" s="82"/>
      <c r="AC108" s="11" t="str">
        <f>IFERROR(VLOOKUP(AB$8&amp;AB108,[1]_enum!$A:$D,4,FALSE),"-")</f>
        <v>-</v>
      </c>
      <c r="AD108" s="110"/>
      <c r="AE108" s="115" t="str">
        <f>IFERROR(IF(AC108=0,INDEX([1]ShipSlot!$A:$A,MATCH(AD108,[1]ShipSlot!$C:$C,0)),IF(AC108=1,INDEX([1]CEquip!$A:$A,MATCH(AD108,[1]CEquip!$B:$B,0)), INDEX([1]Item!$A:$A,MATCH(AD108,[1]Item!$B:$B,0)))), "-")</f>
        <v>-</v>
      </c>
      <c r="AF108" s="94" t="s">
        <v>18</v>
      </c>
      <c r="AG108" s="82"/>
      <c r="AH108" s="11" t="str">
        <f>IFERROR(VLOOKUP(AG$8&amp;AG108,[1]_enum!$A:$D,4,FALSE),"-")</f>
        <v>-</v>
      </c>
      <c r="AI108" s="110"/>
      <c r="AJ108" s="115" t="str">
        <f>IFERROR(IF(AH108=0,INDEX([1]ShipSlot!$A:$A,MATCH(AI108,[1]ShipSlot!$C:$C,0)),IF(AH108=1,INDEX([1]CEquip!$A:$A,MATCH(AI108,[1]CEquip!$B:$B,0)), INDEX([1]Item!$A:$A,MATCH(AI108,[1]Item!$B:$B,0)))), "-")</f>
        <v>-</v>
      </c>
      <c r="AK108" s="94" t="s">
        <v>18</v>
      </c>
    </row>
    <row r="109" spans="1:37" x14ac:dyDescent="0.2">
      <c r="A109" s="116">
        <v>2544</v>
      </c>
      <c r="B109" s="82" t="s">
        <v>465</v>
      </c>
      <c r="C109" s="11">
        <f>IFERROR(VLOOKUP(B$8&amp;B109,[1]_enum!$A:$D,4,FALSE),"-")</f>
        <v>1</v>
      </c>
      <c r="D109" s="83" t="s">
        <v>582</v>
      </c>
      <c r="E109" s="115">
        <f>IFERROR(IF(C109=0,INDEX([1]ShipSlot!$A:$A,MATCH(D109,[1]ShipSlot!$C:$C,0)),IF(C109=1,INDEX([1]CEquip!$A:$A,MATCH(D109,[1]CEquip!$B:$B,0)), INDEX([1]Item!$A:$A,MATCH(D109,[1]Item!$B:$B,0)))), "-")</f>
        <v>22474005</v>
      </c>
      <c r="F109" s="82" t="s">
        <v>564</v>
      </c>
      <c r="G109" s="82" t="s">
        <v>533</v>
      </c>
      <c r="H109" s="81">
        <v>86400</v>
      </c>
      <c r="I109" s="81">
        <v>7</v>
      </c>
      <c r="J109" s="82" t="s">
        <v>593</v>
      </c>
      <c r="K109" s="81">
        <f>IFERROR(VLOOKUP(J$8&amp;J109,[1]_enum!$A:$D,4,FALSE),"-")</f>
        <v>0</v>
      </c>
      <c r="L109" s="81">
        <v>100</v>
      </c>
      <c r="M109" s="81">
        <v>500</v>
      </c>
      <c r="N109" s="81">
        <v>1111111</v>
      </c>
      <c r="O109" s="83" t="s">
        <v>450</v>
      </c>
      <c r="P109" s="84">
        <f>IFERROR(INDEX([1]Point!$A:$A,MATCH(O109,[1]Point!$B:$B,0),1),"-")</f>
        <v>100001</v>
      </c>
      <c r="Q109" s="81">
        <v>5000000</v>
      </c>
      <c r="R109" s="82" t="s">
        <v>466</v>
      </c>
      <c r="S109" s="11">
        <f>IFERROR(VLOOKUP(R$8&amp;R109,[1]_enum!$A:$D,4,FALSE),"-")</f>
        <v>2</v>
      </c>
      <c r="T109" s="89" t="s">
        <v>632</v>
      </c>
      <c r="U109" s="115">
        <f>IFERROR(IF(S109=0,INDEX([1]ShipSlot!$A:$A,MATCH(T109,[1]ShipSlot!$C:$C,0)),IF(S109=1,INDEX([1]CEquip!$A:$A,MATCH(T109,[1]CEquip!$B:$B,0)), INDEX([1]Item!$A:$A,MATCH(T109,[1]Item!$B:$B,0)))), "-")</f>
        <v>23550009</v>
      </c>
      <c r="V109" s="94">
        <v>10</v>
      </c>
      <c r="W109" s="82" t="s">
        <v>466</v>
      </c>
      <c r="X109" s="11">
        <f>IFERROR(VLOOKUP(W$8&amp;W109,[1]_enum!$A:$D,4,FALSE),"-")</f>
        <v>2</v>
      </c>
      <c r="Y109" s="110" t="s">
        <v>479</v>
      </c>
      <c r="Z109" s="115">
        <f>IFERROR(IF(X109=0,INDEX([1]ShipSlot!$A:$A,MATCH(Y109,[1]ShipSlot!$C:$C,0)),IF(X109=1,INDEX([1]CEquip!$A:$A,MATCH(Y109,[1]CEquip!$B:$B,0)), INDEX([1]Item!$A:$A,MATCH(Y109,[1]Item!$B:$B,0)))), "-")</f>
        <v>23550010</v>
      </c>
      <c r="AA109" s="94">
        <v>100</v>
      </c>
      <c r="AB109" s="82"/>
      <c r="AC109" s="11" t="str">
        <f>IFERROR(VLOOKUP(AB$8&amp;AB109,[1]_enum!$A:$D,4,FALSE),"-")</f>
        <v>-</v>
      </c>
      <c r="AD109" s="110"/>
      <c r="AE109" s="115" t="str">
        <f>IFERROR(IF(AC109=0,INDEX([1]ShipSlot!$A:$A,MATCH(AD109,[1]ShipSlot!$C:$C,0)),IF(AC109=1,INDEX([1]CEquip!$A:$A,MATCH(AD109,[1]CEquip!$B:$B,0)), INDEX([1]Item!$A:$A,MATCH(AD109,[1]Item!$B:$B,0)))), "-")</f>
        <v>-</v>
      </c>
      <c r="AF109" s="94" t="s">
        <v>18</v>
      </c>
      <c r="AG109" s="82"/>
      <c r="AH109" s="11" t="str">
        <f>IFERROR(VLOOKUP(AG$8&amp;AG109,[1]_enum!$A:$D,4,FALSE),"-")</f>
        <v>-</v>
      </c>
      <c r="AI109" s="110"/>
      <c r="AJ109" s="115" t="str">
        <f>IFERROR(IF(AH109=0,INDEX([1]ShipSlot!$A:$A,MATCH(AI109,[1]ShipSlot!$C:$C,0)),IF(AH109=1,INDEX([1]CEquip!$A:$A,MATCH(AI109,[1]CEquip!$B:$B,0)), INDEX([1]Item!$A:$A,MATCH(AI109,[1]Item!$B:$B,0)))), "-")</f>
        <v>-</v>
      </c>
      <c r="AK109" s="94" t="s">
        <v>18</v>
      </c>
    </row>
    <row r="110" spans="1:37" x14ac:dyDescent="0.2">
      <c r="A110" s="116">
        <v>2545</v>
      </c>
      <c r="B110" s="82" t="s">
        <v>465</v>
      </c>
      <c r="C110" s="11">
        <f>IFERROR(VLOOKUP(B$8&amp;B110,[1]_enum!$A:$D,4,FALSE),"-")</f>
        <v>1</v>
      </c>
      <c r="D110" s="83" t="s">
        <v>583</v>
      </c>
      <c r="E110" s="115">
        <f>IFERROR(IF(C110=0,INDEX([1]ShipSlot!$A:$A,MATCH(D110,[1]ShipSlot!$C:$C,0)),IF(C110=1,INDEX([1]CEquip!$A:$A,MATCH(D110,[1]CEquip!$B:$B,0)), INDEX([1]Item!$A:$A,MATCH(D110,[1]Item!$B:$B,0)))), "-")</f>
        <v>22474006</v>
      </c>
      <c r="F110" s="82" t="s">
        <v>564</v>
      </c>
      <c r="G110" s="82" t="s">
        <v>533</v>
      </c>
      <c r="H110" s="81">
        <v>86400</v>
      </c>
      <c r="I110" s="81">
        <v>7</v>
      </c>
      <c r="J110" s="82" t="s">
        <v>593</v>
      </c>
      <c r="K110" s="81">
        <f>IFERROR(VLOOKUP(J$8&amp;J110,[1]_enum!$A:$D,4,FALSE),"-")</f>
        <v>0</v>
      </c>
      <c r="L110" s="81">
        <v>100</v>
      </c>
      <c r="M110" s="81">
        <v>500</v>
      </c>
      <c r="N110" s="81">
        <v>1111111</v>
      </c>
      <c r="O110" s="83" t="s">
        <v>450</v>
      </c>
      <c r="P110" s="84">
        <f>IFERROR(INDEX([1]Point!$A:$A,MATCH(O110,[1]Point!$B:$B,0),1),"-")</f>
        <v>100001</v>
      </c>
      <c r="Q110" s="81">
        <v>5000000</v>
      </c>
      <c r="R110" s="82" t="s">
        <v>466</v>
      </c>
      <c r="S110" s="11">
        <f>IFERROR(VLOOKUP(R$8&amp;R110,[1]_enum!$A:$D,4,FALSE),"-")</f>
        <v>2</v>
      </c>
      <c r="T110" s="89" t="s">
        <v>632</v>
      </c>
      <c r="U110" s="115">
        <f>IFERROR(IF(S110=0,INDEX([1]ShipSlot!$A:$A,MATCH(T110,[1]ShipSlot!$C:$C,0)),IF(S110=1,INDEX([1]CEquip!$A:$A,MATCH(T110,[1]CEquip!$B:$B,0)), INDEX([1]Item!$A:$A,MATCH(T110,[1]Item!$B:$B,0)))), "-")</f>
        <v>23550009</v>
      </c>
      <c r="V110" s="94">
        <v>10</v>
      </c>
      <c r="W110" s="82" t="s">
        <v>466</v>
      </c>
      <c r="X110" s="11">
        <f>IFERROR(VLOOKUP(W$8&amp;W110,[1]_enum!$A:$D,4,FALSE),"-")</f>
        <v>2</v>
      </c>
      <c r="Y110" s="110" t="s">
        <v>479</v>
      </c>
      <c r="Z110" s="115">
        <f>IFERROR(IF(X110=0,INDEX([1]ShipSlot!$A:$A,MATCH(Y110,[1]ShipSlot!$C:$C,0)),IF(X110=1,INDEX([1]CEquip!$A:$A,MATCH(Y110,[1]CEquip!$B:$B,0)), INDEX([1]Item!$A:$A,MATCH(Y110,[1]Item!$B:$B,0)))), "-")</f>
        <v>23550010</v>
      </c>
      <c r="AA110" s="94">
        <v>100</v>
      </c>
      <c r="AB110" s="82"/>
      <c r="AC110" s="11" t="str">
        <f>IFERROR(VLOOKUP(AB$8&amp;AB110,[1]_enum!$A:$D,4,FALSE),"-")</f>
        <v>-</v>
      </c>
      <c r="AD110" s="110"/>
      <c r="AE110" s="115" t="str">
        <f>IFERROR(IF(AC110=0,INDEX([1]ShipSlot!$A:$A,MATCH(AD110,[1]ShipSlot!$C:$C,0)),IF(AC110=1,INDEX([1]CEquip!$A:$A,MATCH(AD110,[1]CEquip!$B:$B,0)), INDEX([1]Item!$A:$A,MATCH(AD110,[1]Item!$B:$B,0)))), "-")</f>
        <v>-</v>
      </c>
      <c r="AF110" s="94" t="s">
        <v>18</v>
      </c>
      <c r="AG110" s="82"/>
      <c r="AH110" s="11" t="str">
        <f>IFERROR(VLOOKUP(AG$8&amp;AG110,[1]_enum!$A:$D,4,FALSE),"-")</f>
        <v>-</v>
      </c>
      <c r="AI110" s="110"/>
      <c r="AJ110" s="115" t="str">
        <f>IFERROR(IF(AH110=0,INDEX([1]ShipSlot!$A:$A,MATCH(AI110,[1]ShipSlot!$C:$C,0)),IF(AH110=1,INDEX([1]CEquip!$A:$A,MATCH(AI110,[1]CEquip!$B:$B,0)), INDEX([1]Item!$A:$A,MATCH(AI110,[1]Item!$B:$B,0)))), "-")</f>
        <v>-</v>
      </c>
      <c r="AK110" s="94" t="s">
        <v>18</v>
      </c>
    </row>
    <row r="111" spans="1:37" x14ac:dyDescent="0.2">
      <c r="A111" s="116">
        <v>2546</v>
      </c>
      <c r="B111" s="82" t="s">
        <v>465</v>
      </c>
      <c r="C111" s="11">
        <f>IFERROR(VLOOKUP(B$8&amp;B111,[1]_enum!$A:$D,4,FALSE),"-")</f>
        <v>1</v>
      </c>
      <c r="D111" s="83" t="s">
        <v>584</v>
      </c>
      <c r="E111" s="115">
        <f>IFERROR(IF(C111=0,INDEX([1]ShipSlot!$A:$A,MATCH(D111,[1]ShipSlot!$C:$C,0)),IF(C111=1,INDEX([1]CEquip!$A:$A,MATCH(D111,[1]CEquip!$B:$B,0)), INDEX([1]Item!$A:$A,MATCH(D111,[1]Item!$B:$B,0)))), "-")</f>
        <v>22474007</v>
      </c>
      <c r="F111" s="82" t="s">
        <v>564</v>
      </c>
      <c r="G111" s="82" t="s">
        <v>533</v>
      </c>
      <c r="H111" s="81">
        <v>86400</v>
      </c>
      <c r="I111" s="81">
        <v>7</v>
      </c>
      <c r="J111" s="82" t="s">
        <v>593</v>
      </c>
      <c r="K111" s="81">
        <f>IFERROR(VLOOKUP(J$8&amp;J111,[1]_enum!$A:$D,4,FALSE),"-")</f>
        <v>0</v>
      </c>
      <c r="L111" s="81">
        <v>100</v>
      </c>
      <c r="M111" s="81">
        <v>500</v>
      </c>
      <c r="N111" s="81">
        <v>1111111</v>
      </c>
      <c r="O111" s="83" t="s">
        <v>450</v>
      </c>
      <c r="P111" s="84">
        <f>IFERROR(INDEX([1]Point!$A:$A,MATCH(O111,[1]Point!$B:$B,0),1),"-")</f>
        <v>100001</v>
      </c>
      <c r="Q111" s="81">
        <v>5000000</v>
      </c>
      <c r="R111" s="82" t="s">
        <v>466</v>
      </c>
      <c r="S111" s="11">
        <f>IFERROR(VLOOKUP(R$8&amp;R111,[1]_enum!$A:$D,4,FALSE),"-")</f>
        <v>2</v>
      </c>
      <c r="T111" s="89" t="s">
        <v>632</v>
      </c>
      <c r="U111" s="115">
        <f>IFERROR(IF(S111=0,INDEX([1]ShipSlot!$A:$A,MATCH(T111,[1]ShipSlot!$C:$C,0)),IF(S111=1,INDEX([1]CEquip!$A:$A,MATCH(T111,[1]CEquip!$B:$B,0)), INDEX([1]Item!$A:$A,MATCH(T111,[1]Item!$B:$B,0)))), "-")</f>
        <v>23550009</v>
      </c>
      <c r="V111" s="94">
        <v>10</v>
      </c>
      <c r="W111" s="82" t="s">
        <v>466</v>
      </c>
      <c r="X111" s="11">
        <f>IFERROR(VLOOKUP(W$8&amp;W111,[1]_enum!$A:$D,4,FALSE),"-")</f>
        <v>2</v>
      </c>
      <c r="Y111" s="110" t="s">
        <v>479</v>
      </c>
      <c r="Z111" s="115">
        <f>IFERROR(IF(X111=0,INDEX([1]ShipSlot!$A:$A,MATCH(Y111,[1]ShipSlot!$C:$C,0)),IF(X111=1,INDEX([1]CEquip!$A:$A,MATCH(Y111,[1]CEquip!$B:$B,0)), INDEX([1]Item!$A:$A,MATCH(Y111,[1]Item!$B:$B,0)))), "-")</f>
        <v>23550010</v>
      </c>
      <c r="AA111" s="94">
        <v>100</v>
      </c>
      <c r="AB111" s="82"/>
      <c r="AC111" s="11" t="str">
        <f>IFERROR(VLOOKUP(AB$8&amp;AB111,[1]_enum!$A:$D,4,FALSE),"-")</f>
        <v>-</v>
      </c>
      <c r="AD111" s="110"/>
      <c r="AE111" s="115" t="str">
        <f>IFERROR(IF(AC111=0,INDEX([1]ShipSlot!$A:$A,MATCH(AD111,[1]ShipSlot!$C:$C,0)),IF(AC111=1,INDEX([1]CEquip!$A:$A,MATCH(AD111,[1]CEquip!$B:$B,0)), INDEX([1]Item!$A:$A,MATCH(AD111,[1]Item!$B:$B,0)))), "-")</f>
        <v>-</v>
      </c>
      <c r="AF111" s="94" t="s">
        <v>18</v>
      </c>
      <c r="AG111" s="82"/>
      <c r="AH111" s="11" t="str">
        <f>IFERROR(VLOOKUP(AG$8&amp;AG111,[1]_enum!$A:$D,4,FALSE),"-")</f>
        <v>-</v>
      </c>
      <c r="AI111" s="110"/>
      <c r="AJ111" s="115" t="str">
        <f>IFERROR(IF(AH111=0,INDEX([1]ShipSlot!$A:$A,MATCH(AI111,[1]ShipSlot!$C:$C,0)),IF(AH111=1,INDEX([1]CEquip!$A:$A,MATCH(AI111,[1]CEquip!$B:$B,0)), INDEX([1]Item!$A:$A,MATCH(AI111,[1]Item!$B:$B,0)))), "-")</f>
        <v>-</v>
      </c>
      <c r="AK111" s="94" t="s">
        <v>18</v>
      </c>
    </row>
    <row r="112" spans="1:37" x14ac:dyDescent="0.2">
      <c r="A112" s="116">
        <v>2547</v>
      </c>
      <c r="B112" s="82" t="s">
        <v>465</v>
      </c>
      <c r="C112" s="11">
        <f>IFERROR(VLOOKUP(B$8&amp;B112,[1]_enum!$A:$D,4,FALSE),"-")</f>
        <v>1</v>
      </c>
      <c r="D112" s="83" t="s">
        <v>585</v>
      </c>
      <c r="E112" s="115">
        <f>IFERROR(IF(C112=0,INDEX([1]ShipSlot!$A:$A,MATCH(D112,[1]ShipSlot!$C:$C,0)),IF(C112=1,INDEX([1]CEquip!$A:$A,MATCH(D112,[1]CEquip!$B:$B,0)), INDEX([1]Item!$A:$A,MATCH(D112,[1]Item!$B:$B,0)))), "-")</f>
        <v>22574001</v>
      </c>
      <c r="F112" s="82" t="s">
        <v>565</v>
      </c>
      <c r="G112" s="82" t="s">
        <v>533</v>
      </c>
      <c r="H112" s="81">
        <v>86400</v>
      </c>
      <c r="I112" s="81">
        <v>7</v>
      </c>
      <c r="J112" s="82" t="s">
        <v>593</v>
      </c>
      <c r="K112" s="81">
        <f>IFERROR(VLOOKUP(J$8&amp;J112,[1]_enum!$A:$D,4,FALSE),"-")</f>
        <v>0</v>
      </c>
      <c r="L112" s="81">
        <v>100</v>
      </c>
      <c r="M112" s="81">
        <v>500</v>
      </c>
      <c r="N112" s="81">
        <v>1111111</v>
      </c>
      <c r="O112" s="83" t="s">
        <v>450</v>
      </c>
      <c r="P112" s="84">
        <f>IFERROR(INDEX([1]Point!$A:$A,MATCH(O112,[1]Point!$B:$B,0),1),"-")</f>
        <v>100001</v>
      </c>
      <c r="Q112" s="81">
        <v>5000000</v>
      </c>
      <c r="R112" s="82" t="s">
        <v>466</v>
      </c>
      <c r="S112" s="11">
        <f>IFERROR(VLOOKUP(R$8&amp;R112,[1]_enum!$A:$D,4,FALSE),"-")</f>
        <v>2</v>
      </c>
      <c r="T112" s="89" t="s">
        <v>632</v>
      </c>
      <c r="U112" s="115">
        <f>IFERROR(IF(S112=0,INDEX([1]ShipSlot!$A:$A,MATCH(T112,[1]ShipSlot!$C:$C,0)),IF(S112=1,INDEX([1]CEquip!$A:$A,MATCH(T112,[1]CEquip!$B:$B,0)), INDEX([1]Item!$A:$A,MATCH(T112,[1]Item!$B:$B,0)))), "-")</f>
        <v>23550009</v>
      </c>
      <c r="V112" s="94">
        <v>10</v>
      </c>
      <c r="W112" s="82" t="s">
        <v>466</v>
      </c>
      <c r="X112" s="11">
        <f>IFERROR(VLOOKUP(W$8&amp;W112,[1]_enum!$A:$D,4,FALSE),"-")</f>
        <v>2</v>
      </c>
      <c r="Y112" s="110" t="s">
        <v>480</v>
      </c>
      <c r="Z112" s="115">
        <f>IFERROR(IF(X112=0,INDEX([1]ShipSlot!$A:$A,MATCH(Y112,[1]ShipSlot!$C:$C,0)),IF(X112=1,INDEX([1]CEquip!$A:$A,MATCH(Y112,[1]CEquip!$B:$B,0)), INDEX([1]Item!$A:$A,MATCH(Y112,[1]Item!$B:$B,0)))), "-")</f>
        <v>23550011</v>
      </c>
      <c r="AA112" s="94">
        <v>100</v>
      </c>
      <c r="AB112" s="82"/>
      <c r="AC112" s="11" t="str">
        <f>IFERROR(VLOOKUP(AB$8&amp;AB112,[1]_enum!$A:$D,4,FALSE),"-")</f>
        <v>-</v>
      </c>
      <c r="AD112" s="110"/>
      <c r="AE112" s="115" t="str">
        <f>IFERROR(IF(AC112=0,INDEX([1]ShipSlot!$A:$A,MATCH(AD112,[1]ShipSlot!$C:$C,0)),IF(AC112=1,INDEX([1]CEquip!$A:$A,MATCH(AD112,[1]CEquip!$B:$B,0)), INDEX([1]Item!$A:$A,MATCH(AD112,[1]Item!$B:$B,0)))), "-")</f>
        <v>-</v>
      </c>
      <c r="AF112" s="94" t="s">
        <v>18</v>
      </c>
      <c r="AG112" s="82"/>
      <c r="AH112" s="11" t="str">
        <f>IFERROR(VLOOKUP(AG$8&amp;AG112,[1]_enum!$A:$D,4,FALSE),"-")</f>
        <v>-</v>
      </c>
      <c r="AI112" s="110"/>
      <c r="AJ112" s="115" t="str">
        <f>IFERROR(IF(AH112=0,INDEX([1]ShipSlot!$A:$A,MATCH(AI112,[1]ShipSlot!$C:$C,0)),IF(AH112=1,INDEX([1]CEquip!$A:$A,MATCH(AI112,[1]CEquip!$B:$B,0)), INDEX([1]Item!$A:$A,MATCH(AI112,[1]Item!$B:$B,0)))), "-")</f>
        <v>-</v>
      </c>
      <c r="AK112" s="94" t="s">
        <v>18</v>
      </c>
    </row>
    <row r="113" spans="1:37" x14ac:dyDescent="0.2">
      <c r="A113" s="116">
        <v>2548</v>
      </c>
      <c r="B113" s="82" t="s">
        <v>465</v>
      </c>
      <c r="C113" s="11">
        <f>IFERROR(VLOOKUP(B$8&amp;B113,[1]_enum!$A:$D,4,FALSE),"-")</f>
        <v>1</v>
      </c>
      <c r="D113" s="89" t="s">
        <v>586</v>
      </c>
      <c r="E113" s="115">
        <f>IFERROR(IF(C113=0,INDEX([1]ShipSlot!$A:$A,MATCH(D113,[1]ShipSlot!$C:$C,0)),IF(C113=1,INDEX([1]CEquip!$A:$A,MATCH(D113,[1]CEquip!$B:$B,0)), INDEX([1]Item!$A:$A,MATCH(D113,[1]Item!$B:$B,0)))), "-")</f>
        <v>22574002</v>
      </c>
      <c r="F113" s="82" t="s">
        <v>565</v>
      </c>
      <c r="G113" s="82" t="s">
        <v>533</v>
      </c>
      <c r="H113" s="81">
        <v>86400</v>
      </c>
      <c r="I113" s="81">
        <v>7</v>
      </c>
      <c r="J113" s="82" t="s">
        <v>593</v>
      </c>
      <c r="K113" s="81">
        <f>IFERROR(VLOOKUP(J$8&amp;J113,[1]_enum!$A:$D,4,FALSE),"-")</f>
        <v>0</v>
      </c>
      <c r="L113" s="81">
        <v>100</v>
      </c>
      <c r="M113" s="81">
        <v>500</v>
      </c>
      <c r="N113" s="81">
        <v>1111111</v>
      </c>
      <c r="O113" s="83" t="s">
        <v>450</v>
      </c>
      <c r="P113" s="84">
        <f>IFERROR(INDEX([1]Point!$A:$A,MATCH(O113,[1]Point!$B:$B,0),1),"-")</f>
        <v>100001</v>
      </c>
      <c r="Q113" s="81">
        <v>5000000</v>
      </c>
      <c r="R113" s="82" t="s">
        <v>466</v>
      </c>
      <c r="S113" s="11">
        <f>IFERROR(VLOOKUP(R$8&amp;R113,[1]_enum!$A:$D,4,FALSE),"-")</f>
        <v>2</v>
      </c>
      <c r="T113" s="89" t="s">
        <v>632</v>
      </c>
      <c r="U113" s="115">
        <f>IFERROR(IF(S113=0,INDEX([1]ShipSlot!$A:$A,MATCH(T113,[1]ShipSlot!$C:$C,0)),IF(S113=1,INDEX([1]CEquip!$A:$A,MATCH(T113,[1]CEquip!$B:$B,0)), INDEX([1]Item!$A:$A,MATCH(T113,[1]Item!$B:$B,0)))), "-")</f>
        <v>23550009</v>
      </c>
      <c r="V113" s="94">
        <v>10</v>
      </c>
      <c r="W113" s="82" t="s">
        <v>466</v>
      </c>
      <c r="X113" s="11">
        <f>IFERROR(VLOOKUP(W$8&amp;W113,[1]_enum!$A:$D,4,FALSE),"-")</f>
        <v>2</v>
      </c>
      <c r="Y113" s="110" t="s">
        <v>480</v>
      </c>
      <c r="Z113" s="115">
        <f>IFERROR(IF(X113=0,INDEX([1]ShipSlot!$A:$A,MATCH(Y113,[1]ShipSlot!$C:$C,0)),IF(X113=1,INDEX([1]CEquip!$A:$A,MATCH(Y113,[1]CEquip!$B:$B,0)), INDEX([1]Item!$A:$A,MATCH(Y113,[1]Item!$B:$B,0)))), "-")</f>
        <v>23550011</v>
      </c>
      <c r="AA113" s="94">
        <v>100</v>
      </c>
      <c r="AB113" s="82"/>
      <c r="AC113" s="11" t="str">
        <f>IFERROR(VLOOKUP(AB$8&amp;AB113,[1]_enum!$A:$D,4,FALSE),"-")</f>
        <v>-</v>
      </c>
      <c r="AD113" s="110"/>
      <c r="AE113" s="115" t="str">
        <f>IFERROR(IF(AC113=0,INDEX([1]ShipSlot!$A:$A,MATCH(AD113,[1]ShipSlot!$C:$C,0)),IF(AC113=1,INDEX([1]CEquip!$A:$A,MATCH(AD113,[1]CEquip!$B:$B,0)), INDEX([1]Item!$A:$A,MATCH(AD113,[1]Item!$B:$B,0)))), "-")</f>
        <v>-</v>
      </c>
      <c r="AF113" s="94" t="s">
        <v>18</v>
      </c>
      <c r="AG113" s="82"/>
      <c r="AH113" s="11" t="str">
        <f>IFERROR(VLOOKUP(AG$8&amp;AG113,[1]_enum!$A:$D,4,FALSE),"-")</f>
        <v>-</v>
      </c>
      <c r="AI113" s="110"/>
      <c r="AJ113" s="115" t="str">
        <f>IFERROR(IF(AH113=0,INDEX([1]ShipSlot!$A:$A,MATCH(AI113,[1]ShipSlot!$C:$C,0)),IF(AH113=1,INDEX([1]CEquip!$A:$A,MATCH(AI113,[1]CEquip!$B:$B,0)), INDEX([1]Item!$A:$A,MATCH(AI113,[1]Item!$B:$B,0)))), "-")</f>
        <v>-</v>
      </c>
      <c r="AK113" s="94" t="s">
        <v>18</v>
      </c>
    </row>
    <row r="114" spans="1:37" x14ac:dyDescent="0.2">
      <c r="A114" s="116">
        <v>2549</v>
      </c>
      <c r="B114" s="82" t="s">
        <v>465</v>
      </c>
      <c r="C114" s="11">
        <f>IFERROR(VLOOKUP(B$8&amp;B114,[1]_enum!$A:$D,4,FALSE),"-")</f>
        <v>1</v>
      </c>
      <c r="D114" s="89" t="s">
        <v>587</v>
      </c>
      <c r="E114" s="115">
        <f>IFERROR(IF(C114=0,INDEX([1]ShipSlot!$A:$A,MATCH(D114,[1]ShipSlot!$C:$C,0)),IF(C114=1,INDEX([1]CEquip!$A:$A,MATCH(D114,[1]CEquip!$B:$B,0)), INDEX([1]Item!$A:$A,MATCH(D114,[1]Item!$B:$B,0)))), "-")</f>
        <v>22574003</v>
      </c>
      <c r="F114" s="82" t="s">
        <v>565</v>
      </c>
      <c r="G114" s="82" t="s">
        <v>533</v>
      </c>
      <c r="H114" s="81">
        <v>86400</v>
      </c>
      <c r="I114" s="81">
        <v>7</v>
      </c>
      <c r="J114" s="82" t="s">
        <v>593</v>
      </c>
      <c r="K114" s="81">
        <f>IFERROR(VLOOKUP(J$8&amp;J114,[1]_enum!$A:$D,4,FALSE),"-")</f>
        <v>0</v>
      </c>
      <c r="L114" s="81">
        <v>100</v>
      </c>
      <c r="M114" s="81">
        <v>500</v>
      </c>
      <c r="N114" s="81">
        <v>1111111</v>
      </c>
      <c r="O114" s="83" t="s">
        <v>450</v>
      </c>
      <c r="P114" s="84">
        <f>IFERROR(INDEX([1]Point!$A:$A,MATCH(O114,[1]Point!$B:$B,0),1),"-")</f>
        <v>100001</v>
      </c>
      <c r="Q114" s="81">
        <v>5000000</v>
      </c>
      <c r="R114" s="82" t="s">
        <v>466</v>
      </c>
      <c r="S114" s="11">
        <f>IFERROR(VLOOKUP(R$8&amp;R114,[1]_enum!$A:$D,4,FALSE),"-")</f>
        <v>2</v>
      </c>
      <c r="T114" s="110" t="s">
        <v>632</v>
      </c>
      <c r="U114" s="115">
        <f>IFERROR(IF(S114=0,INDEX([1]ShipSlot!$A:$A,MATCH(T114,[1]ShipSlot!$C:$C,0)),IF(S114=1,INDEX([1]CEquip!$A:$A,MATCH(T114,[1]CEquip!$B:$B,0)), INDEX([1]Item!$A:$A,MATCH(T114,[1]Item!$B:$B,0)))), "-")</f>
        <v>23550009</v>
      </c>
      <c r="V114" s="94">
        <v>10</v>
      </c>
      <c r="W114" s="82" t="s">
        <v>466</v>
      </c>
      <c r="X114" s="11">
        <f>IFERROR(VLOOKUP(W$8&amp;W114,[1]_enum!$A:$D,4,FALSE),"-")</f>
        <v>2</v>
      </c>
      <c r="Y114" s="110" t="s">
        <v>480</v>
      </c>
      <c r="Z114" s="115">
        <f>IFERROR(IF(X114=0,INDEX([1]ShipSlot!$A:$A,MATCH(Y114,[1]ShipSlot!$C:$C,0)),IF(X114=1,INDEX([1]CEquip!$A:$A,MATCH(Y114,[1]CEquip!$B:$B,0)), INDEX([1]Item!$A:$A,MATCH(Y114,[1]Item!$B:$B,0)))), "-")</f>
        <v>23550011</v>
      </c>
      <c r="AA114" s="94">
        <v>100</v>
      </c>
      <c r="AB114" s="82"/>
      <c r="AC114" s="11" t="str">
        <f>IFERROR(VLOOKUP(AB$8&amp;AB114,[1]_enum!$A:$D,4,FALSE),"-")</f>
        <v>-</v>
      </c>
      <c r="AD114" s="110"/>
      <c r="AE114" s="115" t="str">
        <f>IFERROR(IF(AC114=0,INDEX([1]ShipSlot!$A:$A,MATCH(AD114,[1]ShipSlot!$C:$C,0)),IF(AC114=1,INDEX([1]CEquip!$A:$A,MATCH(AD114,[1]CEquip!$B:$B,0)), INDEX([1]Item!$A:$A,MATCH(AD114,[1]Item!$B:$B,0)))), "-")</f>
        <v>-</v>
      </c>
      <c r="AF114" s="94" t="s">
        <v>18</v>
      </c>
      <c r="AG114" s="82"/>
      <c r="AH114" s="11" t="str">
        <f>IFERROR(VLOOKUP(AG$8&amp;AG114,[1]_enum!$A:$D,4,FALSE),"-")</f>
        <v>-</v>
      </c>
      <c r="AI114" s="110"/>
      <c r="AJ114" s="115" t="str">
        <f>IFERROR(IF(AH114=0,INDEX([1]ShipSlot!$A:$A,MATCH(AI114,[1]ShipSlot!$C:$C,0)),IF(AH114=1,INDEX([1]CEquip!$A:$A,MATCH(AI114,[1]CEquip!$B:$B,0)), INDEX([1]Item!$A:$A,MATCH(AI114,[1]Item!$B:$B,0)))), "-")</f>
        <v>-</v>
      </c>
      <c r="AK114" s="94" t="s">
        <v>18</v>
      </c>
    </row>
    <row r="115" spans="1:37" x14ac:dyDescent="0.2">
      <c r="A115" s="116">
        <v>2550</v>
      </c>
      <c r="B115" s="82" t="s">
        <v>465</v>
      </c>
      <c r="C115" s="11">
        <f>IFERROR(VLOOKUP(B$8&amp;B115,[1]_enum!$A:$D,4,FALSE),"-")</f>
        <v>1</v>
      </c>
      <c r="D115" s="89" t="s">
        <v>588</v>
      </c>
      <c r="E115" s="115">
        <f>IFERROR(IF(C115=0,INDEX([1]ShipSlot!$A:$A,MATCH(D115,[1]ShipSlot!$C:$C,0)),IF(C115=1,INDEX([1]CEquip!$A:$A,MATCH(D115,[1]CEquip!$B:$B,0)), INDEX([1]Item!$A:$A,MATCH(D115,[1]Item!$B:$B,0)))), "-")</f>
        <v>22674007</v>
      </c>
      <c r="F115" s="82" t="s">
        <v>566</v>
      </c>
      <c r="G115" s="82" t="s">
        <v>533</v>
      </c>
      <c r="H115" s="81">
        <v>86400</v>
      </c>
      <c r="I115" s="81">
        <v>7</v>
      </c>
      <c r="J115" s="82" t="s">
        <v>593</v>
      </c>
      <c r="K115" s="81">
        <f>IFERROR(VLOOKUP(J$8&amp;J115,[1]_enum!$A:$D,4,FALSE),"-")</f>
        <v>0</v>
      </c>
      <c r="L115" s="81">
        <v>100</v>
      </c>
      <c r="M115" s="81">
        <v>500</v>
      </c>
      <c r="N115" s="81">
        <v>1111111</v>
      </c>
      <c r="O115" s="83" t="s">
        <v>450</v>
      </c>
      <c r="P115" s="84">
        <f>IFERROR(INDEX([1]Point!$A:$A,MATCH(O115,[1]Point!$B:$B,0),1),"-")</f>
        <v>100001</v>
      </c>
      <c r="Q115" s="81">
        <v>5000000</v>
      </c>
      <c r="R115" s="82" t="s">
        <v>466</v>
      </c>
      <c r="S115" s="11">
        <f>IFERROR(VLOOKUP(R$8&amp;R115,[1]_enum!$A:$D,4,FALSE),"-")</f>
        <v>2</v>
      </c>
      <c r="T115" s="89" t="s">
        <v>632</v>
      </c>
      <c r="U115" s="115">
        <f>IFERROR(IF(S115=0,INDEX([1]ShipSlot!$A:$A,MATCH(T115,[1]ShipSlot!$C:$C,0)),IF(S115=1,INDEX([1]CEquip!$A:$A,MATCH(T115,[1]CEquip!$B:$B,0)), INDEX([1]Item!$A:$A,MATCH(T115,[1]Item!$B:$B,0)))), "-")</f>
        <v>23550009</v>
      </c>
      <c r="V115" s="94">
        <v>10</v>
      </c>
      <c r="W115" s="82" t="s">
        <v>466</v>
      </c>
      <c r="X115" s="11">
        <f>IFERROR(VLOOKUP(W$8&amp;W115,[1]_enum!$A:$D,4,FALSE),"-")</f>
        <v>2</v>
      </c>
      <c r="Y115" s="110" t="s">
        <v>481</v>
      </c>
      <c r="Z115" s="115">
        <f>IFERROR(IF(X115=0,INDEX([1]ShipSlot!$A:$A,MATCH(Y115,[1]ShipSlot!$C:$C,0)),IF(X115=1,INDEX([1]CEquip!$A:$A,MATCH(Y115,[1]CEquip!$B:$B,0)), INDEX([1]Item!$A:$A,MATCH(Y115,[1]Item!$B:$B,0)))), "-")</f>
        <v>23550012</v>
      </c>
      <c r="AA115" s="94">
        <v>100</v>
      </c>
      <c r="AB115" s="82"/>
      <c r="AC115" s="11" t="str">
        <f>IFERROR(VLOOKUP(AB$8&amp;AB115,[1]_enum!$A:$D,4,FALSE),"-")</f>
        <v>-</v>
      </c>
      <c r="AD115" s="110"/>
      <c r="AE115" s="115" t="str">
        <f>IFERROR(IF(AC115=0,INDEX([1]ShipSlot!$A:$A,MATCH(AD115,[1]ShipSlot!$C:$C,0)),IF(AC115=1,INDEX([1]CEquip!$A:$A,MATCH(AD115,[1]CEquip!$B:$B,0)), INDEX([1]Item!$A:$A,MATCH(AD115,[1]Item!$B:$B,0)))), "-")</f>
        <v>-</v>
      </c>
      <c r="AF115" s="94" t="s">
        <v>18</v>
      </c>
      <c r="AG115" s="82"/>
      <c r="AH115" s="11" t="str">
        <f>IFERROR(VLOOKUP(AG$8&amp;AG115,[1]_enum!$A:$D,4,FALSE),"-")</f>
        <v>-</v>
      </c>
      <c r="AI115" s="110"/>
      <c r="AJ115" s="115" t="str">
        <f>IFERROR(IF(AH115=0,INDEX([1]ShipSlot!$A:$A,MATCH(AI115,[1]ShipSlot!$C:$C,0)),IF(AH115=1,INDEX([1]CEquip!$A:$A,MATCH(AI115,[1]CEquip!$B:$B,0)), INDEX([1]Item!$A:$A,MATCH(AI115,[1]Item!$B:$B,0)))), "-")</f>
        <v>-</v>
      </c>
      <c r="AK115" s="94" t="s">
        <v>18</v>
      </c>
    </row>
    <row r="116" spans="1:37" x14ac:dyDescent="0.2">
      <c r="A116" s="116">
        <v>2551</v>
      </c>
      <c r="B116" s="82" t="s">
        <v>465</v>
      </c>
      <c r="C116" s="11">
        <f>IFERROR(VLOOKUP(B$8&amp;B116,[1]_enum!$A:$D,4,FALSE),"-")</f>
        <v>1</v>
      </c>
      <c r="D116" s="83" t="s">
        <v>589</v>
      </c>
      <c r="E116" s="115">
        <f>IFERROR(IF(C116=0,INDEX([1]ShipSlot!$A:$A,MATCH(D116,[1]ShipSlot!$C:$C,0)),IF(C116=1,INDEX([1]CEquip!$A:$A,MATCH(D116,[1]CEquip!$B:$B,0)), INDEX([1]Item!$A:$A,MATCH(D116,[1]Item!$B:$B,0)))), "-")</f>
        <v>22674008</v>
      </c>
      <c r="F116" s="82" t="s">
        <v>566</v>
      </c>
      <c r="G116" s="82" t="s">
        <v>533</v>
      </c>
      <c r="H116" s="81">
        <v>86400</v>
      </c>
      <c r="I116" s="81">
        <v>7</v>
      </c>
      <c r="J116" s="82" t="s">
        <v>593</v>
      </c>
      <c r="K116" s="81">
        <f>IFERROR(VLOOKUP(J$8&amp;J116,[1]_enum!$A:$D,4,FALSE),"-")</f>
        <v>0</v>
      </c>
      <c r="L116" s="81">
        <v>100</v>
      </c>
      <c r="M116" s="81">
        <v>500</v>
      </c>
      <c r="N116" s="81">
        <v>1111111</v>
      </c>
      <c r="O116" s="83" t="s">
        <v>450</v>
      </c>
      <c r="P116" s="84">
        <f>IFERROR(INDEX([1]Point!$A:$A,MATCH(O116,[1]Point!$B:$B,0),1),"-")</f>
        <v>100001</v>
      </c>
      <c r="Q116" s="81">
        <v>5000000</v>
      </c>
      <c r="R116" s="82" t="s">
        <v>466</v>
      </c>
      <c r="S116" s="11">
        <f>IFERROR(VLOOKUP(R$8&amp;R116,[1]_enum!$A:$D,4,FALSE),"-")</f>
        <v>2</v>
      </c>
      <c r="T116" s="89" t="s">
        <v>632</v>
      </c>
      <c r="U116" s="115">
        <f>IFERROR(IF(S116=0,INDEX([1]ShipSlot!$A:$A,MATCH(T116,[1]ShipSlot!$C:$C,0)),IF(S116=1,INDEX([1]CEquip!$A:$A,MATCH(T116,[1]CEquip!$B:$B,0)), INDEX([1]Item!$A:$A,MATCH(T116,[1]Item!$B:$B,0)))), "-")</f>
        <v>23550009</v>
      </c>
      <c r="V116" s="94">
        <v>10</v>
      </c>
      <c r="W116" s="82" t="s">
        <v>466</v>
      </c>
      <c r="X116" s="11">
        <f>IFERROR(VLOOKUP(W$8&amp;W116,[1]_enum!$A:$D,4,FALSE),"-")</f>
        <v>2</v>
      </c>
      <c r="Y116" s="110" t="s">
        <v>481</v>
      </c>
      <c r="Z116" s="115">
        <f>IFERROR(IF(X116=0,INDEX([1]ShipSlot!$A:$A,MATCH(Y116,[1]ShipSlot!$C:$C,0)),IF(X116=1,INDEX([1]CEquip!$A:$A,MATCH(Y116,[1]CEquip!$B:$B,0)), INDEX([1]Item!$A:$A,MATCH(Y116,[1]Item!$B:$B,0)))), "-")</f>
        <v>23550012</v>
      </c>
      <c r="AA116" s="94">
        <v>100</v>
      </c>
      <c r="AB116" s="82"/>
      <c r="AC116" s="11" t="str">
        <f>IFERROR(VLOOKUP(AB$8&amp;AB116,[1]_enum!$A:$D,4,FALSE),"-")</f>
        <v>-</v>
      </c>
      <c r="AD116" s="110"/>
      <c r="AE116" s="115" t="str">
        <f>IFERROR(IF(AC116=0,INDEX([1]ShipSlot!$A:$A,MATCH(AD116,[1]ShipSlot!$C:$C,0)),IF(AC116=1,INDEX([1]CEquip!$A:$A,MATCH(AD116,[1]CEquip!$B:$B,0)), INDEX([1]Item!$A:$A,MATCH(AD116,[1]Item!$B:$B,0)))), "-")</f>
        <v>-</v>
      </c>
      <c r="AF116" s="94" t="s">
        <v>18</v>
      </c>
      <c r="AG116" s="82"/>
      <c r="AH116" s="11" t="str">
        <f>IFERROR(VLOOKUP(AG$8&amp;AG116,[1]_enum!$A:$D,4,FALSE),"-")</f>
        <v>-</v>
      </c>
      <c r="AI116" s="110"/>
      <c r="AJ116" s="115" t="str">
        <f>IFERROR(IF(AH116=0,INDEX([1]ShipSlot!$A:$A,MATCH(AI116,[1]ShipSlot!$C:$C,0)),IF(AH116=1,INDEX([1]CEquip!$A:$A,MATCH(AI116,[1]CEquip!$B:$B,0)), INDEX([1]Item!$A:$A,MATCH(AI116,[1]Item!$B:$B,0)))), "-")</f>
        <v>-</v>
      </c>
      <c r="AK116" s="94" t="s">
        <v>18</v>
      </c>
    </row>
    <row r="117" spans="1:37" x14ac:dyDescent="0.2">
      <c r="A117" s="116">
        <v>2552</v>
      </c>
      <c r="B117" s="82" t="s">
        <v>465</v>
      </c>
      <c r="C117" s="11">
        <f>IFERROR(VLOOKUP(B$8&amp;B117,[1]_enum!$A:$D,4,FALSE),"-")</f>
        <v>1</v>
      </c>
      <c r="D117" s="83" t="s">
        <v>590</v>
      </c>
      <c r="E117" s="115">
        <f>IFERROR(IF(C117=0,INDEX([1]ShipSlot!$A:$A,MATCH(D117,[1]ShipSlot!$C:$C,0)),IF(C117=1,INDEX([1]CEquip!$A:$A,MATCH(D117,[1]CEquip!$B:$B,0)), INDEX([1]Item!$A:$A,MATCH(D117,[1]Item!$B:$B,0)))), "-")</f>
        <v>22674009</v>
      </c>
      <c r="F117" s="82" t="s">
        <v>566</v>
      </c>
      <c r="G117" s="82" t="s">
        <v>533</v>
      </c>
      <c r="H117" s="81">
        <v>86400</v>
      </c>
      <c r="I117" s="81">
        <v>7</v>
      </c>
      <c r="J117" s="82" t="s">
        <v>593</v>
      </c>
      <c r="K117" s="81">
        <f>IFERROR(VLOOKUP(J$8&amp;J117,[1]_enum!$A:$D,4,FALSE),"-")</f>
        <v>0</v>
      </c>
      <c r="L117" s="81">
        <v>100</v>
      </c>
      <c r="M117" s="81">
        <v>500</v>
      </c>
      <c r="N117" s="81">
        <v>1111111</v>
      </c>
      <c r="O117" s="83" t="s">
        <v>450</v>
      </c>
      <c r="P117" s="84">
        <f>IFERROR(INDEX([1]Point!$A:$A,MATCH(O117,[1]Point!$B:$B,0),1),"-")</f>
        <v>100001</v>
      </c>
      <c r="Q117" s="81">
        <v>5000000</v>
      </c>
      <c r="R117" s="82" t="s">
        <v>466</v>
      </c>
      <c r="S117" s="11">
        <f>IFERROR(VLOOKUP(R$8&amp;R117,[1]_enum!$A:$D,4,FALSE),"-")</f>
        <v>2</v>
      </c>
      <c r="T117" s="89" t="s">
        <v>632</v>
      </c>
      <c r="U117" s="115">
        <f>IFERROR(IF(S117=0,INDEX([1]ShipSlot!$A:$A,MATCH(T117,[1]ShipSlot!$C:$C,0)),IF(S117=1,INDEX([1]CEquip!$A:$A,MATCH(T117,[1]CEquip!$B:$B,0)), INDEX([1]Item!$A:$A,MATCH(T117,[1]Item!$B:$B,0)))), "-")</f>
        <v>23550009</v>
      </c>
      <c r="V117" s="94">
        <v>10</v>
      </c>
      <c r="W117" s="82" t="s">
        <v>466</v>
      </c>
      <c r="X117" s="11">
        <f>IFERROR(VLOOKUP(W$8&amp;W117,[1]_enum!$A:$D,4,FALSE),"-")</f>
        <v>2</v>
      </c>
      <c r="Y117" s="110" t="s">
        <v>481</v>
      </c>
      <c r="Z117" s="115">
        <f>IFERROR(IF(X117=0,INDEX([1]ShipSlot!$A:$A,MATCH(Y117,[1]ShipSlot!$C:$C,0)),IF(X117=1,INDEX([1]CEquip!$A:$A,MATCH(Y117,[1]CEquip!$B:$B,0)), INDEX([1]Item!$A:$A,MATCH(Y117,[1]Item!$B:$B,0)))), "-")</f>
        <v>23550012</v>
      </c>
      <c r="AA117" s="94">
        <v>100</v>
      </c>
      <c r="AB117" s="82"/>
      <c r="AC117" s="11" t="str">
        <f>IFERROR(VLOOKUP(AB$8&amp;AB117,[1]_enum!$A:$D,4,FALSE),"-")</f>
        <v>-</v>
      </c>
      <c r="AD117" s="110"/>
      <c r="AE117" s="115" t="str">
        <f>IFERROR(IF(AC117=0,INDEX([1]ShipSlot!$A:$A,MATCH(AD117,[1]ShipSlot!$C:$C,0)),IF(AC117=1,INDEX([1]CEquip!$A:$A,MATCH(AD117,[1]CEquip!$B:$B,0)), INDEX([1]Item!$A:$A,MATCH(AD117,[1]Item!$B:$B,0)))), "-")</f>
        <v>-</v>
      </c>
      <c r="AF117" s="94" t="s">
        <v>18</v>
      </c>
      <c r="AG117" s="82"/>
      <c r="AH117" s="11" t="str">
        <f>IFERROR(VLOOKUP(AG$8&amp;AG117,[1]_enum!$A:$D,4,FALSE),"-")</f>
        <v>-</v>
      </c>
      <c r="AI117" s="110"/>
      <c r="AJ117" s="115" t="str">
        <f>IFERROR(IF(AH117=0,INDEX([1]ShipSlot!$A:$A,MATCH(AI117,[1]ShipSlot!$C:$C,0)),IF(AH117=1,INDEX([1]CEquip!$A:$A,MATCH(AI117,[1]CEquip!$B:$B,0)), INDEX([1]Item!$A:$A,MATCH(AI117,[1]Item!$B:$B,0)))), "-")</f>
        <v>-</v>
      </c>
      <c r="AK117" s="94" t="s">
        <v>18</v>
      </c>
    </row>
    <row r="118" spans="1:37" x14ac:dyDescent="0.2">
      <c r="A118" s="79">
        <v>3000</v>
      </c>
      <c r="B118" s="82" t="s">
        <v>466</v>
      </c>
      <c r="C118" s="11">
        <f>IFERROR(VLOOKUP(B$8&amp;B118,[1]_enum!$A:$D,4,FALSE),"-")</f>
        <v>2</v>
      </c>
      <c r="D118" s="89" t="s">
        <v>473</v>
      </c>
      <c r="E118" s="115">
        <f>IFERROR(IF(C118=0,INDEX([1]ShipSlot!$A:$A,MATCH(D118,[1]ShipSlot!$C:$C,0)),IF(C118=1,INDEX([1]CEquip!$A:$A,MATCH(D118,[1]CEquip!$B:$B,0)), INDEX([1]Item!$A:$A,MATCH(D118,[1]Item!$B:$B,0)))), "-")</f>
        <v>23550006</v>
      </c>
      <c r="F118" s="82" t="s">
        <v>466</v>
      </c>
      <c r="G118" s="82" t="s">
        <v>519</v>
      </c>
      <c r="H118" s="81">
        <v>0</v>
      </c>
      <c r="I118" s="81">
        <v>3</v>
      </c>
      <c r="J118" s="82" t="s">
        <v>594</v>
      </c>
      <c r="K118" s="81">
        <f>IFERROR(VLOOKUP(J$8&amp;J118,[1]_enum!$A:$D,4,FALSE),"-")</f>
        <v>2</v>
      </c>
      <c r="L118" s="81" t="s">
        <v>0</v>
      </c>
      <c r="M118" s="81">
        <v>0</v>
      </c>
      <c r="N118" s="81">
        <v>1111111</v>
      </c>
      <c r="O118" s="83" t="s">
        <v>450</v>
      </c>
      <c r="P118" s="84">
        <f>IFERROR(INDEX([1]Point!$A:$A,MATCH(O118,[1]Point!$B:$B,0),1),"-")</f>
        <v>100001</v>
      </c>
      <c r="Q118" s="81">
        <v>20000</v>
      </c>
      <c r="R118" s="82" t="s">
        <v>466</v>
      </c>
      <c r="S118" s="11">
        <f>IFERROR(VLOOKUP(R$8&amp;R118,[1]_enum!$A:$D,4,FALSE),"-")</f>
        <v>2</v>
      </c>
      <c r="T118" s="110" t="s">
        <v>485</v>
      </c>
      <c r="U118" s="115">
        <f>IFERROR(IF(S118=0,INDEX([1]ShipSlot!$A:$A,MATCH(T118,[1]ShipSlot!$C:$C,0)),IF(S118=1,INDEX([1]CEquip!$A:$A,MATCH(T118,[1]CEquip!$B:$B,0)), INDEX([1]Item!$A:$A,MATCH(T118,[1]Item!$B:$B,0)))), "-")</f>
        <v>23550002</v>
      </c>
      <c r="V118" s="94">
        <v>20</v>
      </c>
      <c r="W118" s="82"/>
      <c r="X118" s="11" t="str">
        <f>IFERROR(VLOOKUP(W$8&amp;W118,[1]_enum!$A:$D,4,FALSE),"-")</f>
        <v>-</v>
      </c>
      <c r="Y118" s="110" t="s">
        <v>18</v>
      </c>
      <c r="Z118" s="115" t="str">
        <f>IFERROR(IF(X118=0,INDEX([1]ShipSlot!$A:$A,MATCH(Y118,[1]ShipSlot!$C:$C,0)),IF(X118=1,INDEX([1]CEquip!$A:$A,MATCH(Y118,[1]CEquip!$B:$B,0)), INDEX([1]Item!$A:$A,MATCH(Y118,[1]Item!$B:$B,0)))), "-")</f>
        <v>-</v>
      </c>
      <c r="AA118" s="94" t="s">
        <v>18</v>
      </c>
      <c r="AB118" s="82"/>
      <c r="AC118" s="11" t="str">
        <f>IFERROR(VLOOKUP(AB$8&amp;AB118,[1]_enum!$A:$D,4,FALSE),"-")</f>
        <v>-</v>
      </c>
      <c r="AD118" s="110"/>
      <c r="AE118" s="115" t="str">
        <f>IFERROR(IF(AC118=0,INDEX([1]ShipSlot!$A:$A,MATCH(AD118,[1]ShipSlot!$C:$C,0)),IF(AC118=1,INDEX([1]CEquip!$A:$A,MATCH(AD118,[1]CEquip!$B:$B,0)), INDEX([1]Item!$A:$A,MATCH(AD118,[1]Item!$B:$B,0)))), "-")</f>
        <v>-</v>
      </c>
      <c r="AF118" s="94" t="s">
        <v>18</v>
      </c>
      <c r="AG118" s="82"/>
      <c r="AH118" s="11" t="str">
        <f>IFERROR(VLOOKUP(AG$8&amp;AG118,[1]_enum!$A:$D,4,FALSE),"-")</f>
        <v>-</v>
      </c>
      <c r="AI118" s="110"/>
      <c r="AJ118" s="115" t="str">
        <f>IFERROR(IF(AH118=0,INDEX([1]ShipSlot!$A:$A,MATCH(AI118,[1]ShipSlot!$C:$C,0)),IF(AH118=1,INDEX([1]CEquip!$A:$A,MATCH(AI118,[1]CEquip!$B:$B,0)), INDEX([1]Item!$A:$A,MATCH(AI118,[1]Item!$B:$B,0)))), "-")</f>
        <v>-</v>
      </c>
      <c r="AK118" s="94" t="s">
        <v>18</v>
      </c>
    </row>
    <row r="119" spans="1:37" x14ac:dyDescent="0.2">
      <c r="A119" s="79">
        <v>3001</v>
      </c>
      <c r="B119" s="82" t="s">
        <v>466</v>
      </c>
      <c r="C119" s="11">
        <f>IFERROR(VLOOKUP(B$8&amp;B119,[1]_enum!$A:$D,4,FALSE),"-")</f>
        <v>2</v>
      </c>
      <c r="D119" s="89" t="s">
        <v>474</v>
      </c>
      <c r="E119" s="115">
        <f>IFERROR(IF(C119=0,INDEX([1]ShipSlot!$A:$A,MATCH(D119,[1]ShipSlot!$C:$C,0)),IF(C119=1,INDEX([1]CEquip!$A:$A,MATCH(D119,[1]CEquip!$B:$B,0)), INDEX([1]Item!$A:$A,MATCH(D119,[1]Item!$B:$B,0)))), "-")</f>
        <v>23550007</v>
      </c>
      <c r="F119" s="82" t="s">
        <v>466</v>
      </c>
      <c r="G119" s="82" t="s">
        <v>519</v>
      </c>
      <c r="H119" s="81">
        <v>0</v>
      </c>
      <c r="I119" s="81">
        <v>3</v>
      </c>
      <c r="J119" s="82" t="s">
        <v>594</v>
      </c>
      <c r="K119" s="81">
        <f>IFERROR(VLOOKUP(J$8&amp;J119,[1]_enum!$A:$D,4,FALSE),"-")</f>
        <v>2</v>
      </c>
      <c r="L119" s="81" t="s">
        <v>0</v>
      </c>
      <c r="M119" s="81">
        <v>0</v>
      </c>
      <c r="N119" s="81">
        <v>1111111</v>
      </c>
      <c r="O119" s="83" t="s">
        <v>450</v>
      </c>
      <c r="P119" s="84">
        <f>IFERROR(INDEX([1]Point!$A:$A,MATCH(O119,[1]Point!$B:$B,0),1),"-")</f>
        <v>100001</v>
      </c>
      <c r="Q119" s="81">
        <v>20000</v>
      </c>
      <c r="R119" s="82" t="s">
        <v>466</v>
      </c>
      <c r="S119" s="11">
        <f>IFERROR(VLOOKUP(R$8&amp;R119,[1]_enum!$A:$D,4,FALSE),"-")</f>
        <v>2</v>
      </c>
      <c r="T119" s="110" t="s">
        <v>486</v>
      </c>
      <c r="U119" s="115">
        <f>IFERROR(IF(S119=0,INDEX([1]ShipSlot!$A:$A,MATCH(T119,[1]ShipSlot!$C:$C,0)),IF(S119=1,INDEX([1]CEquip!$A:$A,MATCH(T119,[1]CEquip!$B:$B,0)), INDEX([1]Item!$A:$A,MATCH(T119,[1]Item!$B:$B,0)))), "-")</f>
        <v>23550003</v>
      </c>
      <c r="V119" s="94">
        <v>20</v>
      </c>
      <c r="W119" s="82"/>
      <c r="X119" s="11" t="str">
        <f>IFERROR(VLOOKUP(W$8&amp;W119,[1]_enum!$A:$D,4,FALSE),"-")</f>
        <v>-</v>
      </c>
      <c r="Y119" s="110" t="s">
        <v>18</v>
      </c>
      <c r="Z119" s="115" t="str">
        <f>IFERROR(IF(X119=0,INDEX([1]ShipSlot!$A:$A,MATCH(Y119,[1]ShipSlot!$C:$C,0)),IF(X119=1,INDEX([1]CEquip!$A:$A,MATCH(Y119,[1]CEquip!$B:$B,0)), INDEX([1]Item!$A:$A,MATCH(Y119,[1]Item!$B:$B,0)))), "-")</f>
        <v>-</v>
      </c>
      <c r="AA119" s="94" t="s">
        <v>18</v>
      </c>
      <c r="AB119" s="82"/>
      <c r="AC119" s="11" t="str">
        <f>IFERROR(VLOOKUP(AB$8&amp;AB119,[1]_enum!$A:$D,4,FALSE),"-")</f>
        <v>-</v>
      </c>
      <c r="AD119" s="110"/>
      <c r="AE119" s="115" t="str">
        <f>IFERROR(IF(AC119=0,INDEX([1]ShipSlot!$A:$A,MATCH(AD119,[1]ShipSlot!$C:$C,0)),IF(AC119=1,INDEX([1]CEquip!$A:$A,MATCH(AD119,[1]CEquip!$B:$B,0)), INDEX([1]Item!$A:$A,MATCH(AD119,[1]Item!$B:$B,0)))), "-")</f>
        <v>-</v>
      </c>
      <c r="AF119" s="94" t="s">
        <v>18</v>
      </c>
      <c r="AG119" s="82"/>
      <c r="AH119" s="11" t="str">
        <f>IFERROR(VLOOKUP(AG$8&amp;AG119,[1]_enum!$A:$D,4,FALSE),"-")</f>
        <v>-</v>
      </c>
      <c r="AI119" s="110"/>
      <c r="AJ119" s="115" t="str">
        <f>IFERROR(IF(AH119=0,INDEX([1]ShipSlot!$A:$A,MATCH(AI119,[1]ShipSlot!$C:$C,0)),IF(AH119=1,INDEX([1]CEquip!$A:$A,MATCH(AI119,[1]CEquip!$B:$B,0)), INDEX([1]Item!$A:$A,MATCH(AI119,[1]Item!$B:$B,0)))), "-")</f>
        <v>-</v>
      </c>
      <c r="AK119" s="94" t="s">
        <v>18</v>
      </c>
    </row>
    <row r="120" spans="1:37" x14ac:dyDescent="0.2">
      <c r="A120" s="79">
        <v>3002</v>
      </c>
      <c r="B120" s="82" t="s">
        <v>466</v>
      </c>
      <c r="C120" s="11">
        <f>IFERROR(VLOOKUP(B$8&amp;B120,[1]_enum!$A:$D,4,FALSE),"-")</f>
        <v>2</v>
      </c>
      <c r="D120" s="89" t="s">
        <v>475</v>
      </c>
      <c r="E120" s="115">
        <f>IFERROR(IF(C120=0,INDEX([1]ShipSlot!$A:$A,MATCH(D120,[1]ShipSlot!$C:$C,0)),IF(C120=1,INDEX([1]CEquip!$A:$A,MATCH(D120,[1]CEquip!$B:$B,0)), INDEX([1]Item!$A:$A,MATCH(D120,[1]Item!$B:$B,0)))), "-")</f>
        <v>23550008</v>
      </c>
      <c r="F120" s="82" t="s">
        <v>466</v>
      </c>
      <c r="G120" s="82" t="s">
        <v>519</v>
      </c>
      <c r="H120" s="81">
        <v>0</v>
      </c>
      <c r="I120" s="81">
        <v>3</v>
      </c>
      <c r="J120" s="82" t="s">
        <v>594</v>
      </c>
      <c r="K120" s="81">
        <f>IFERROR(VLOOKUP(J$8&amp;J120,[1]_enum!$A:$D,4,FALSE),"-")</f>
        <v>2</v>
      </c>
      <c r="L120" s="81" t="s">
        <v>0</v>
      </c>
      <c r="M120" s="81">
        <v>0</v>
      </c>
      <c r="N120" s="81">
        <v>1111111</v>
      </c>
      <c r="O120" s="83" t="s">
        <v>450</v>
      </c>
      <c r="P120" s="84">
        <f>IFERROR(INDEX([1]Point!$A:$A,MATCH(O120,[1]Point!$B:$B,0),1),"-")</f>
        <v>100001</v>
      </c>
      <c r="Q120" s="81">
        <v>20000</v>
      </c>
      <c r="R120" s="82" t="s">
        <v>466</v>
      </c>
      <c r="S120" s="11">
        <f>IFERROR(VLOOKUP(R$8&amp;R120,[1]_enum!$A:$D,4,FALSE),"-")</f>
        <v>2</v>
      </c>
      <c r="T120" s="110" t="s">
        <v>487</v>
      </c>
      <c r="U120" s="115">
        <f>IFERROR(IF(S120=0,INDEX([1]ShipSlot!$A:$A,MATCH(T120,[1]ShipSlot!$C:$C,0)),IF(S120=1,INDEX([1]CEquip!$A:$A,MATCH(T120,[1]CEquip!$B:$B,0)), INDEX([1]Item!$A:$A,MATCH(T120,[1]Item!$B:$B,0)))), "-")</f>
        <v>23550004</v>
      </c>
      <c r="V120" s="94">
        <v>20</v>
      </c>
      <c r="W120" s="82"/>
      <c r="X120" s="11" t="str">
        <f>IFERROR(VLOOKUP(W$8&amp;W120,[1]_enum!$A:$D,4,FALSE),"-")</f>
        <v>-</v>
      </c>
      <c r="Y120" s="110" t="s">
        <v>18</v>
      </c>
      <c r="Z120" s="115" t="str">
        <f>IFERROR(IF(X120=0,INDEX([1]ShipSlot!$A:$A,MATCH(Y120,[1]ShipSlot!$C:$C,0)),IF(X120=1,INDEX([1]CEquip!$A:$A,MATCH(Y120,[1]CEquip!$B:$B,0)), INDEX([1]Item!$A:$A,MATCH(Y120,[1]Item!$B:$B,0)))), "-")</f>
        <v>-</v>
      </c>
      <c r="AA120" s="94" t="s">
        <v>18</v>
      </c>
      <c r="AB120" s="82"/>
      <c r="AC120" s="11" t="str">
        <f>IFERROR(VLOOKUP(AB$8&amp;AB120,[1]_enum!$A:$D,4,FALSE),"-")</f>
        <v>-</v>
      </c>
      <c r="AD120" s="110"/>
      <c r="AE120" s="115" t="str">
        <f>IFERROR(IF(AC120=0,INDEX([1]ShipSlot!$A:$A,MATCH(AD120,[1]ShipSlot!$C:$C,0)),IF(AC120=1,INDEX([1]CEquip!$A:$A,MATCH(AD120,[1]CEquip!$B:$B,0)), INDEX([1]Item!$A:$A,MATCH(AD120,[1]Item!$B:$B,0)))), "-")</f>
        <v>-</v>
      </c>
      <c r="AF120" s="94" t="s">
        <v>18</v>
      </c>
      <c r="AG120" s="82"/>
      <c r="AH120" s="11" t="str">
        <f>IFERROR(VLOOKUP(AG$8&amp;AG120,[1]_enum!$A:$D,4,FALSE),"-")</f>
        <v>-</v>
      </c>
      <c r="AI120" s="110"/>
      <c r="AJ120" s="115" t="str">
        <f>IFERROR(IF(AH120=0,INDEX([1]ShipSlot!$A:$A,MATCH(AI120,[1]ShipSlot!$C:$C,0)),IF(AH120=1,INDEX([1]CEquip!$A:$A,MATCH(AI120,[1]CEquip!$B:$B,0)), INDEX([1]Item!$A:$A,MATCH(AI120,[1]Item!$B:$B,0)))), "-")</f>
        <v>-</v>
      </c>
      <c r="AK120" s="94" t="s">
        <v>18</v>
      </c>
    </row>
    <row r="121" spans="1:37" x14ac:dyDescent="0.2">
      <c r="A121" s="79">
        <v>3003</v>
      </c>
      <c r="B121" s="82" t="s">
        <v>466</v>
      </c>
      <c r="C121" s="11">
        <f>IFERROR(VLOOKUP(B$8&amp;B121,[1]_enum!$A:$D,4,FALSE),"-")</f>
        <v>2</v>
      </c>
      <c r="D121" s="83" t="s">
        <v>476</v>
      </c>
      <c r="E121" s="115">
        <f>IFERROR(IF(C121=0,INDEX([1]ShipSlot!$A:$A,MATCH(D121,[1]ShipSlot!$C:$C,0)),IF(C121=1,INDEX([1]CEquip!$A:$A,MATCH(D121,[1]CEquip!$B:$B,0)), INDEX([1]Item!$A:$A,MATCH(D121,[1]Item!$B:$B,0)))), "-")</f>
        <v>23550018</v>
      </c>
      <c r="F121" s="82" t="s">
        <v>466</v>
      </c>
      <c r="G121" s="82" t="s">
        <v>519</v>
      </c>
      <c r="H121" s="81">
        <v>0</v>
      </c>
      <c r="I121" s="81">
        <v>3</v>
      </c>
      <c r="J121" s="82" t="s">
        <v>594</v>
      </c>
      <c r="K121" s="81">
        <f>IFERROR(VLOOKUP(J$8&amp;J121,[1]_enum!$A:$D,4,FALSE),"-")</f>
        <v>2</v>
      </c>
      <c r="L121" s="81" t="s">
        <v>0</v>
      </c>
      <c r="M121" s="81">
        <v>0</v>
      </c>
      <c r="N121" s="81">
        <v>1111111</v>
      </c>
      <c r="O121" s="83" t="s">
        <v>450</v>
      </c>
      <c r="P121" s="84">
        <f>IFERROR(INDEX([1]Point!$A:$A,MATCH(O121,[1]Point!$B:$B,0),1),"-")</f>
        <v>100001</v>
      </c>
      <c r="Q121" s="81">
        <v>70000</v>
      </c>
      <c r="R121" s="82" t="s">
        <v>466</v>
      </c>
      <c r="S121" s="11">
        <f>IFERROR(VLOOKUP(R$8&amp;R121,[1]_enum!$A:$D,4,FALSE),"-")</f>
        <v>2</v>
      </c>
      <c r="T121" s="110" t="s">
        <v>488</v>
      </c>
      <c r="U121" s="115">
        <f>IFERROR(IF(S121=0,INDEX([1]ShipSlot!$A:$A,MATCH(T121,[1]ShipSlot!$C:$C,0)),IF(S121=1,INDEX([1]CEquip!$A:$A,MATCH(T121,[1]CEquip!$B:$B,0)), INDEX([1]Item!$A:$A,MATCH(T121,[1]Item!$B:$B,0)))), "-")</f>
        <v>23550014</v>
      </c>
      <c r="V121" s="94">
        <v>20</v>
      </c>
      <c r="W121" s="82"/>
      <c r="X121" s="11" t="str">
        <f>IFERROR(VLOOKUP(W$8&amp;W121,[1]_enum!$A:$D,4,FALSE),"-")</f>
        <v>-</v>
      </c>
      <c r="Y121" s="110" t="s">
        <v>18</v>
      </c>
      <c r="Z121" s="115" t="str">
        <f>IFERROR(IF(X121=0,INDEX([1]ShipSlot!$A:$A,MATCH(Y121,[1]ShipSlot!$C:$C,0)),IF(X121=1,INDEX([1]CEquip!$A:$A,MATCH(Y121,[1]CEquip!$B:$B,0)), INDEX([1]Item!$A:$A,MATCH(Y121,[1]Item!$B:$B,0)))), "-")</f>
        <v>-</v>
      </c>
      <c r="AA121" s="94" t="s">
        <v>18</v>
      </c>
      <c r="AB121" s="82"/>
      <c r="AC121" s="11" t="str">
        <f>IFERROR(VLOOKUP(AB$8&amp;AB121,[1]_enum!$A:$D,4,FALSE),"-")</f>
        <v>-</v>
      </c>
      <c r="AD121" s="110"/>
      <c r="AE121" s="115" t="str">
        <f>IFERROR(IF(AC121=0,INDEX([1]ShipSlot!$A:$A,MATCH(AD121,[1]ShipSlot!$C:$C,0)),IF(AC121=1,INDEX([1]CEquip!$A:$A,MATCH(AD121,[1]CEquip!$B:$B,0)), INDEX([1]Item!$A:$A,MATCH(AD121,[1]Item!$B:$B,0)))), "-")</f>
        <v>-</v>
      </c>
      <c r="AF121" s="94" t="s">
        <v>18</v>
      </c>
      <c r="AG121" s="82"/>
      <c r="AH121" s="11" t="str">
        <f>IFERROR(VLOOKUP(AG$8&amp;AG121,[1]_enum!$A:$D,4,FALSE),"-")</f>
        <v>-</v>
      </c>
      <c r="AI121" s="110"/>
      <c r="AJ121" s="115" t="str">
        <f>IFERROR(IF(AH121=0,INDEX([1]ShipSlot!$A:$A,MATCH(AI121,[1]ShipSlot!$C:$C,0)),IF(AH121=1,INDEX([1]CEquip!$A:$A,MATCH(AI121,[1]CEquip!$B:$B,0)), INDEX([1]Item!$A:$A,MATCH(AI121,[1]Item!$B:$B,0)))), "-")</f>
        <v>-</v>
      </c>
      <c r="AK121" s="94" t="s">
        <v>18</v>
      </c>
    </row>
    <row r="122" spans="1:37" x14ac:dyDescent="0.2">
      <c r="A122" s="79">
        <v>3004</v>
      </c>
      <c r="B122" s="82" t="s">
        <v>466</v>
      </c>
      <c r="C122" s="11">
        <f>IFERROR(VLOOKUP(B$8&amp;B122,[1]_enum!$A:$D,4,FALSE),"-")</f>
        <v>2</v>
      </c>
      <c r="D122" s="83" t="s">
        <v>477</v>
      </c>
      <c r="E122" s="115">
        <f>IFERROR(IF(C122=0,INDEX([1]ShipSlot!$A:$A,MATCH(D122,[1]ShipSlot!$C:$C,0)),IF(C122=1,INDEX([1]CEquip!$A:$A,MATCH(D122,[1]CEquip!$B:$B,0)), INDEX([1]Item!$A:$A,MATCH(D122,[1]Item!$B:$B,0)))), "-")</f>
        <v>23550019</v>
      </c>
      <c r="F122" s="82" t="s">
        <v>466</v>
      </c>
      <c r="G122" s="82" t="s">
        <v>519</v>
      </c>
      <c r="H122" s="81">
        <v>0</v>
      </c>
      <c r="I122" s="81">
        <v>3</v>
      </c>
      <c r="J122" s="82" t="s">
        <v>594</v>
      </c>
      <c r="K122" s="81">
        <f>IFERROR(VLOOKUP(J$8&amp;J122,[1]_enum!$A:$D,4,FALSE),"-")</f>
        <v>2</v>
      </c>
      <c r="L122" s="81" t="s">
        <v>0</v>
      </c>
      <c r="M122" s="81">
        <v>0</v>
      </c>
      <c r="N122" s="81">
        <v>1111111</v>
      </c>
      <c r="O122" s="83" t="s">
        <v>450</v>
      </c>
      <c r="P122" s="84">
        <f>IFERROR(INDEX([1]Point!$A:$A,MATCH(O122,[1]Point!$B:$B,0),1),"-")</f>
        <v>100001</v>
      </c>
      <c r="Q122" s="81">
        <v>70000</v>
      </c>
      <c r="R122" s="82" t="s">
        <v>466</v>
      </c>
      <c r="S122" s="11">
        <f>IFERROR(VLOOKUP(R$8&amp;R122,[1]_enum!$A:$D,4,FALSE),"-")</f>
        <v>2</v>
      </c>
      <c r="T122" s="110" t="s">
        <v>489</v>
      </c>
      <c r="U122" s="115">
        <f>IFERROR(IF(S122=0,INDEX([1]ShipSlot!$A:$A,MATCH(T122,[1]ShipSlot!$C:$C,0)),IF(S122=1,INDEX([1]CEquip!$A:$A,MATCH(T122,[1]CEquip!$B:$B,0)), INDEX([1]Item!$A:$A,MATCH(T122,[1]Item!$B:$B,0)))), "-")</f>
        <v>23550015</v>
      </c>
      <c r="V122" s="94">
        <v>20</v>
      </c>
      <c r="W122" s="82"/>
      <c r="X122" s="11" t="str">
        <f>IFERROR(VLOOKUP(W$8&amp;W122,[1]_enum!$A:$D,4,FALSE),"-")</f>
        <v>-</v>
      </c>
      <c r="Y122" s="110" t="s">
        <v>18</v>
      </c>
      <c r="Z122" s="115" t="str">
        <f>IFERROR(IF(X122=0,INDEX([1]ShipSlot!$A:$A,MATCH(Y122,[1]ShipSlot!$C:$C,0)),IF(X122=1,INDEX([1]CEquip!$A:$A,MATCH(Y122,[1]CEquip!$B:$B,0)), INDEX([1]Item!$A:$A,MATCH(Y122,[1]Item!$B:$B,0)))), "-")</f>
        <v>-</v>
      </c>
      <c r="AA122" s="94" t="s">
        <v>18</v>
      </c>
      <c r="AB122" s="82"/>
      <c r="AC122" s="11" t="str">
        <f>IFERROR(VLOOKUP(AB$8&amp;AB122,[1]_enum!$A:$D,4,FALSE),"-")</f>
        <v>-</v>
      </c>
      <c r="AD122" s="110"/>
      <c r="AE122" s="115" t="str">
        <f>IFERROR(IF(AC122=0,INDEX([1]ShipSlot!$A:$A,MATCH(AD122,[1]ShipSlot!$C:$C,0)),IF(AC122=1,INDEX([1]CEquip!$A:$A,MATCH(AD122,[1]CEquip!$B:$B,0)), INDEX([1]Item!$A:$A,MATCH(AD122,[1]Item!$B:$B,0)))), "-")</f>
        <v>-</v>
      </c>
      <c r="AF122" s="94" t="s">
        <v>18</v>
      </c>
      <c r="AG122" s="82"/>
      <c r="AH122" s="11" t="str">
        <f>IFERROR(VLOOKUP(AG$8&amp;AG122,[1]_enum!$A:$D,4,FALSE),"-")</f>
        <v>-</v>
      </c>
      <c r="AI122" s="110"/>
      <c r="AJ122" s="115" t="str">
        <f>IFERROR(IF(AH122=0,INDEX([1]ShipSlot!$A:$A,MATCH(AI122,[1]ShipSlot!$C:$C,0)),IF(AH122=1,INDEX([1]CEquip!$A:$A,MATCH(AI122,[1]CEquip!$B:$B,0)), INDEX([1]Item!$A:$A,MATCH(AI122,[1]Item!$B:$B,0)))), "-")</f>
        <v>-</v>
      </c>
      <c r="AK122" s="94" t="s">
        <v>18</v>
      </c>
    </row>
    <row r="123" spans="1:37" x14ac:dyDescent="0.2">
      <c r="A123" s="79">
        <v>3005</v>
      </c>
      <c r="B123" s="82" t="s">
        <v>466</v>
      </c>
      <c r="C123" s="11">
        <f>IFERROR(VLOOKUP(B$8&amp;B123,[1]_enum!$A:$D,4,FALSE),"-")</f>
        <v>2</v>
      </c>
      <c r="D123" s="83" t="s">
        <v>478</v>
      </c>
      <c r="E123" s="115">
        <f>IFERROR(IF(C123=0,INDEX([1]ShipSlot!$A:$A,MATCH(D123,[1]ShipSlot!$C:$C,0)),IF(C123=1,INDEX([1]CEquip!$A:$A,MATCH(D123,[1]CEquip!$B:$B,0)), INDEX([1]Item!$A:$A,MATCH(D123,[1]Item!$B:$B,0)))), "-")</f>
        <v>23550020</v>
      </c>
      <c r="F123" s="82" t="s">
        <v>466</v>
      </c>
      <c r="G123" s="82" t="s">
        <v>519</v>
      </c>
      <c r="H123" s="81">
        <v>0</v>
      </c>
      <c r="I123" s="81">
        <v>3</v>
      </c>
      <c r="J123" s="82" t="s">
        <v>594</v>
      </c>
      <c r="K123" s="81">
        <f>IFERROR(VLOOKUP(J$8&amp;J123,[1]_enum!$A:$D,4,FALSE),"-")</f>
        <v>2</v>
      </c>
      <c r="L123" s="81" t="s">
        <v>0</v>
      </c>
      <c r="M123" s="81">
        <v>0</v>
      </c>
      <c r="N123" s="81">
        <v>1111111</v>
      </c>
      <c r="O123" s="83" t="s">
        <v>450</v>
      </c>
      <c r="P123" s="84">
        <f>IFERROR(INDEX([1]Point!$A:$A,MATCH(O123,[1]Point!$B:$B,0),1),"-")</f>
        <v>100001</v>
      </c>
      <c r="Q123" s="81">
        <v>70000</v>
      </c>
      <c r="R123" s="82" t="s">
        <v>466</v>
      </c>
      <c r="S123" s="11">
        <f>IFERROR(VLOOKUP(R$8&amp;R123,[1]_enum!$A:$D,4,FALSE),"-")</f>
        <v>2</v>
      </c>
      <c r="T123" s="110" t="s">
        <v>490</v>
      </c>
      <c r="U123" s="115">
        <f>IFERROR(IF(S123=0,INDEX([1]ShipSlot!$A:$A,MATCH(T123,[1]ShipSlot!$C:$C,0)),IF(S123=1,INDEX([1]CEquip!$A:$A,MATCH(T123,[1]CEquip!$B:$B,0)), INDEX([1]Item!$A:$A,MATCH(T123,[1]Item!$B:$B,0)))), "-")</f>
        <v>23550016</v>
      </c>
      <c r="V123" s="94">
        <v>20</v>
      </c>
      <c r="W123" s="82"/>
      <c r="X123" s="11" t="str">
        <f>IFERROR(VLOOKUP(W$8&amp;W123,[1]_enum!$A:$D,4,FALSE),"-")</f>
        <v>-</v>
      </c>
      <c r="Y123" s="110" t="s">
        <v>18</v>
      </c>
      <c r="Z123" s="115" t="str">
        <f>IFERROR(IF(X123=0,INDEX([1]ShipSlot!$A:$A,MATCH(Y123,[1]ShipSlot!$C:$C,0)),IF(X123=1,INDEX([1]CEquip!$A:$A,MATCH(Y123,[1]CEquip!$B:$B,0)), INDEX([1]Item!$A:$A,MATCH(Y123,[1]Item!$B:$B,0)))), "-")</f>
        <v>-</v>
      </c>
      <c r="AA123" s="94" t="s">
        <v>18</v>
      </c>
      <c r="AB123" s="82"/>
      <c r="AC123" s="11" t="str">
        <f>IFERROR(VLOOKUP(AB$8&amp;AB123,[1]_enum!$A:$D,4,FALSE),"-")</f>
        <v>-</v>
      </c>
      <c r="AD123" s="110"/>
      <c r="AE123" s="115" t="str">
        <f>IFERROR(IF(AC123=0,INDEX([1]ShipSlot!$A:$A,MATCH(AD123,[1]ShipSlot!$C:$C,0)),IF(AC123=1,INDEX([1]CEquip!$A:$A,MATCH(AD123,[1]CEquip!$B:$B,0)), INDEX([1]Item!$A:$A,MATCH(AD123,[1]Item!$B:$B,0)))), "-")</f>
        <v>-</v>
      </c>
      <c r="AF123" s="94" t="s">
        <v>18</v>
      </c>
      <c r="AG123" s="82"/>
      <c r="AH123" s="11" t="str">
        <f>IFERROR(VLOOKUP(AG$8&amp;AG123,[1]_enum!$A:$D,4,FALSE),"-")</f>
        <v>-</v>
      </c>
      <c r="AI123" s="110"/>
      <c r="AJ123" s="115" t="str">
        <f>IFERROR(IF(AH123=0,INDEX([1]ShipSlot!$A:$A,MATCH(AI123,[1]ShipSlot!$C:$C,0)),IF(AH123=1,INDEX([1]CEquip!$A:$A,MATCH(AI123,[1]CEquip!$B:$B,0)), INDEX([1]Item!$A:$A,MATCH(AI123,[1]Item!$B:$B,0)))), "-")</f>
        <v>-</v>
      </c>
      <c r="AK123" s="94" t="s">
        <v>18</v>
      </c>
    </row>
    <row r="124" spans="1:37" x14ac:dyDescent="0.2">
      <c r="A124" s="79">
        <v>3006</v>
      </c>
      <c r="B124" s="82" t="s">
        <v>466</v>
      </c>
      <c r="C124" s="11">
        <f>IFERROR(VLOOKUP(B$8&amp;B124,[1]_enum!$A:$D,4,FALSE),"-")</f>
        <v>2</v>
      </c>
      <c r="D124" s="89" t="s">
        <v>479</v>
      </c>
      <c r="E124" s="115">
        <f>IFERROR(IF(C124=0,INDEX([1]ShipSlot!$A:$A,MATCH(D124,[1]ShipSlot!$C:$C,0)),IF(C124=1,INDEX([1]CEquip!$A:$A,MATCH(D124,[1]CEquip!$B:$B,0)), INDEX([1]Item!$A:$A,MATCH(D124,[1]Item!$B:$B,0)))), "-")</f>
        <v>23550010</v>
      </c>
      <c r="F124" s="82" t="s">
        <v>466</v>
      </c>
      <c r="G124" s="82" t="s">
        <v>533</v>
      </c>
      <c r="H124" s="81">
        <v>0</v>
      </c>
      <c r="I124" s="81">
        <v>6</v>
      </c>
      <c r="J124" s="82" t="s">
        <v>594</v>
      </c>
      <c r="K124" s="81">
        <f>IFERROR(VLOOKUP(J$8&amp;J124,[1]_enum!$A:$D,4,FALSE),"-")</f>
        <v>2</v>
      </c>
      <c r="L124" s="81" t="s">
        <v>0</v>
      </c>
      <c r="M124" s="81">
        <v>0</v>
      </c>
      <c r="N124" s="81">
        <v>1111111</v>
      </c>
      <c r="O124" s="83" t="s">
        <v>450</v>
      </c>
      <c r="P124" s="84">
        <f>IFERROR(INDEX([1]Point!$A:$A,MATCH(O124,[1]Point!$B:$B,0),1),"-")</f>
        <v>100001</v>
      </c>
      <c r="Q124" s="81">
        <v>200000</v>
      </c>
      <c r="R124" s="82" t="s">
        <v>466</v>
      </c>
      <c r="S124" s="11">
        <f>IFERROR(VLOOKUP(R$8&amp;R124,[1]_enum!$A:$D,4,FALSE),"-")</f>
        <v>2</v>
      </c>
      <c r="T124" s="110" t="s">
        <v>473</v>
      </c>
      <c r="U124" s="115">
        <f>IFERROR(IF(S124=0,INDEX([1]ShipSlot!$A:$A,MATCH(T124,[1]ShipSlot!$C:$C,0)),IF(S124=1,INDEX([1]CEquip!$A:$A,MATCH(T124,[1]CEquip!$B:$B,0)), INDEX([1]Item!$A:$A,MATCH(T124,[1]Item!$B:$B,0)))), "-")</f>
        <v>23550006</v>
      </c>
      <c r="V124" s="94">
        <v>20</v>
      </c>
      <c r="W124" s="82"/>
      <c r="X124" s="11" t="str">
        <f>IFERROR(VLOOKUP(W$8&amp;W124,[1]_enum!$A:$D,4,FALSE),"-")</f>
        <v>-</v>
      </c>
      <c r="Y124" s="110" t="s">
        <v>18</v>
      </c>
      <c r="Z124" s="115" t="str">
        <f>IFERROR(IF(X124=0,INDEX([1]ShipSlot!$A:$A,MATCH(Y124,[1]ShipSlot!$C:$C,0)),IF(X124=1,INDEX([1]CEquip!$A:$A,MATCH(Y124,[1]CEquip!$B:$B,0)), INDEX([1]Item!$A:$A,MATCH(Y124,[1]Item!$B:$B,0)))), "-")</f>
        <v>-</v>
      </c>
      <c r="AA124" s="94" t="s">
        <v>18</v>
      </c>
      <c r="AB124" s="82"/>
      <c r="AC124" s="11" t="str">
        <f>IFERROR(VLOOKUP(AB$8&amp;AB124,[1]_enum!$A:$D,4,FALSE),"-")</f>
        <v>-</v>
      </c>
      <c r="AD124" s="110"/>
      <c r="AE124" s="115" t="str">
        <f>IFERROR(IF(AC124=0,INDEX([1]ShipSlot!$A:$A,MATCH(AD124,[1]ShipSlot!$C:$C,0)),IF(AC124=1,INDEX([1]CEquip!$A:$A,MATCH(AD124,[1]CEquip!$B:$B,0)), INDEX([1]Item!$A:$A,MATCH(AD124,[1]Item!$B:$B,0)))), "-")</f>
        <v>-</v>
      </c>
      <c r="AF124" s="94" t="s">
        <v>18</v>
      </c>
      <c r="AG124" s="82"/>
      <c r="AH124" s="11" t="str">
        <f>IFERROR(VLOOKUP(AG$8&amp;AG124,[1]_enum!$A:$D,4,FALSE),"-")</f>
        <v>-</v>
      </c>
      <c r="AI124" s="110"/>
      <c r="AJ124" s="115" t="str">
        <f>IFERROR(IF(AH124=0,INDEX([1]ShipSlot!$A:$A,MATCH(AI124,[1]ShipSlot!$C:$C,0)),IF(AH124=1,INDEX([1]CEquip!$A:$A,MATCH(AI124,[1]CEquip!$B:$B,0)), INDEX([1]Item!$A:$A,MATCH(AI124,[1]Item!$B:$B,0)))), "-")</f>
        <v>-</v>
      </c>
      <c r="AK124" s="94" t="s">
        <v>18</v>
      </c>
    </row>
    <row r="125" spans="1:37" x14ac:dyDescent="0.2">
      <c r="A125" s="79">
        <v>3007</v>
      </c>
      <c r="B125" s="82" t="s">
        <v>466</v>
      </c>
      <c r="C125" s="11">
        <f>IFERROR(VLOOKUP(B$8&amp;B125,[1]_enum!$A:$D,4,FALSE),"-")</f>
        <v>2</v>
      </c>
      <c r="D125" s="89" t="s">
        <v>480</v>
      </c>
      <c r="E125" s="115">
        <f>IFERROR(IF(C125=0,INDEX([1]ShipSlot!$A:$A,MATCH(D125,[1]ShipSlot!$C:$C,0)),IF(C125=1,INDEX([1]CEquip!$A:$A,MATCH(D125,[1]CEquip!$B:$B,0)), INDEX([1]Item!$A:$A,MATCH(D125,[1]Item!$B:$B,0)))), "-")</f>
        <v>23550011</v>
      </c>
      <c r="F125" s="82" t="s">
        <v>466</v>
      </c>
      <c r="G125" s="82" t="s">
        <v>533</v>
      </c>
      <c r="H125" s="81">
        <v>0</v>
      </c>
      <c r="I125" s="81">
        <v>6</v>
      </c>
      <c r="J125" s="82" t="s">
        <v>594</v>
      </c>
      <c r="K125" s="81">
        <f>IFERROR(VLOOKUP(J$8&amp;J125,[1]_enum!$A:$D,4,FALSE),"-")</f>
        <v>2</v>
      </c>
      <c r="L125" s="81" t="s">
        <v>0</v>
      </c>
      <c r="M125" s="81">
        <v>0</v>
      </c>
      <c r="N125" s="81">
        <v>1111111</v>
      </c>
      <c r="O125" s="83" t="s">
        <v>450</v>
      </c>
      <c r="P125" s="84">
        <f>IFERROR(INDEX([1]Point!$A:$A,MATCH(O125,[1]Point!$B:$B,0),1),"-")</f>
        <v>100001</v>
      </c>
      <c r="Q125" s="81">
        <v>200000</v>
      </c>
      <c r="R125" s="82" t="s">
        <v>466</v>
      </c>
      <c r="S125" s="11">
        <f>IFERROR(VLOOKUP(R$8&amp;R125,[1]_enum!$A:$D,4,FALSE),"-")</f>
        <v>2</v>
      </c>
      <c r="T125" s="110" t="s">
        <v>474</v>
      </c>
      <c r="U125" s="115">
        <f>IFERROR(IF(S125=0,INDEX([1]ShipSlot!$A:$A,MATCH(T125,[1]ShipSlot!$C:$C,0)),IF(S125=1,INDEX([1]CEquip!$A:$A,MATCH(T125,[1]CEquip!$B:$B,0)), INDEX([1]Item!$A:$A,MATCH(T125,[1]Item!$B:$B,0)))), "-")</f>
        <v>23550007</v>
      </c>
      <c r="V125" s="94">
        <v>20</v>
      </c>
      <c r="W125" s="82"/>
      <c r="X125" s="11" t="str">
        <f>IFERROR(VLOOKUP(W$8&amp;W125,[1]_enum!$A:$D,4,FALSE),"-")</f>
        <v>-</v>
      </c>
      <c r="Y125" s="110" t="s">
        <v>18</v>
      </c>
      <c r="Z125" s="115" t="str">
        <f>IFERROR(IF(X125=0,INDEX([1]ShipSlot!$A:$A,MATCH(Y125,[1]ShipSlot!$C:$C,0)),IF(X125=1,INDEX([1]CEquip!$A:$A,MATCH(Y125,[1]CEquip!$B:$B,0)), INDEX([1]Item!$A:$A,MATCH(Y125,[1]Item!$B:$B,0)))), "-")</f>
        <v>-</v>
      </c>
      <c r="AA125" s="94" t="s">
        <v>18</v>
      </c>
      <c r="AB125" s="82"/>
      <c r="AC125" s="11" t="str">
        <f>IFERROR(VLOOKUP(AB$8&amp;AB125,[1]_enum!$A:$D,4,FALSE),"-")</f>
        <v>-</v>
      </c>
      <c r="AD125" s="110"/>
      <c r="AE125" s="115" t="str">
        <f>IFERROR(IF(AC125=0,INDEX([1]ShipSlot!$A:$A,MATCH(AD125,[1]ShipSlot!$C:$C,0)),IF(AC125=1,INDEX([1]CEquip!$A:$A,MATCH(AD125,[1]CEquip!$B:$B,0)), INDEX([1]Item!$A:$A,MATCH(AD125,[1]Item!$B:$B,0)))), "-")</f>
        <v>-</v>
      </c>
      <c r="AF125" s="94" t="s">
        <v>18</v>
      </c>
      <c r="AG125" s="82"/>
      <c r="AH125" s="11" t="str">
        <f>IFERROR(VLOOKUP(AG$8&amp;AG125,[1]_enum!$A:$D,4,FALSE),"-")</f>
        <v>-</v>
      </c>
      <c r="AI125" s="110"/>
      <c r="AJ125" s="115" t="str">
        <f>IFERROR(IF(AH125=0,INDEX([1]ShipSlot!$A:$A,MATCH(AI125,[1]ShipSlot!$C:$C,0)),IF(AH125=1,INDEX([1]CEquip!$A:$A,MATCH(AI125,[1]CEquip!$B:$B,0)), INDEX([1]Item!$A:$A,MATCH(AI125,[1]Item!$B:$B,0)))), "-")</f>
        <v>-</v>
      </c>
      <c r="AK125" s="94" t="s">
        <v>18</v>
      </c>
    </row>
    <row r="126" spans="1:37" x14ac:dyDescent="0.2">
      <c r="A126" s="79">
        <v>3008</v>
      </c>
      <c r="B126" s="82" t="s">
        <v>466</v>
      </c>
      <c r="C126" s="11">
        <f>IFERROR(VLOOKUP(B$8&amp;B126,[1]_enum!$A:$D,4,FALSE),"-")</f>
        <v>2</v>
      </c>
      <c r="D126" s="89" t="s">
        <v>481</v>
      </c>
      <c r="E126" s="115">
        <f>IFERROR(IF(C126=0,INDEX([1]ShipSlot!$A:$A,MATCH(D126,[1]ShipSlot!$C:$C,0)),IF(C126=1,INDEX([1]CEquip!$A:$A,MATCH(D126,[1]CEquip!$B:$B,0)), INDEX([1]Item!$A:$A,MATCH(D126,[1]Item!$B:$B,0)))), "-")</f>
        <v>23550012</v>
      </c>
      <c r="F126" s="82" t="s">
        <v>466</v>
      </c>
      <c r="G126" s="82" t="s">
        <v>533</v>
      </c>
      <c r="H126" s="81">
        <v>0</v>
      </c>
      <c r="I126" s="81">
        <v>6</v>
      </c>
      <c r="J126" s="82" t="s">
        <v>594</v>
      </c>
      <c r="K126" s="81">
        <f>IFERROR(VLOOKUP(J$8&amp;J126,[1]_enum!$A:$D,4,FALSE),"-")</f>
        <v>2</v>
      </c>
      <c r="L126" s="81" t="s">
        <v>0</v>
      </c>
      <c r="M126" s="81">
        <v>0</v>
      </c>
      <c r="N126" s="81">
        <v>1111111</v>
      </c>
      <c r="O126" s="83" t="s">
        <v>450</v>
      </c>
      <c r="P126" s="84">
        <f>IFERROR(INDEX([1]Point!$A:$A,MATCH(O126,[1]Point!$B:$B,0),1),"-")</f>
        <v>100001</v>
      </c>
      <c r="Q126" s="81">
        <v>200000</v>
      </c>
      <c r="R126" s="82" t="s">
        <v>466</v>
      </c>
      <c r="S126" s="11">
        <f>IFERROR(VLOOKUP(R$8&amp;R126,[1]_enum!$A:$D,4,FALSE),"-")</f>
        <v>2</v>
      </c>
      <c r="T126" s="110" t="s">
        <v>475</v>
      </c>
      <c r="U126" s="115">
        <f>IFERROR(IF(S126=0,INDEX([1]ShipSlot!$A:$A,MATCH(T126,[1]ShipSlot!$C:$C,0)),IF(S126=1,INDEX([1]CEquip!$A:$A,MATCH(T126,[1]CEquip!$B:$B,0)), INDEX([1]Item!$A:$A,MATCH(T126,[1]Item!$B:$B,0)))), "-")</f>
        <v>23550008</v>
      </c>
      <c r="V126" s="94">
        <v>20</v>
      </c>
      <c r="W126" s="82"/>
      <c r="X126" s="11" t="str">
        <f>IFERROR(VLOOKUP(W$8&amp;W126,[1]_enum!$A:$D,4,FALSE),"-")</f>
        <v>-</v>
      </c>
      <c r="Y126" s="110" t="s">
        <v>18</v>
      </c>
      <c r="Z126" s="115" t="str">
        <f>IFERROR(IF(X126=0,INDEX([1]ShipSlot!$A:$A,MATCH(Y126,[1]ShipSlot!$C:$C,0)),IF(X126=1,INDEX([1]CEquip!$A:$A,MATCH(Y126,[1]CEquip!$B:$B,0)), INDEX([1]Item!$A:$A,MATCH(Y126,[1]Item!$B:$B,0)))), "-")</f>
        <v>-</v>
      </c>
      <c r="AA126" s="94" t="s">
        <v>18</v>
      </c>
      <c r="AB126" s="82"/>
      <c r="AC126" s="11" t="str">
        <f>IFERROR(VLOOKUP(AB$8&amp;AB126,[1]_enum!$A:$D,4,FALSE),"-")</f>
        <v>-</v>
      </c>
      <c r="AD126" s="110"/>
      <c r="AE126" s="115" t="str">
        <f>IFERROR(IF(AC126=0,INDEX([1]ShipSlot!$A:$A,MATCH(AD126,[1]ShipSlot!$C:$C,0)),IF(AC126=1,INDEX([1]CEquip!$A:$A,MATCH(AD126,[1]CEquip!$B:$B,0)), INDEX([1]Item!$A:$A,MATCH(AD126,[1]Item!$B:$B,0)))), "-")</f>
        <v>-</v>
      </c>
      <c r="AF126" s="94" t="s">
        <v>18</v>
      </c>
      <c r="AG126" s="82"/>
      <c r="AH126" s="11" t="str">
        <f>IFERROR(VLOOKUP(AG$8&amp;AG126,[1]_enum!$A:$D,4,FALSE),"-")</f>
        <v>-</v>
      </c>
      <c r="AI126" s="110"/>
      <c r="AJ126" s="115" t="str">
        <f>IFERROR(IF(AH126=0,INDEX([1]ShipSlot!$A:$A,MATCH(AI126,[1]ShipSlot!$C:$C,0)),IF(AH126=1,INDEX([1]CEquip!$A:$A,MATCH(AI126,[1]CEquip!$B:$B,0)), INDEX([1]Item!$A:$A,MATCH(AI126,[1]Item!$B:$B,0)))), "-")</f>
        <v>-</v>
      </c>
      <c r="AK126" s="94" t="s">
        <v>18</v>
      </c>
    </row>
    <row r="127" spans="1:37" x14ac:dyDescent="0.2">
      <c r="A127" s="79">
        <v>3009</v>
      </c>
      <c r="B127" s="82" t="s">
        <v>466</v>
      </c>
      <c r="C127" s="11">
        <f>IFERROR(VLOOKUP(B$8&amp;B127,[1]_enum!$A:$D,4,FALSE),"-")</f>
        <v>2</v>
      </c>
      <c r="D127" s="83" t="s">
        <v>482</v>
      </c>
      <c r="E127" s="115">
        <f>IFERROR(IF(C127=0,INDEX([1]ShipSlot!$A:$A,MATCH(D127,[1]ShipSlot!$C:$C,0)),IF(C127=1,INDEX([1]CEquip!$A:$A,MATCH(D127,[1]CEquip!$B:$B,0)), INDEX([1]Item!$A:$A,MATCH(D127,[1]Item!$B:$B,0)))), "-")</f>
        <v>23550022</v>
      </c>
      <c r="F127" s="82" t="s">
        <v>466</v>
      </c>
      <c r="G127" s="82" t="s">
        <v>533</v>
      </c>
      <c r="H127" s="81">
        <v>0</v>
      </c>
      <c r="I127" s="81">
        <v>6</v>
      </c>
      <c r="J127" s="82" t="s">
        <v>594</v>
      </c>
      <c r="K127" s="81">
        <f>IFERROR(VLOOKUP(J$8&amp;J127,[1]_enum!$A:$D,4,FALSE),"-")</f>
        <v>2</v>
      </c>
      <c r="L127" s="81" t="s">
        <v>0</v>
      </c>
      <c r="M127" s="81">
        <v>0</v>
      </c>
      <c r="N127" s="81">
        <v>1111111</v>
      </c>
      <c r="O127" s="83" t="s">
        <v>450</v>
      </c>
      <c r="P127" s="84">
        <f>IFERROR(INDEX([1]Point!$A:$A,MATCH(O127,[1]Point!$B:$B,0),1),"-")</f>
        <v>100001</v>
      </c>
      <c r="Q127" s="81">
        <v>300000</v>
      </c>
      <c r="R127" s="82" t="s">
        <v>466</v>
      </c>
      <c r="S127" s="11">
        <f>IFERROR(VLOOKUP(R$8&amp;R127,[1]_enum!$A:$D,4,FALSE),"-")</f>
        <v>2</v>
      </c>
      <c r="T127" s="110" t="s">
        <v>476</v>
      </c>
      <c r="U127" s="115">
        <f>IFERROR(IF(S127=0,INDEX([1]ShipSlot!$A:$A,MATCH(T127,[1]ShipSlot!$C:$C,0)),IF(S127=1,INDEX([1]CEquip!$A:$A,MATCH(T127,[1]CEquip!$B:$B,0)), INDEX([1]Item!$A:$A,MATCH(T127,[1]Item!$B:$B,0)))), "-")</f>
        <v>23550018</v>
      </c>
      <c r="V127" s="94">
        <v>20</v>
      </c>
      <c r="W127" s="82"/>
      <c r="X127" s="11" t="str">
        <f>IFERROR(VLOOKUP(W$8&amp;W127,[1]_enum!$A:$D,4,FALSE),"-")</f>
        <v>-</v>
      </c>
      <c r="Y127" s="110" t="s">
        <v>18</v>
      </c>
      <c r="Z127" s="115" t="str">
        <f>IFERROR(IF(X127=0,INDEX([1]ShipSlot!$A:$A,MATCH(Y127,[1]ShipSlot!$C:$C,0)),IF(X127=1,INDEX([1]CEquip!$A:$A,MATCH(Y127,[1]CEquip!$B:$B,0)), INDEX([1]Item!$A:$A,MATCH(Y127,[1]Item!$B:$B,0)))), "-")</f>
        <v>-</v>
      </c>
      <c r="AA127" s="94" t="s">
        <v>18</v>
      </c>
      <c r="AB127" s="82"/>
      <c r="AC127" s="11" t="str">
        <f>IFERROR(VLOOKUP(AB$8&amp;AB127,[1]_enum!$A:$D,4,FALSE),"-")</f>
        <v>-</v>
      </c>
      <c r="AD127" s="110"/>
      <c r="AE127" s="115" t="str">
        <f>IFERROR(IF(AC127=0,INDEX([1]ShipSlot!$A:$A,MATCH(AD127,[1]ShipSlot!$C:$C,0)),IF(AC127=1,INDEX([1]CEquip!$A:$A,MATCH(AD127,[1]CEquip!$B:$B,0)), INDEX([1]Item!$A:$A,MATCH(AD127,[1]Item!$B:$B,0)))), "-")</f>
        <v>-</v>
      </c>
      <c r="AF127" s="94" t="s">
        <v>18</v>
      </c>
      <c r="AG127" s="82"/>
      <c r="AH127" s="11" t="str">
        <f>IFERROR(VLOOKUP(AG$8&amp;AG127,[1]_enum!$A:$D,4,FALSE),"-")</f>
        <v>-</v>
      </c>
      <c r="AI127" s="110"/>
      <c r="AJ127" s="115" t="str">
        <f>IFERROR(IF(AH127=0,INDEX([1]ShipSlot!$A:$A,MATCH(AI127,[1]ShipSlot!$C:$C,0)),IF(AH127=1,INDEX([1]CEquip!$A:$A,MATCH(AI127,[1]CEquip!$B:$B,0)), INDEX([1]Item!$A:$A,MATCH(AI127,[1]Item!$B:$B,0)))), "-")</f>
        <v>-</v>
      </c>
      <c r="AK127" s="94" t="s">
        <v>18</v>
      </c>
    </row>
    <row r="128" spans="1:37" x14ac:dyDescent="0.2">
      <c r="A128" s="79">
        <v>3010</v>
      </c>
      <c r="B128" s="82" t="s">
        <v>466</v>
      </c>
      <c r="C128" s="11">
        <f>IFERROR(VLOOKUP(B$8&amp;B128,[1]_enum!$A:$D,4,FALSE),"-")</f>
        <v>2</v>
      </c>
      <c r="D128" s="83" t="s">
        <v>483</v>
      </c>
      <c r="E128" s="115">
        <f>IFERROR(IF(C128=0,INDEX([1]ShipSlot!$A:$A,MATCH(D128,[1]ShipSlot!$C:$C,0)),IF(C128=1,INDEX([1]CEquip!$A:$A,MATCH(D128,[1]CEquip!$B:$B,0)), INDEX([1]Item!$A:$A,MATCH(D128,[1]Item!$B:$B,0)))), "-")</f>
        <v>23550023</v>
      </c>
      <c r="F128" s="82" t="s">
        <v>466</v>
      </c>
      <c r="G128" s="82" t="s">
        <v>533</v>
      </c>
      <c r="H128" s="81">
        <v>0</v>
      </c>
      <c r="I128" s="81">
        <v>6</v>
      </c>
      <c r="J128" s="82" t="s">
        <v>594</v>
      </c>
      <c r="K128" s="81">
        <f>IFERROR(VLOOKUP(J$8&amp;J128,[1]_enum!$A:$D,4,FALSE),"-")</f>
        <v>2</v>
      </c>
      <c r="L128" s="81" t="s">
        <v>0</v>
      </c>
      <c r="M128" s="81">
        <v>0</v>
      </c>
      <c r="N128" s="81">
        <v>1111111</v>
      </c>
      <c r="O128" s="83" t="s">
        <v>450</v>
      </c>
      <c r="P128" s="84">
        <f>IFERROR(INDEX([1]Point!$A:$A,MATCH(O128,[1]Point!$B:$B,0),1),"-")</f>
        <v>100001</v>
      </c>
      <c r="Q128" s="81">
        <v>300000</v>
      </c>
      <c r="R128" s="82" t="s">
        <v>466</v>
      </c>
      <c r="S128" s="11">
        <f>IFERROR(VLOOKUP(R$8&amp;R128,[1]_enum!$A:$D,4,FALSE),"-")</f>
        <v>2</v>
      </c>
      <c r="T128" s="110" t="s">
        <v>477</v>
      </c>
      <c r="U128" s="115">
        <f>IFERROR(IF(S128=0,INDEX([1]ShipSlot!$A:$A,MATCH(T128,[1]ShipSlot!$C:$C,0)),IF(S128=1,INDEX([1]CEquip!$A:$A,MATCH(T128,[1]CEquip!$B:$B,0)), INDEX([1]Item!$A:$A,MATCH(T128,[1]Item!$B:$B,0)))), "-")</f>
        <v>23550019</v>
      </c>
      <c r="V128" s="94">
        <v>20</v>
      </c>
      <c r="W128" s="82"/>
      <c r="X128" s="11" t="str">
        <f>IFERROR(VLOOKUP(W$8&amp;W128,[1]_enum!$A:$D,4,FALSE),"-")</f>
        <v>-</v>
      </c>
      <c r="Y128" s="110" t="s">
        <v>18</v>
      </c>
      <c r="Z128" s="115" t="str">
        <f>IFERROR(IF(X128=0,INDEX([1]ShipSlot!$A:$A,MATCH(Y128,[1]ShipSlot!$C:$C,0)),IF(X128=1,INDEX([1]CEquip!$A:$A,MATCH(Y128,[1]CEquip!$B:$B,0)), INDEX([1]Item!$A:$A,MATCH(Y128,[1]Item!$B:$B,0)))), "-")</f>
        <v>-</v>
      </c>
      <c r="AA128" s="94" t="s">
        <v>18</v>
      </c>
      <c r="AB128" s="82"/>
      <c r="AC128" s="11" t="str">
        <f>IFERROR(VLOOKUP(AB$8&amp;AB128,[1]_enum!$A:$D,4,FALSE),"-")</f>
        <v>-</v>
      </c>
      <c r="AD128" s="110"/>
      <c r="AE128" s="115" t="str">
        <f>IFERROR(IF(AC128=0,INDEX([1]ShipSlot!$A:$A,MATCH(AD128,[1]ShipSlot!$C:$C,0)),IF(AC128=1,INDEX([1]CEquip!$A:$A,MATCH(AD128,[1]CEquip!$B:$B,0)), INDEX([1]Item!$A:$A,MATCH(AD128,[1]Item!$B:$B,0)))), "-")</f>
        <v>-</v>
      </c>
      <c r="AF128" s="94" t="s">
        <v>18</v>
      </c>
      <c r="AG128" s="82"/>
      <c r="AH128" s="11" t="str">
        <f>IFERROR(VLOOKUP(AG$8&amp;AG128,[1]_enum!$A:$D,4,FALSE),"-")</f>
        <v>-</v>
      </c>
      <c r="AI128" s="110"/>
      <c r="AJ128" s="115" t="str">
        <f>IFERROR(IF(AH128=0,INDEX([1]ShipSlot!$A:$A,MATCH(AI128,[1]ShipSlot!$C:$C,0)),IF(AH128=1,INDEX([1]CEquip!$A:$A,MATCH(AI128,[1]CEquip!$B:$B,0)), INDEX([1]Item!$A:$A,MATCH(AI128,[1]Item!$B:$B,0)))), "-")</f>
        <v>-</v>
      </c>
      <c r="AK128" s="94" t="s">
        <v>18</v>
      </c>
    </row>
    <row r="129" spans="1:37" x14ac:dyDescent="0.2">
      <c r="A129" s="79">
        <v>3011</v>
      </c>
      <c r="B129" s="82" t="s">
        <v>466</v>
      </c>
      <c r="C129" s="11">
        <f>IFERROR(VLOOKUP(B$8&amp;B129,[1]_enum!$A:$D,4,FALSE),"-")</f>
        <v>2</v>
      </c>
      <c r="D129" s="83" t="s">
        <v>484</v>
      </c>
      <c r="E129" s="115">
        <f>IFERROR(IF(C129=0,INDEX([1]ShipSlot!$A:$A,MATCH(D129,[1]ShipSlot!$C:$C,0)),IF(C129=1,INDEX([1]CEquip!$A:$A,MATCH(D129,[1]CEquip!$B:$B,0)), INDEX([1]Item!$A:$A,MATCH(D129,[1]Item!$B:$B,0)))), "-")</f>
        <v>23550024</v>
      </c>
      <c r="F129" s="82" t="s">
        <v>466</v>
      </c>
      <c r="G129" s="82" t="s">
        <v>533</v>
      </c>
      <c r="H129" s="81">
        <v>0</v>
      </c>
      <c r="I129" s="81">
        <v>6</v>
      </c>
      <c r="J129" s="82" t="s">
        <v>594</v>
      </c>
      <c r="K129" s="81">
        <f>IFERROR(VLOOKUP(J$8&amp;J129,[1]_enum!$A:$D,4,FALSE),"-")</f>
        <v>2</v>
      </c>
      <c r="L129" s="81" t="s">
        <v>0</v>
      </c>
      <c r="M129" s="81">
        <v>0</v>
      </c>
      <c r="N129" s="81">
        <v>1111111</v>
      </c>
      <c r="O129" s="83" t="s">
        <v>450</v>
      </c>
      <c r="P129" s="84">
        <f>IFERROR(INDEX([1]Point!$A:$A,MATCH(O129,[1]Point!$B:$B,0),1),"-")</f>
        <v>100001</v>
      </c>
      <c r="Q129" s="81">
        <v>300000</v>
      </c>
      <c r="R129" s="82" t="s">
        <v>466</v>
      </c>
      <c r="S129" s="11">
        <f>IFERROR(VLOOKUP(R$8&amp;R129,[1]_enum!$A:$D,4,FALSE),"-")</f>
        <v>2</v>
      </c>
      <c r="T129" s="110" t="s">
        <v>478</v>
      </c>
      <c r="U129" s="115">
        <f>IFERROR(IF(S129=0,INDEX([1]ShipSlot!$A:$A,MATCH(T129,[1]ShipSlot!$C:$C,0)),IF(S129=1,INDEX([1]CEquip!$A:$A,MATCH(T129,[1]CEquip!$B:$B,0)), INDEX([1]Item!$A:$A,MATCH(T129,[1]Item!$B:$B,0)))), "-")</f>
        <v>23550020</v>
      </c>
      <c r="V129" s="94">
        <v>20</v>
      </c>
      <c r="W129" s="82"/>
      <c r="X129" s="11" t="str">
        <f>IFERROR(VLOOKUP(W$8&amp;W129,[1]_enum!$A:$D,4,FALSE),"-")</f>
        <v>-</v>
      </c>
      <c r="Y129" s="110" t="s">
        <v>18</v>
      </c>
      <c r="Z129" s="115" t="str">
        <f>IFERROR(IF(X129=0,INDEX([1]ShipSlot!$A:$A,MATCH(Y129,[1]ShipSlot!$C:$C,0)),IF(X129=1,INDEX([1]CEquip!$A:$A,MATCH(Y129,[1]CEquip!$B:$B,0)), INDEX([1]Item!$A:$A,MATCH(Y129,[1]Item!$B:$B,0)))), "-")</f>
        <v>-</v>
      </c>
      <c r="AA129" s="94" t="s">
        <v>18</v>
      </c>
      <c r="AB129" s="82"/>
      <c r="AC129" s="11" t="str">
        <f>IFERROR(VLOOKUP(AB$8&amp;AB129,[1]_enum!$A:$D,4,FALSE),"-")</f>
        <v>-</v>
      </c>
      <c r="AD129" s="110"/>
      <c r="AE129" s="115" t="str">
        <f>IFERROR(IF(AC129=0,INDEX([1]ShipSlot!$A:$A,MATCH(AD129,[1]ShipSlot!$C:$C,0)),IF(AC129=1,INDEX([1]CEquip!$A:$A,MATCH(AD129,[1]CEquip!$B:$B,0)), INDEX([1]Item!$A:$A,MATCH(AD129,[1]Item!$B:$B,0)))), "-")</f>
        <v>-</v>
      </c>
      <c r="AF129" s="94" t="s">
        <v>18</v>
      </c>
      <c r="AG129" s="82"/>
      <c r="AH129" s="11" t="str">
        <f>IFERROR(VLOOKUP(AG$8&amp;AG129,[1]_enum!$A:$D,4,FALSE),"-")</f>
        <v>-</v>
      </c>
      <c r="AI129" s="110"/>
      <c r="AJ129" s="115" t="str">
        <f>IFERROR(IF(AH129=0,INDEX([1]ShipSlot!$A:$A,MATCH(AI129,[1]ShipSlot!$C:$C,0)),IF(AH129=1,INDEX([1]CEquip!$A:$A,MATCH(AI129,[1]CEquip!$B:$B,0)), INDEX([1]Item!$A:$A,MATCH(AI129,[1]Item!$B:$B,0)))), "-")</f>
        <v>-</v>
      </c>
      <c r="AK129" s="94" t="s">
        <v>18</v>
      </c>
    </row>
    <row r="130" spans="1:37" x14ac:dyDescent="0.2">
      <c r="A130" s="86"/>
      <c r="B130" s="10"/>
      <c r="C130" s="10"/>
      <c r="D130" s="10"/>
      <c r="E130" s="10"/>
      <c r="F130" s="10"/>
      <c r="G130" s="10"/>
      <c r="H130" s="86"/>
      <c r="I130" s="86"/>
      <c r="J130" s="10"/>
      <c r="K130" s="86"/>
      <c r="L130" s="86"/>
      <c r="M130" s="86"/>
      <c r="N130" s="86"/>
      <c r="O130" s="10"/>
      <c r="P130" s="10"/>
      <c r="Q130" s="86"/>
      <c r="R130" s="10"/>
      <c r="S130" s="10"/>
      <c r="T130" s="86"/>
      <c r="U130" s="86"/>
      <c r="V130" s="86"/>
      <c r="W130" s="10"/>
      <c r="X130" s="10"/>
      <c r="Y130" s="86"/>
      <c r="Z130" s="86"/>
      <c r="AA130" s="86"/>
      <c r="AB130" s="10"/>
      <c r="AC130" s="10"/>
      <c r="AD130" s="86"/>
      <c r="AE130" s="86"/>
      <c r="AF130" s="86"/>
      <c r="AG130" s="10"/>
      <c r="AH130" s="10"/>
      <c r="AI130" s="86"/>
      <c r="AJ130" s="86"/>
      <c r="AK130" s="86"/>
    </row>
  </sheetData>
  <autoFilter ref="A8:AK129" xr:uid="{ABA4CA63-E867-4E8A-84DD-08ED25E83782}"/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Guild</vt:lpstr>
      <vt:lpstr>GuildEmblemBorder</vt:lpstr>
      <vt:lpstr>GuildEmblemColor</vt:lpstr>
      <vt:lpstr>GuildEmblemImage</vt:lpstr>
      <vt:lpstr>GuildShop</vt:lpstr>
      <vt:lpstr>GuildReward</vt:lpstr>
      <vt:lpstr>GuildCraft</vt:lpstr>
      <vt:lpstr>Guild</vt:lpstr>
      <vt:lpstr>GuildCraft</vt:lpstr>
      <vt:lpstr>GuildEmblemBorder</vt:lpstr>
      <vt:lpstr>GuildEmblemColor</vt:lpstr>
      <vt:lpstr>GuildEmblemImage</vt:lpstr>
      <vt:lpstr>GuildReward</vt:lpstr>
      <vt:lpstr>GuildShop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</dc:creator>
  <cp:lastModifiedBy>Song-Inwoong</cp:lastModifiedBy>
  <cp:lastPrinted>2022-10-11T11:11:25Z</cp:lastPrinted>
  <dcterms:created xsi:type="dcterms:W3CDTF">2015-06-29T10:25:24Z</dcterms:created>
  <dcterms:modified xsi:type="dcterms:W3CDTF">2022-11-09T05:17:35Z</dcterms:modified>
</cp:coreProperties>
</file>